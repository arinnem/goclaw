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ungroupcomvn-my.sharepoint.com/personal/namnh16_sungroup_com_vn/Documents/Works/Truyen hinh/K+/Kiem ke/"/>
    </mc:Choice>
  </mc:AlternateContent>
  <xr:revisionPtr revIDLastSave="3" documentId="13_ncr:1_{87ECEB51-A006-445F-83EA-ED6B4AAEA9AB}" xr6:coauthVersionLast="47" xr6:coauthVersionMax="47" xr10:uidLastSave="{DAA9E419-7E53-4D8A-A311-C96D3C691B55}"/>
  <bookViews>
    <workbookView xWindow="-108" yWindow="-108" windowWidth="23256" windowHeight="13896" firstSheet="1" activeTab="6" xr2:uid="{5631CADA-07FB-454F-8990-F21C89C0CABF}"/>
  </bookViews>
  <sheets>
    <sheet name="Annex A" sheetId="2" state="hidden" r:id="rId1"/>
    <sheet name="KK1. Movies" sheetId="9" r:id="rId2"/>
    <sheet name="KK6. Bổ sung" sheetId="15" state="hidden" r:id="rId3"/>
    <sheet name="KK2. Series" sheetId="8" r:id="rId4"/>
    <sheet name="KK3. Kids" sheetId="7" r:id="rId5"/>
    <sheet name="KK4. Show" sheetId="4" r:id="rId6"/>
    <sheet name="KK5. Doc" sheetId="3" r:id="rId7"/>
    <sheet name="TK 15661.Bản quyền phim " sheetId="11" state="hidden" r:id="rId8"/>
    <sheet name="242.BQ Phim VOD" sheetId="13" state="hidden" r:id="rId9"/>
    <sheet name="TK 15666. Phim SX" sheetId="10" state="hidden" r:id="rId10"/>
    <sheet name="242.BQ Phim hợp tác" sheetId="12" state="hidden" r:id="rId11"/>
  </sheets>
  <definedNames>
    <definedName name="_xlnm._FilterDatabase" localSheetId="10" hidden="1">'242.BQ Phim hợp tác'!$A$1:$S$22</definedName>
    <definedName name="_xlnm._FilterDatabase" localSheetId="8" hidden="1">'242.BQ Phim VOD'!$A$4:$P$8</definedName>
    <definedName name="_xlnm._FilterDatabase" localSheetId="1" hidden="1">'KK1. Movies'!$A$6:$AN$343</definedName>
    <definedName name="_xlnm._FilterDatabase" localSheetId="3" hidden="1">'KK2. Series'!$A$6:$AT$178</definedName>
    <definedName name="_xlnm._FilterDatabase" localSheetId="4" hidden="1">'KK3. Kids'!$A$6:$AI$57</definedName>
    <definedName name="_xlnm._FilterDatabase" localSheetId="5" hidden="1">'KK4. Show'!$A$6:$N$15</definedName>
    <definedName name="_xlnm._FilterDatabase" localSheetId="6" hidden="1">'KK5. Doc'!$A$6:$V$23</definedName>
    <definedName name="_xlnm._FilterDatabase" localSheetId="2" hidden="1">'KK6. Bổ sung'!$A$6:$S$44</definedName>
    <definedName name="_xlnm._FilterDatabase" localSheetId="7" hidden="1">'TK 15661.Bản quyền phim '!$A$5:$AR$497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7" i="9" l="1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05" i="9"/>
  <c r="AL106" i="9"/>
  <c r="AL107" i="9"/>
  <c r="AL108" i="9"/>
  <c r="AL109" i="9"/>
  <c r="AL110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123" i="9"/>
  <c r="AL124" i="9"/>
  <c r="AL125" i="9"/>
  <c r="AL126" i="9"/>
  <c r="AL127" i="9"/>
  <c r="AL128" i="9"/>
  <c r="AL129" i="9"/>
  <c r="AL130" i="9"/>
  <c r="AL131" i="9"/>
  <c r="AL132" i="9"/>
  <c r="AL133" i="9"/>
  <c r="AL134" i="9"/>
  <c r="AL135" i="9"/>
  <c r="AL136" i="9"/>
  <c r="AL137" i="9"/>
  <c r="AL138" i="9"/>
  <c r="AL139" i="9"/>
  <c r="AL140" i="9"/>
  <c r="AL141" i="9"/>
  <c r="AL142" i="9"/>
  <c r="AL143" i="9"/>
  <c r="AL144" i="9"/>
  <c r="AL145" i="9"/>
  <c r="AL146" i="9"/>
  <c r="AL147" i="9"/>
  <c r="AL148" i="9"/>
  <c r="AL149" i="9"/>
  <c r="AL150" i="9"/>
  <c r="AL151" i="9"/>
  <c r="AL152" i="9"/>
  <c r="AL153" i="9"/>
  <c r="AL154" i="9"/>
  <c r="AL155" i="9"/>
  <c r="AL156" i="9"/>
  <c r="AL157" i="9"/>
  <c r="AL158" i="9"/>
  <c r="AL159" i="9"/>
  <c r="AL160" i="9"/>
  <c r="AL161" i="9"/>
  <c r="AL162" i="9"/>
  <c r="AL163" i="9"/>
  <c r="AL164" i="9"/>
  <c r="AL165" i="9"/>
  <c r="AL166" i="9"/>
  <c r="AL167" i="9"/>
  <c r="AL168" i="9"/>
  <c r="AL169" i="9"/>
  <c r="AL170" i="9"/>
  <c r="AL171" i="9"/>
  <c r="AL172" i="9"/>
  <c r="AL173" i="9"/>
  <c r="AL174" i="9"/>
  <c r="AL175" i="9"/>
  <c r="AL176" i="9"/>
  <c r="AL177" i="9"/>
  <c r="AL178" i="9"/>
  <c r="AL179" i="9"/>
  <c r="AL180" i="9"/>
  <c r="AL181" i="9"/>
  <c r="AL182" i="9"/>
  <c r="AL183" i="9"/>
  <c r="AL184" i="9"/>
  <c r="AL185" i="9"/>
  <c r="AL186" i="9"/>
  <c r="AL187" i="9"/>
  <c r="AL188" i="9"/>
  <c r="AL189" i="9"/>
  <c r="AL190" i="9"/>
  <c r="AL191" i="9"/>
  <c r="AL192" i="9"/>
  <c r="AL193" i="9"/>
  <c r="AL194" i="9"/>
  <c r="AL195" i="9"/>
  <c r="AL196" i="9"/>
  <c r="AL197" i="9"/>
  <c r="AL198" i="9"/>
  <c r="AL199" i="9"/>
  <c r="AL200" i="9"/>
  <c r="AL201" i="9"/>
  <c r="AL202" i="9"/>
  <c r="AL203" i="9"/>
  <c r="AL204" i="9"/>
  <c r="AL205" i="9"/>
  <c r="AL206" i="9"/>
  <c r="AL207" i="9"/>
  <c r="AL208" i="9"/>
  <c r="AL209" i="9"/>
  <c r="AL210" i="9"/>
  <c r="AL211" i="9"/>
  <c r="AL212" i="9"/>
  <c r="AL213" i="9"/>
  <c r="AL214" i="9"/>
  <c r="AL215" i="9"/>
  <c r="AL216" i="9"/>
  <c r="AL217" i="9"/>
  <c r="AL218" i="9"/>
  <c r="AL219" i="9"/>
  <c r="AL220" i="9"/>
  <c r="AL221" i="9"/>
  <c r="AL222" i="9"/>
  <c r="AL223" i="9"/>
  <c r="AL224" i="9"/>
  <c r="AL225" i="9"/>
  <c r="AL226" i="9"/>
  <c r="AL227" i="9"/>
  <c r="AL228" i="9"/>
  <c r="AL229" i="9"/>
  <c r="AL230" i="9"/>
  <c r="AL231" i="9"/>
  <c r="AL232" i="9"/>
  <c r="AL233" i="9"/>
  <c r="AL234" i="9"/>
  <c r="AL235" i="9"/>
  <c r="AL236" i="9"/>
  <c r="AL237" i="9"/>
  <c r="AL238" i="9"/>
  <c r="AL239" i="9"/>
  <c r="AL240" i="9"/>
  <c r="AL241" i="9"/>
  <c r="AL242" i="9"/>
  <c r="AL243" i="9"/>
  <c r="AL244" i="9"/>
  <c r="AL245" i="9"/>
  <c r="AL246" i="9"/>
  <c r="AL247" i="9"/>
  <c r="AL248" i="9"/>
  <c r="AL249" i="9"/>
  <c r="AL250" i="9"/>
  <c r="AL251" i="9"/>
  <c r="AL252" i="9"/>
  <c r="AL253" i="9"/>
  <c r="AL254" i="9"/>
  <c r="AL255" i="9"/>
  <c r="AL256" i="9"/>
  <c r="AL257" i="9"/>
  <c r="AL258" i="9"/>
  <c r="AL259" i="9"/>
  <c r="AL260" i="9"/>
  <c r="AL261" i="9"/>
  <c r="AL262" i="9"/>
  <c r="AL263" i="9"/>
  <c r="AL264" i="9"/>
  <c r="AL265" i="9"/>
  <c r="AL266" i="9"/>
  <c r="AL267" i="9"/>
  <c r="AL268" i="9"/>
  <c r="AL269" i="9"/>
  <c r="AL270" i="9"/>
  <c r="AL271" i="9"/>
  <c r="AL272" i="9"/>
  <c r="AL273" i="9"/>
  <c r="AL274" i="9"/>
  <c r="AL275" i="9"/>
  <c r="AL276" i="9"/>
  <c r="AL277" i="9"/>
  <c r="AL278" i="9"/>
  <c r="AL279" i="9"/>
  <c r="AL280" i="9"/>
  <c r="AL281" i="9"/>
  <c r="AL282" i="9"/>
  <c r="AL283" i="9"/>
  <c r="AL284" i="9"/>
  <c r="AL285" i="9"/>
  <c r="AL286" i="9"/>
  <c r="AL287" i="9"/>
  <c r="AL288" i="9"/>
  <c r="AL289" i="9"/>
  <c r="AL290" i="9"/>
  <c r="AL291" i="9"/>
  <c r="AL292" i="9"/>
  <c r="AL293" i="9"/>
  <c r="AL294" i="9"/>
  <c r="AL295" i="9"/>
  <c r="AL296" i="9"/>
  <c r="AL297" i="9"/>
  <c r="AL298" i="9"/>
  <c r="AL299" i="9"/>
  <c r="AL300" i="9"/>
  <c r="AL301" i="9"/>
  <c r="AL302" i="9"/>
  <c r="AL303" i="9"/>
  <c r="AL304" i="9"/>
  <c r="AL305" i="9"/>
  <c r="AL306" i="9"/>
  <c r="AL307" i="9"/>
  <c r="AL308" i="9"/>
  <c r="AL309" i="9"/>
  <c r="AL310" i="9"/>
  <c r="AL311" i="9"/>
  <c r="AL312" i="9"/>
  <c r="AL313" i="9"/>
  <c r="AL314" i="9"/>
  <c r="AL315" i="9"/>
  <c r="AL316" i="9"/>
  <c r="AL317" i="9"/>
  <c r="AL318" i="9"/>
  <c r="AL319" i="9"/>
  <c r="AL320" i="9"/>
  <c r="AL321" i="9"/>
  <c r="AL322" i="9"/>
  <c r="AL323" i="9"/>
  <c r="AL324" i="9"/>
  <c r="AL325" i="9"/>
  <c r="AL326" i="9"/>
  <c r="AL327" i="9"/>
  <c r="AL328" i="9"/>
  <c r="AL329" i="9"/>
  <c r="AL330" i="9"/>
  <c r="AL331" i="9"/>
  <c r="AL332" i="9"/>
  <c r="AL333" i="9"/>
  <c r="AL334" i="9"/>
  <c r="AL335" i="9"/>
  <c r="AL336" i="9"/>
  <c r="AL337" i="9"/>
  <c r="AL338" i="9"/>
  <c r="AL339" i="9"/>
  <c r="AL340" i="9"/>
  <c r="AL341" i="9"/>
  <c r="AL342" i="9"/>
  <c r="AL343" i="9"/>
  <c r="D19" i="2"/>
  <c r="D6" i="2"/>
  <c r="A44" i="7"/>
  <c r="A45" i="7" s="1"/>
  <c r="D5" i="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I18" i="2"/>
  <c r="R13" i="10"/>
  <c r="T13" i="10" s="1"/>
  <c r="Y22" i="3"/>
  <c r="G18" i="2" s="1"/>
  <c r="J17" i="2"/>
  <c r="J20" i="2" s="1"/>
  <c r="I15" i="2"/>
  <c r="AP174" i="8"/>
  <c r="AP173" i="8"/>
  <c r="AP172" i="8"/>
  <c r="AP171" i="8"/>
  <c r="AP170" i="8"/>
  <c r="AP169" i="8"/>
  <c r="AP168" i="8"/>
  <c r="AP167" i="8"/>
  <c r="AP166" i="8"/>
  <c r="AP165" i="8"/>
  <c r="AP164" i="8"/>
  <c r="AP163" i="8"/>
  <c r="AP162" i="8"/>
  <c r="AP161" i="8"/>
  <c r="AP160" i="8"/>
  <c r="AP159" i="8"/>
  <c r="AP158" i="8"/>
  <c r="AP157" i="8"/>
  <c r="AP156" i="8"/>
  <c r="AP155" i="8"/>
  <c r="AP154" i="8"/>
  <c r="AP153" i="8"/>
  <c r="AP152" i="8"/>
  <c r="AP151" i="8"/>
  <c r="AP150" i="8"/>
  <c r="AP149" i="8"/>
  <c r="AP148" i="8"/>
  <c r="AP147" i="8"/>
  <c r="AP146" i="8"/>
  <c r="AP145" i="8"/>
  <c r="AP144" i="8"/>
  <c r="AP143" i="8"/>
  <c r="AP142" i="8"/>
  <c r="AP141" i="8"/>
  <c r="AP140" i="8"/>
  <c r="AP139" i="8"/>
  <c r="AP138" i="8"/>
  <c r="AP137" i="8"/>
  <c r="AP136" i="8"/>
  <c r="AP135" i="8"/>
  <c r="AP134" i="8"/>
  <c r="AP133" i="8"/>
  <c r="AP132" i="8"/>
  <c r="AP131" i="8"/>
  <c r="AP130" i="8"/>
  <c r="AP129" i="8"/>
  <c r="AP128" i="8"/>
  <c r="AP127" i="8"/>
  <c r="AP126" i="8"/>
  <c r="AP125" i="8"/>
  <c r="AP124" i="8"/>
  <c r="AP123" i="8"/>
  <c r="AP122" i="8"/>
  <c r="AP121" i="8"/>
  <c r="AP119" i="8"/>
  <c r="AP118" i="8"/>
  <c r="AP117" i="8"/>
  <c r="AP116" i="8"/>
  <c r="AP113" i="8"/>
  <c r="AP112" i="8"/>
  <c r="AP111" i="8"/>
  <c r="AP109" i="8"/>
  <c r="AP108" i="8"/>
  <c r="AP107" i="8"/>
  <c r="AP106" i="8"/>
  <c r="AP105" i="8"/>
  <c r="AP104" i="8"/>
  <c r="AP103" i="8"/>
  <c r="AP102" i="8"/>
  <c r="AP101" i="8"/>
  <c r="AP100" i="8"/>
  <c r="AP99" i="8"/>
  <c r="AP98" i="8"/>
  <c r="AP97" i="8"/>
  <c r="AP96" i="8"/>
  <c r="AP95" i="8"/>
  <c r="AP94" i="8"/>
  <c r="AP93" i="8"/>
  <c r="AP92" i="8"/>
  <c r="AP91" i="8"/>
  <c r="AP90" i="8"/>
  <c r="AP89" i="8"/>
  <c r="AP87" i="8"/>
  <c r="AP86" i="8"/>
  <c r="AP85" i="8"/>
  <c r="AP83" i="8"/>
  <c r="AP82" i="8"/>
  <c r="AP80" i="8"/>
  <c r="AP50" i="8"/>
  <c r="AP49" i="8"/>
  <c r="AP48" i="8"/>
  <c r="AP47" i="8"/>
  <c r="AP46" i="8"/>
  <c r="AP45" i="8"/>
  <c r="AP44" i="8"/>
  <c r="AP43" i="8"/>
  <c r="AP42" i="8"/>
  <c r="AP41" i="8"/>
  <c r="AP40" i="8"/>
  <c r="AP39" i="8"/>
  <c r="AP38" i="8"/>
  <c r="AP37" i="8"/>
  <c r="AP36" i="8"/>
  <c r="AP35" i="8"/>
  <c r="AP34" i="8"/>
  <c r="AP33" i="8"/>
  <c r="AP32" i="8"/>
  <c r="AP31" i="8"/>
  <c r="AP30" i="8"/>
  <c r="AP29" i="8"/>
  <c r="AP28" i="8"/>
  <c r="AP27" i="8"/>
  <c r="AP26" i="8"/>
  <c r="AP25" i="8"/>
  <c r="AP24" i="8"/>
  <c r="AP23" i="8"/>
  <c r="AP22" i="8"/>
  <c r="AP21" i="8"/>
  <c r="AP20" i="8"/>
  <c r="AP19" i="8"/>
  <c r="AP18" i="8"/>
  <c r="AP17" i="8"/>
  <c r="AP16" i="8"/>
  <c r="AP15" i="8"/>
  <c r="AP14" i="8"/>
  <c r="AP13" i="8"/>
  <c r="AP12" i="8"/>
  <c r="AP11" i="8"/>
  <c r="AP10" i="8"/>
  <c r="AP9" i="8"/>
  <c r="AP8" i="8"/>
  <c r="AP7" i="8"/>
  <c r="AQ174" i="8"/>
  <c r="AQ173" i="8"/>
  <c r="AQ172" i="8"/>
  <c r="AQ171" i="8"/>
  <c r="AQ170" i="8"/>
  <c r="AQ169" i="8"/>
  <c r="AQ168" i="8"/>
  <c r="AQ167" i="8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Q146" i="8"/>
  <c r="AQ145" i="8"/>
  <c r="AQ144" i="8"/>
  <c r="AQ143" i="8"/>
  <c r="AQ142" i="8"/>
  <c r="AQ141" i="8"/>
  <c r="AQ140" i="8"/>
  <c r="AQ139" i="8"/>
  <c r="AQ138" i="8"/>
  <c r="AQ137" i="8"/>
  <c r="AQ136" i="8"/>
  <c r="AQ135" i="8"/>
  <c r="AQ134" i="8"/>
  <c r="AQ133" i="8"/>
  <c r="AQ132" i="8"/>
  <c r="AQ131" i="8"/>
  <c r="AQ130" i="8"/>
  <c r="AQ129" i="8"/>
  <c r="AQ128" i="8"/>
  <c r="AQ127" i="8"/>
  <c r="AQ126" i="8"/>
  <c r="AQ125" i="8"/>
  <c r="AQ124" i="8"/>
  <c r="AQ123" i="8"/>
  <c r="AQ122" i="8"/>
  <c r="AQ121" i="8"/>
  <c r="AQ120" i="8"/>
  <c r="AQ119" i="8"/>
  <c r="AQ118" i="8"/>
  <c r="AQ117" i="8"/>
  <c r="AQ116" i="8"/>
  <c r="AQ115" i="8"/>
  <c r="AQ114" i="8"/>
  <c r="AQ113" i="8"/>
  <c r="AQ112" i="8"/>
  <c r="AQ111" i="8"/>
  <c r="AQ110" i="8"/>
  <c r="AQ109" i="8"/>
  <c r="AQ108" i="8"/>
  <c r="AQ107" i="8"/>
  <c r="AQ106" i="8"/>
  <c r="AQ105" i="8"/>
  <c r="AQ104" i="8"/>
  <c r="AQ103" i="8"/>
  <c r="AQ102" i="8"/>
  <c r="AQ101" i="8"/>
  <c r="AQ100" i="8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Q86" i="8"/>
  <c r="AQ85" i="8"/>
  <c r="AQ84" i="8"/>
  <c r="AQ83" i="8"/>
  <c r="AQ82" i="8"/>
  <c r="AQ81" i="8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Q66" i="8"/>
  <c r="AQ65" i="8"/>
  <c r="AQ64" i="8"/>
  <c r="AQ63" i="8"/>
  <c r="AQ62" i="8"/>
  <c r="AQ61" i="8"/>
  <c r="AQ60" i="8"/>
  <c r="AQ59" i="8"/>
  <c r="AQ58" i="8"/>
  <c r="AQ57" i="8"/>
  <c r="AQ56" i="8"/>
  <c r="AQ55" i="8"/>
  <c r="AQ54" i="8"/>
  <c r="AQ53" i="8"/>
  <c r="AQ52" i="8"/>
  <c r="AQ51" i="8"/>
  <c r="AQ50" i="8"/>
  <c r="AQ49" i="8"/>
  <c r="AQ48" i="8"/>
  <c r="AQ47" i="8"/>
  <c r="AQ46" i="8"/>
  <c r="AQ45" i="8"/>
  <c r="AQ44" i="8"/>
  <c r="AQ43" i="8"/>
  <c r="AQ42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Q26" i="8"/>
  <c r="AQ25" i="8"/>
  <c r="AQ24" i="8"/>
  <c r="AQ23" i="8"/>
  <c r="AQ22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P120" i="8"/>
  <c r="AP115" i="8"/>
  <c r="AP114" i="8"/>
  <c r="AP110" i="8"/>
  <c r="AP88" i="8"/>
  <c r="AP84" i="8"/>
  <c r="AP81" i="8"/>
  <c r="AP79" i="8"/>
  <c r="AP78" i="8"/>
  <c r="AP77" i="8"/>
  <c r="AP76" i="8"/>
  <c r="AP75" i="8"/>
  <c r="AP74" i="8"/>
  <c r="AP73" i="8"/>
  <c r="AP72" i="8"/>
  <c r="AP71" i="8"/>
  <c r="AP70" i="8"/>
  <c r="AP69" i="8"/>
  <c r="AP68" i="8"/>
  <c r="AP67" i="8"/>
  <c r="AP66" i="8"/>
  <c r="AP65" i="8"/>
  <c r="AP64" i="8"/>
  <c r="AP63" i="8"/>
  <c r="AP62" i="8"/>
  <c r="AP61" i="8"/>
  <c r="AP60" i="8"/>
  <c r="AP59" i="8"/>
  <c r="AP58" i="8"/>
  <c r="AP57" i="8"/>
  <c r="AP56" i="8"/>
  <c r="AP55" i="8"/>
  <c r="AP54" i="8"/>
  <c r="AP53" i="8"/>
  <c r="AP52" i="8"/>
  <c r="AP51" i="8"/>
  <c r="F14" i="2"/>
  <c r="F20" i="2" s="1"/>
  <c r="Q12" i="10"/>
  <c r="T12" i="10" s="1"/>
  <c r="Q11" i="10"/>
  <c r="T11" i="10" s="1"/>
  <c r="Q10" i="10"/>
  <c r="T10" i="10" s="1"/>
  <c r="Q9" i="10"/>
  <c r="T9" i="10" s="1"/>
  <c r="Q8" i="10"/>
  <c r="T8" i="10" s="1"/>
  <c r="Q7" i="10"/>
  <c r="T7" i="10" s="1"/>
  <c r="Q6" i="10"/>
  <c r="T6" i="10" s="1"/>
  <c r="AQ166" i="8"/>
  <c r="AQ165" i="8"/>
  <c r="AQ164" i="8"/>
  <c r="AQ163" i="8"/>
  <c r="AQ162" i="8"/>
  <c r="AQ161" i="8"/>
  <c r="AQ160" i="8"/>
  <c r="G15" i="2" l="1"/>
  <c r="G20" i="2" s="1"/>
  <c r="I20" i="2"/>
  <c r="A46" i="7"/>
  <c r="Q4" i="15"/>
  <c r="H15" i="2"/>
  <c r="H20" i="2" s="1"/>
  <c r="AQ6" i="8"/>
  <c r="AP6" i="8"/>
  <c r="A47" i="7" l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G6" i="2"/>
  <c r="G5" i="2"/>
  <c r="D16" i="2" l="1"/>
  <c r="P5" i="13"/>
  <c r="P6" i="13"/>
  <c r="P7" i="13"/>
  <c r="P8" i="13"/>
  <c r="H9" i="13"/>
  <c r="I9" i="13"/>
  <c r="J9" i="13"/>
  <c r="P9" i="13"/>
  <c r="C3" i="11"/>
  <c r="D3" i="11" s="1"/>
  <c r="E3" i="11" s="1"/>
  <c r="F3" i="11" s="1"/>
  <c r="H4" i="11"/>
  <c r="I4" i="11"/>
  <c r="K4" i="11"/>
  <c r="L4" i="11"/>
  <c r="Q4" i="11"/>
  <c r="R4" i="11"/>
  <c r="S4" i="11"/>
  <c r="T4" i="11"/>
  <c r="U4" i="11"/>
  <c r="J6" i="11"/>
  <c r="M6" i="11" s="1"/>
  <c r="N6" i="11"/>
  <c r="V6" i="11"/>
  <c r="X6" i="11" s="1"/>
  <c r="W6" i="11"/>
  <c r="AD6" i="11"/>
  <c r="AE6" i="11"/>
  <c r="AF6" i="11"/>
  <c r="J7" i="11"/>
  <c r="M7" i="11" s="1"/>
  <c r="N7" i="11"/>
  <c r="V7" i="11"/>
  <c r="X7" i="11" s="1"/>
  <c r="W7" i="11"/>
  <c r="AD7" i="11"/>
  <c r="AE7" i="11"/>
  <c r="AF7" i="11"/>
  <c r="J8" i="11"/>
  <c r="M8" i="11" s="1"/>
  <c r="N8" i="11"/>
  <c r="V8" i="11"/>
  <c r="X8" i="11" s="1"/>
  <c r="W8" i="11"/>
  <c r="AD8" i="11"/>
  <c r="AE8" i="11"/>
  <c r="AF8" i="11"/>
  <c r="J9" i="11"/>
  <c r="M9" i="11" s="1"/>
  <c r="N9" i="11"/>
  <c r="V9" i="11"/>
  <c r="X9" i="11" s="1"/>
  <c r="W9" i="11"/>
  <c r="AD9" i="11"/>
  <c r="AE9" i="11"/>
  <c r="AF9" i="11"/>
  <c r="J10" i="11"/>
  <c r="M10" i="11" s="1"/>
  <c r="N10" i="11"/>
  <c r="V10" i="11"/>
  <c r="X10" i="11" s="1"/>
  <c r="W10" i="11"/>
  <c r="AD10" i="11"/>
  <c r="AE10" i="11"/>
  <c r="AF10" i="11"/>
  <c r="J11" i="11"/>
  <c r="M11" i="11" s="1"/>
  <c r="N11" i="11"/>
  <c r="V11" i="11"/>
  <c r="X11" i="11" s="1"/>
  <c r="W11" i="11"/>
  <c r="AD11" i="11"/>
  <c r="AE11" i="11"/>
  <c r="AF11" i="11"/>
  <c r="J12" i="11"/>
  <c r="M12" i="11" s="1"/>
  <c r="N12" i="11"/>
  <c r="V12" i="11"/>
  <c r="X12" i="11" s="1"/>
  <c r="W12" i="11"/>
  <c r="AD12" i="11"/>
  <c r="AE12" i="11"/>
  <c r="AF12" i="11"/>
  <c r="J13" i="11"/>
  <c r="M13" i="11" s="1"/>
  <c r="N13" i="11"/>
  <c r="V13" i="11"/>
  <c r="X13" i="11" s="1"/>
  <c r="W13" i="11"/>
  <c r="AD13" i="11"/>
  <c r="AE13" i="11"/>
  <c r="AF13" i="11"/>
  <c r="J14" i="11"/>
  <c r="M14" i="11" s="1"/>
  <c r="N14" i="11"/>
  <c r="V14" i="11"/>
  <c r="X14" i="11" s="1"/>
  <c r="W14" i="11"/>
  <c r="AD14" i="11"/>
  <c r="AE14" i="11"/>
  <c r="AF14" i="11"/>
  <c r="J15" i="11"/>
  <c r="M15" i="11" s="1"/>
  <c r="N15" i="11"/>
  <c r="V15" i="11"/>
  <c r="X15" i="11" s="1"/>
  <c r="W15" i="11"/>
  <c r="AD15" i="11"/>
  <c r="AE15" i="11"/>
  <c r="AF15" i="11"/>
  <c r="J16" i="11"/>
  <c r="M16" i="11" s="1"/>
  <c r="N16" i="11"/>
  <c r="V16" i="11"/>
  <c r="X16" i="11" s="1"/>
  <c r="W16" i="11"/>
  <c r="AD16" i="11"/>
  <c r="AE16" i="11"/>
  <c r="AF16" i="11"/>
  <c r="J17" i="11"/>
  <c r="M17" i="11" s="1"/>
  <c r="N17" i="11"/>
  <c r="V17" i="11"/>
  <c r="X17" i="11" s="1"/>
  <c r="W17" i="11"/>
  <c r="AD17" i="11"/>
  <c r="AE17" i="11"/>
  <c r="AF17" i="11"/>
  <c r="J18" i="11"/>
  <c r="M18" i="11" s="1"/>
  <c r="N18" i="11"/>
  <c r="V18" i="11"/>
  <c r="X18" i="11" s="1"/>
  <c r="W18" i="11"/>
  <c r="AD18" i="11"/>
  <c r="AE18" i="11"/>
  <c r="AF18" i="11"/>
  <c r="J19" i="11"/>
  <c r="M19" i="11" s="1"/>
  <c r="N19" i="11"/>
  <c r="V19" i="11"/>
  <c r="X19" i="11" s="1"/>
  <c r="W19" i="11"/>
  <c r="AD19" i="11"/>
  <c r="AE19" i="11"/>
  <c r="AF19" i="11"/>
  <c r="J20" i="11"/>
  <c r="M20" i="11" s="1"/>
  <c r="N20" i="11"/>
  <c r="V20" i="11"/>
  <c r="X20" i="11" s="1"/>
  <c r="W20" i="11"/>
  <c r="AD20" i="11"/>
  <c r="AE20" i="11"/>
  <c r="AF20" i="11"/>
  <c r="J21" i="11"/>
  <c r="M21" i="11" s="1"/>
  <c r="N21" i="11"/>
  <c r="V21" i="11"/>
  <c r="X21" i="11" s="1"/>
  <c r="W21" i="11"/>
  <c r="AD21" i="11"/>
  <c r="AE21" i="11"/>
  <c r="AF21" i="11"/>
  <c r="J22" i="11"/>
  <c r="M22" i="11" s="1"/>
  <c r="N22" i="11"/>
  <c r="V22" i="11"/>
  <c r="X22" i="11" s="1"/>
  <c r="W22" i="11"/>
  <c r="AD22" i="11"/>
  <c r="AE22" i="11"/>
  <c r="AF22" i="11"/>
  <c r="J23" i="11"/>
  <c r="M23" i="11" s="1"/>
  <c r="N23" i="11"/>
  <c r="V23" i="11"/>
  <c r="X23" i="11" s="1"/>
  <c r="W23" i="11"/>
  <c r="AD23" i="11"/>
  <c r="AE23" i="11"/>
  <c r="AF23" i="11"/>
  <c r="J24" i="11"/>
  <c r="M24" i="11" s="1"/>
  <c r="N24" i="11"/>
  <c r="V24" i="11"/>
  <c r="X24" i="11" s="1"/>
  <c r="W24" i="11"/>
  <c r="AD24" i="11"/>
  <c r="AE24" i="11"/>
  <c r="AF24" i="11"/>
  <c r="J25" i="11"/>
  <c r="M25" i="11" s="1"/>
  <c r="N25" i="11"/>
  <c r="V25" i="11"/>
  <c r="X25" i="11" s="1"/>
  <c r="W25" i="11"/>
  <c r="AD25" i="11"/>
  <c r="AE25" i="11"/>
  <c r="AF25" i="11"/>
  <c r="J26" i="11"/>
  <c r="M26" i="11" s="1"/>
  <c r="N26" i="11"/>
  <c r="V26" i="11"/>
  <c r="X26" i="11" s="1"/>
  <c r="W26" i="11"/>
  <c r="AD26" i="11"/>
  <c r="AE26" i="11"/>
  <c r="AF26" i="11"/>
  <c r="J27" i="11"/>
  <c r="M27" i="11" s="1"/>
  <c r="N27" i="11"/>
  <c r="V27" i="11"/>
  <c r="X27" i="11" s="1"/>
  <c r="W27" i="11"/>
  <c r="AD27" i="11"/>
  <c r="AE27" i="11"/>
  <c r="AF27" i="11"/>
  <c r="J28" i="11"/>
  <c r="M28" i="11" s="1"/>
  <c r="N28" i="11"/>
  <c r="V28" i="11"/>
  <c r="X28" i="11" s="1"/>
  <c r="W28" i="11"/>
  <c r="AD28" i="11"/>
  <c r="AE28" i="11"/>
  <c r="AF28" i="11"/>
  <c r="J29" i="11"/>
  <c r="M29" i="11" s="1"/>
  <c r="N29" i="11"/>
  <c r="V29" i="11"/>
  <c r="X29" i="11" s="1"/>
  <c r="W29" i="11"/>
  <c r="AD29" i="11"/>
  <c r="AE29" i="11"/>
  <c r="AF29" i="11"/>
  <c r="J30" i="11"/>
  <c r="M30" i="11" s="1"/>
  <c r="N30" i="11"/>
  <c r="V30" i="11"/>
  <c r="X30" i="11" s="1"/>
  <c r="W30" i="11"/>
  <c r="AD30" i="11"/>
  <c r="AE30" i="11"/>
  <c r="AF30" i="11"/>
  <c r="J31" i="11"/>
  <c r="M31" i="11" s="1"/>
  <c r="N31" i="11"/>
  <c r="V31" i="11"/>
  <c r="X31" i="11" s="1"/>
  <c r="W31" i="11"/>
  <c r="AD31" i="11"/>
  <c r="AE31" i="11"/>
  <c r="AF31" i="11"/>
  <c r="J32" i="11"/>
  <c r="M32" i="11" s="1"/>
  <c r="N32" i="11"/>
  <c r="V32" i="11"/>
  <c r="X32" i="11" s="1"/>
  <c r="W32" i="11"/>
  <c r="AD32" i="11"/>
  <c r="AE32" i="11"/>
  <c r="AF32" i="11"/>
  <c r="J33" i="11"/>
  <c r="M33" i="11" s="1"/>
  <c r="N33" i="11"/>
  <c r="V33" i="11"/>
  <c r="X33" i="11" s="1"/>
  <c r="W33" i="11"/>
  <c r="AD33" i="11"/>
  <c r="AE33" i="11"/>
  <c r="AF33" i="11"/>
  <c r="J34" i="11"/>
  <c r="M34" i="11" s="1"/>
  <c r="N34" i="11"/>
  <c r="V34" i="11"/>
  <c r="X34" i="11" s="1"/>
  <c r="W34" i="11"/>
  <c r="AD34" i="11"/>
  <c r="AE34" i="11"/>
  <c r="AF34" i="11"/>
  <c r="J35" i="11"/>
  <c r="M35" i="11" s="1"/>
  <c r="N35" i="11"/>
  <c r="V35" i="11"/>
  <c r="X35" i="11" s="1"/>
  <c r="W35" i="11"/>
  <c r="AD35" i="11"/>
  <c r="AE35" i="11"/>
  <c r="AF35" i="11"/>
  <c r="J36" i="11"/>
  <c r="M36" i="11" s="1"/>
  <c r="N36" i="11"/>
  <c r="V36" i="11"/>
  <c r="X36" i="11" s="1"/>
  <c r="W36" i="11"/>
  <c r="AD36" i="11"/>
  <c r="AE36" i="11"/>
  <c r="AF36" i="11"/>
  <c r="J37" i="11"/>
  <c r="M37" i="11" s="1"/>
  <c r="N37" i="11"/>
  <c r="V37" i="11"/>
  <c r="X37" i="11" s="1"/>
  <c r="W37" i="11"/>
  <c r="AD37" i="11"/>
  <c r="AE37" i="11"/>
  <c r="AF37" i="11"/>
  <c r="J38" i="11"/>
  <c r="M38" i="11" s="1"/>
  <c r="N38" i="11"/>
  <c r="V38" i="11"/>
  <c r="X38" i="11" s="1"/>
  <c r="W38" i="11"/>
  <c r="AD38" i="11"/>
  <c r="AE38" i="11"/>
  <c r="AF38" i="11"/>
  <c r="J39" i="11"/>
  <c r="M39" i="11" s="1"/>
  <c r="N39" i="11"/>
  <c r="V39" i="11"/>
  <c r="X39" i="11" s="1"/>
  <c r="W39" i="11"/>
  <c r="AD39" i="11"/>
  <c r="AE39" i="11"/>
  <c r="AF39" i="11"/>
  <c r="J40" i="11"/>
  <c r="M40" i="11" s="1"/>
  <c r="N40" i="11"/>
  <c r="V40" i="11"/>
  <c r="X40" i="11" s="1"/>
  <c r="W40" i="11"/>
  <c r="AD40" i="11"/>
  <c r="AE40" i="11"/>
  <c r="AF40" i="11"/>
  <c r="A41" i="11"/>
  <c r="J41" i="11"/>
  <c r="M41" i="11" s="1"/>
  <c r="N41" i="11"/>
  <c r="V41" i="11"/>
  <c r="X41" i="11" s="1"/>
  <c r="W41" i="11"/>
  <c r="AD41" i="11"/>
  <c r="AE41" i="11"/>
  <c r="AF41" i="11"/>
  <c r="A42" i="11"/>
  <c r="J42" i="11"/>
  <c r="M42" i="11" s="1"/>
  <c r="N42" i="11"/>
  <c r="V42" i="11"/>
  <c r="X42" i="11" s="1"/>
  <c r="W42" i="11"/>
  <c r="AD42" i="11"/>
  <c r="AE42" i="11"/>
  <c r="AF42" i="11"/>
  <c r="J43" i="11"/>
  <c r="M43" i="11" s="1"/>
  <c r="N43" i="11"/>
  <c r="V43" i="11"/>
  <c r="X43" i="11" s="1"/>
  <c r="W43" i="11"/>
  <c r="AD43" i="11"/>
  <c r="AE43" i="11"/>
  <c r="AF43" i="11"/>
  <c r="J44" i="11"/>
  <c r="M44" i="11" s="1"/>
  <c r="N44" i="11"/>
  <c r="V44" i="11"/>
  <c r="X44" i="11" s="1"/>
  <c r="W44" i="11"/>
  <c r="AD44" i="11"/>
  <c r="AE44" i="11"/>
  <c r="AF44" i="11"/>
  <c r="J45" i="11"/>
  <c r="M45" i="11" s="1"/>
  <c r="N45" i="11"/>
  <c r="V45" i="11"/>
  <c r="X45" i="11" s="1"/>
  <c r="W45" i="11"/>
  <c r="AD45" i="11"/>
  <c r="AE45" i="11"/>
  <c r="AF45" i="11"/>
  <c r="J46" i="11"/>
  <c r="M46" i="11" s="1"/>
  <c r="N46" i="11"/>
  <c r="V46" i="11"/>
  <c r="X46" i="11" s="1"/>
  <c r="W46" i="11"/>
  <c r="AD46" i="11"/>
  <c r="AE46" i="11"/>
  <c r="AF46" i="11"/>
  <c r="J47" i="11"/>
  <c r="M47" i="11" s="1"/>
  <c r="N47" i="11"/>
  <c r="V47" i="11"/>
  <c r="X47" i="11" s="1"/>
  <c r="W47" i="11"/>
  <c r="AD47" i="11"/>
  <c r="AE47" i="11"/>
  <c r="AF47" i="11"/>
  <c r="A48" i="11"/>
  <c r="J48" i="11"/>
  <c r="M48" i="11" s="1"/>
  <c r="N48" i="11"/>
  <c r="V48" i="11"/>
  <c r="X48" i="11" s="1"/>
  <c r="W48" i="11"/>
  <c r="AD48" i="11"/>
  <c r="AE48" i="11"/>
  <c r="AF48" i="11"/>
  <c r="J49" i="11"/>
  <c r="M49" i="11" s="1"/>
  <c r="N49" i="11"/>
  <c r="V49" i="11"/>
  <c r="X49" i="11" s="1"/>
  <c r="W49" i="11"/>
  <c r="AD49" i="11"/>
  <c r="AE49" i="11"/>
  <c r="AF49" i="11"/>
  <c r="A50" i="11"/>
  <c r="J50" i="11"/>
  <c r="M50" i="11" s="1"/>
  <c r="N50" i="11"/>
  <c r="V50" i="11"/>
  <c r="X50" i="11" s="1"/>
  <c r="W50" i="11"/>
  <c r="AD50" i="11"/>
  <c r="AE50" i="11"/>
  <c r="AF50" i="11"/>
  <c r="J51" i="11"/>
  <c r="M51" i="11" s="1"/>
  <c r="N51" i="11"/>
  <c r="V51" i="11"/>
  <c r="X51" i="11" s="1"/>
  <c r="W51" i="11"/>
  <c r="AD51" i="11"/>
  <c r="AE51" i="11"/>
  <c r="AF51" i="11"/>
  <c r="A52" i="11"/>
  <c r="J52" i="11"/>
  <c r="M52" i="11" s="1"/>
  <c r="N52" i="11"/>
  <c r="V52" i="11"/>
  <c r="X52" i="11" s="1"/>
  <c r="W52" i="11"/>
  <c r="AD52" i="11"/>
  <c r="AE52" i="11"/>
  <c r="AF52" i="11"/>
  <c r="A53" i="11"/>
  <c r="J53" i="11"/>
  <c r="M53" i="11" s="1"/>
  <c r="N53" i="11"/>
  <c r="V53" i="11"/>
  <c r="X53" i="11" s="1"/>
  <c r="W53" i="11"/>
  <c r="AD53" i="11"/>
  <c r="AE53" i="11"/>
  <c r="AF53" i="11"/>
  <c r="J54" i="11"/>
  <c r="M54" i="11" s="1"/>
  <c r="N54" i="11"/>
  <c r="V54" i="11"/>
  <c r="X54" i="11" s="1"/>
  <c r="W54" i="11"/>
  <c r="AD54" i="11"/>
  <c r="AE54" i="11"/>
  <c r="AF54" i="11"/>
  <c r="J55" i="11"/>
  <c r="M55" i="11" s="1"/>
  <c r="N55" i="11"/>
  <c r="V55" i="11"/>
  <c r="X55" i="11" s="1"/>
  <c r="W55" i="11"/>
  <c r="AD55" i="11"/>
  <c r="AE55" i="11"/>
  <c r="AF55" i="11"/>
  <c r="A56" i="11"/>
  <c r="J56" i="11"/>
  <c r="M56" i="11" s="1"/>
  <c r="N56" i="11"/>
  <c r="V56" i="11"/>
  <c r="X56" i="11" s="1"/>
  <c r="W56" i="11"/>
  <c r="AD56" i="11"/>
  <c r="AE56" i="11"/>
  <c r="AF56" i="11"/>
  <c r="A57" i="11"/>
  <c r="J57" i="11"/>
  <c r="M57" i="11" s="1"/>
  <c r="N57" i="11"/>
  <c r="V57" i="11"/>
  <c r="X57" i="11" s="1"/>
  <c r="W57" i="11"/>
  <c r="AD57" i="11"/>
  <c r="AE57" i="11"/>
  <c r="AF57" i="11"/>
  <c r="J58" i="11"/>
  <c r="M58" i="11" s="1"/>
  <c r="N58" i="11"/>
  <c r="V58" i="11"/>
  <c r="X58" i="11" s="1"/>
  <c r="P14" i="15" s="1"/>
  <c r="W58" i="11"/>
  <c r="AD58" i="11"/>
  <c r="AE58" i="11"/>
  <c r="AF58" i="11"/>
  <c r="J59" i="11"/>
  <c r="M59" i="11" s="1"/>
  <c r="N59" i="11"/>
  <c r="V59" i="11"/>
  <c r="X59" i="11" s="1"/>
  <c r="W59" i="11"/>
  <c r="AD59" i="11"/>
  <c r="AE59" i="11"/>
  <c r="AF59" i="11"/>
  <c r="J60" i="11"/>
  <c r="M60" i="11" s="1"/>
  <c r="N60" i="11"/>
  <c r="V60" i="11"/>
  <c r="X60" i="11" s="1"/>
  <c r="W60" i="11"/>
  <c r="AD60" i="11"/>
  <c r="AE60" i="11"/>
  <c r="AF60" i="11"/>
  <c r="J61" i="11"/>
  <c r="M61" i="11" s="1"/>
  <c r="N61" i="11"/>
  <c r="V61" i="11"/>
  <c r="X61" i="11" s="1"/>
  <c r="W61" i="11"/>
  <c r="AD61" i="11"/>
  <c r="AE61" i="11"/>
  <c r="AF61" i="11"/>
  <c r="J62" i="11"/>
  <c r="M62" i="11" s="1"/>
  <c r="N62" i="11"/>
  <c r="V62" i="11"/>
  <c r="X62" i="11" s="1"/>
  <c r="P9" i="15" s="1"/>
  <c r="W62" i="11"/>
  <c r="AD62" i="11"/>
  <c r="AE62" i="11"/>
  <c r="AF62" i="11"/>
  <c r="J63" i="11"/>
  <c r="M63" i="11" s="1"/>
  <c r="N63" i="11"/>
  <c r="V63" i="11"/>
  <c r="X63" i="11" s="1"/>
  <c r="W63" i="11"/>
  <c r="AD63" i="11"/>
  <c r="AE63" i="11"/>
  <c r="AF63" i="11"/>
  <c r="J64" i="11"/>
  <c r="M64" i="11" s="1"/>
  <c r="N64" i="11"/>
  <c r="V64" i="11"/>
  <c r="X64" i="11" s="1"/>
  <c r="W64" i="11"/>
  <c r="AD64" i="11"/>
  <c r="AE64" i="11"/>
  <c r="AF64" i="11"/>
  <c r="J65" i="11"/>
  <c r="M65" i="11" s="1"/>
  <c r="N65" i="11"/>
  <c r="V65" i="11"/>
  <c r="X65" i="11" s="1"/>
  <c r="W65" i="11"/>
  <c r="AD65" i="11"/>
  <c r="AE65" i="11"/>
  <c r="AF65" i="11"/>
  <c r="J66" i="11"/>
  <c r="M66" i="11" s="1"/>
  <c r="N66" i="11"/>
  <c r="V66" i="11"/>
  <c r="X66" i="11" s="1"/>
  <c r="P25" i="15" s="1"/>
  <c r="W66" i="11"/>
  <c r="AD66" i="11"/>
  <c r="AE66" i="11"/>
  <c r="AF66" i="11"/>
  <c r="J67" i="11"/>
  <c r="M67" i="11" s="1"/>
  <c r="N67" i="11"/>
  <c r="V67" i="11"/>
  <c r="X67" i="11" s="1"/>
  <c r="W67" i="11"/>
  <c r="AD67" i="11"/>
  <c r="AE67" i="11"/>
  <c r="AF67" i="11"/>
  <c r="J68" i="11"/>
  <c r="M68" i="11" s="1"/>
  <c r="N68" i="11"/>
  <c r="V68" i="11"/>
  <c r="X68" i="11" s="1"/>
  <c r="W68" i="11"/>
  <c r="AD68" i="11"/>
  <c r="AE68" i="11"/>
  <c r="AF68" i="11"/>
  <c r="J69" i="11"/>
  <c r="M69" i="11" s="1"/>
  <c r="N69" i="11"/>
  <c r="V69" i="11"/>
  <c r="X69" i="11" s="1"/>
  <c r="W69" i="11"/>
  <c r="AD69" i="11"/>
  <c r="AE69" i="11"/>
  <c r="AF69" i="11"/>
  <c r="J70" i="11"/>
  <c r="M70" i="11" s="1"/>
  <c r="N70" i="11"/>
  <c r="V70" i="11"/>
  <c r="X70" i="11" s="1"/>
  <c r="P13" i="15" s="1"/>
  <c r="W70" i="11"/>
  <c r="AD70" i="11"/>
  <c r="AE70" i="11"/>
  <c r="AF70" i="11"/>
  <c r="J71" i="11"/>
  <c r="M71" i="11" s="1"/>
  <c r="N71" i="11"/>
  <c r="V71" i="11"/>
  <c r="X71" i="11" s="1"/>
  <c r="W71" i="11"/>
  <c r="AD71" i="11"/>
  <c r="AE71" i="11"/>
  <c r="AF71" i="11"/>
  <c r="J72" i="11"/>
  <c r="M72" i="11" s="1"/>
  <c r="N72" i="11"/>
  <c r="V72" i="11"/>
  <c r="X72" i="11" s="1"/>
  <c r="P29" i="15" s="1"/>
  <c r="W72" i="11"/>
  <c r="AD72" i="11"/>
  <c r="AE72" i="11"/>
  <c r="AF72" i="11"/>
  <c r="J73" i="11"/>
  <c r="M73" i="11" s="1"/>
  <c r="N73" i="11"/>
  <c r="V73" i="11"/>
  <c r="X73" i="11" s="1"/>
  <c r="W73" i="11"/>
  <c r="AD73" i="11"/>
  <c r="AE73" i="11"/>
  <c r="AF73" i="11"/>
  <c r="J74" i="11"/>
  <c r="M74" i="11" s="1"/>
  <c r="N74" i="11"/>
  <c r="V74" i="11"/>
  <c r="X74" i="11" s="1"/>
  <c r="W74" i="11"/>
  <c r="AD74" i="11"/>
  <c r="AE74" i="11"/>
  <c r="AF74" i="11"/>
  <c r="J75" i="11"/>
  <c r="M75" i="11" s="1"/>
  <c r="N75" i="11"/>
  <c r="V75" i="11"/>
  <c r="X75" i="11" s="1"/>
  <c r="W75" i="11"/>
  <c r="AD75" i="11"/>
  <c r="AE75" i="11"/>
  <c r="AF75" i="11"/>
  <c r="J76" i="11"/>
  <c r="M76" i="11" s="1"/>
  <c r="N76" i="11"/>
  <c r="V76" i="11"/>
  <c r="X76" i="11" s="1"/>
  <c r="W76" i="11"/>
  <c r="AD76" i="11"/>
  <c r="AE76" i="11"/>
  <c r="AF76" i="11"/>
  <c r="J77" i="11"/>
  <c r="M77" i="11" s="1"/>
  <c r="N77" i="11"/>
  <c r="V77" i="11"/>
  <c r="X77" i="11" s="1"/>
  <c r="W77" i="11"/>
  <c r="AD77" i="11"/>
  <c r="AE77" i="11"/>
  <c r="AF77" i="11"/>
  <c r="J78" i="11"/>
  <c r="M78" i="11" s="1"/>
  <c r="N78" i="11"/>
  <c r="V78" i="11"/>
  <c r="X78" i="11" s="1"/>
  <c r="P43" i="15" s="1"/>
  <c r="W78" i="11"/>
  <c r="AD78" i="11"/>
  <c r="AE78" i="11"/>
  <c r="AF78" i="11"/>
  <c r="J79" i="11"/>
  <c r="M79" i="11" s="1"/>
  <c r="N79" i="11"/>
  <c r="V79" i="11"/>
  <c r="X79" i="11" s="1"/>
  <c r="W79" i="11"/>
  <c r="AD79" i="11"/>
  <c r="AE79" i="11"/>
  <c r="AF79" i="11"/>
  <c r="J80" i="11"/>
  <c r="M80" i="11" s="1"/>
  <c r="N80" i="11"/>
  <c r="V80" i="11"/>
  <c r="X80" i="11" s="1"/>
  <c r="W80" i="11"/>
  <c r="AD80" i="11"/>
  <c r="AE80" i="11"/>
  <c r="AF80" i="11"/>
  <c r="J81" i="11"/>
  <c r="M81" i="11" s="1"/>
  <c r="N81" i="11"/>
  <c r="V81" i="11"/>
  <c r="X81" i="11" s="1"/>
  <c r="W81" i="11"/>
  <c r="AD81" i="11"/>
  <c r="AE81" i="11"/>
  <c r="AF81" i="11"/>
  <c r="J82" i="11"/>
  <c r="M82" i="11" s="1"/>
  <c r="N82" i="11"/>
  <c r="V82" i="11"/>
  <c r="X82" i="11" s="1"/>
  <c r="W82" i="11"/>
  <c r="AD82" i="11"/>
  <c r="AE82" i="11"/>
  <c r="AF82" i="11"/>
  <c r="A83" i="11"/>
  <c r="J83" i="11"/>
  <c r="M83" i="11" s="1"/>
  <c r="N83" i="11"/>
  <c r="V83" i="11"/>
  <c r="X83" i="11" s="1"/>
  <c r="W83" i="11"/>
  <c r="AD83" i="11"/>
  <c r="AE83" i="11"/>
  <c r="AF83" i="11"/>
  <c r="J84" i="11"/>
  <c r="M84" i="11" s="1"/>
  <c r="N84" i="11"/>
  <c r="V84" i="11"/>
  <c r="X84" i="11" s="1"/>
  <c r="W84" i="11"/>
  <c r="AD84" i="11"/>
  <c r="AE84" i="11"/>
  <c r="AF84" i="11"/>
  <c r="J85" i="11"/>
  <c r="M85" i="11" s="1"/>
  <c r="N85" i="11"/>
  <c r="V85" i="11"/>
  <c r="X85" i="11" s="1"/>
  <c r="W85" i="11"/>
  <c r="AD85" i="11"/>
  <c r="AE85" i="11"/>
  <c r="AF85" i="11"/>
  <c r="J86" i="11"/>
  <c r="M86" i="11" s="1"/>
  <c r="N86" i="11"/>
  <c r="V86" i="11"/>
  <c r="X86" i="11" s="1"/>
  <c r="W86" i="11"/>
  <c r="AD86" i="11"/>
  <c r="AE86" i="11"/>
  <c r="AF86" i="11"/>
  <c r="J87" i="11"/>
  <c r="M87" i="11" s="1"/>
  <c r="N87" i="11"/>
  <c r="V87" i="11"/>
  <c r="X87" i="11" s="1"/>
  <c r="W87" i="11"/>
  <c r="AD87" i="11"/>
  <c r="AE87" i="11"/>
  <c r="AF87" i="11"/>
  <c r="J88" i="11"/>
  <c r="M88" i="11" s="1"/>
  <c r="N88" i="11"/>
  <c r="V88" i="11"/>
  <c r="X88" i="11" s="1"/>
  <c r="W88" i="11"/>
  <c r="AD88" i="11"/>
  <c r="AE88" i="11"/>
  <c r="AF88" i="11"/>
  <c r="J89" i="11"/>
  <c r="M89" i="11" s="1"/>
  <c r="N89" i="11"/>
  <c r="V89" i="11"/>
  <c r="X89" i="11" s="1"/>
  <c r="P17" i="15" s="1"/>
  <c r="W89" i="11"/>
  <c r="AD89" i="11"/>
  <c r="AE89" i="11"/>
  <c r="AF89" i="11"/>
  <c r="J90" i="11"/>
  <c r="M90" i="11" s="1"/>
  <c r="N90" i="11"/>
  <c r="V90" i="11"/>
  <c r="W90" i="11"/>
  <c r="AD90" i="11"/>
  <c r="AE90" i="11"/>
  <c r="AF90" i="11"/>
  <c r="J91" i="11"/>
  <c r="M91" i="11" s="1"/>
  <c r="N91" i="11"/>
  <c r="V91" i="11"/>
  <c r="X91" i="11" s="1"/>
  <c r="W91" i="11"/>
  <c r="AD91" i="11"/>
  <c r="AE91" i="11"/>
  <c r="AF91" i="11"/>
  <c r="J92" i="11"/>
  <c r="M92" i="11" s="1"/>
  <c r="N92" i="11"/>
  <c r="V92" i="11"/>
  <c r="X92" i="11" s="1"/>
  <c r="W92" i="11"/>
  <c r="AD92" i="11"/>
  <c r="AE92" i="11"/>
  <c r="AF92" i="11"/>
  <c r="J93" i="11"/>
  <c r="M93" i="11" s="1"/>
  <c r="N93" i="11"/>
  <c r="V93" i="11"/>
  <c r="X93" i="11" s="1"/>
  <c r="W93" i="11"/>
  <c r="AD93" i="11"/>
  <c r="AE93" i="11"/>
  <c r="AF93" i="11"/>
  <c r="J94" i="11"/>
  <c r="M94" i="11" s="1"/>
  <c r="N94" i="11"/>
  <c r="V94" i="11"/>
  <c r="X94" i="11" s="1"/>
  <c r="W94" i="11"/>
  <c r="AD94" i="11"/>
  <c r="AE94" i="11"/>
  <c r="AF94" i="11"/>
  <c r="J95" i="11"/>
  <c r="M95" i="11" s="1"/>
  <c r="N95" i="11"/>
  <c r="V95" i="11"/>
  <c r="X95" i="11" s="1"/>
  <c r="W95" i="11"/>
  <c r="AD95" i="11"/>
  <c r="AE95" i="11"/>
  <c r="AF95" i="11"/>
  <c r="J96" i="11"/>
  <c r="M96" i="11" s="1"/>
  <c r="N96" i="11"/>
  <c r="V96" i="11"/>
  <c r="X96" i="11" s="1"/>
  <c r="W96" i="11"/>
  <c r="AD96" i="11"/>
  <c r="AE96" i="11"/>
  <c r="AF96" i="11"/>
  <c r="J97" i="11"/>
  <c r="M97" i="11" s="1"/>
  <c r="N97" i="11"/>
  <c r="V97" i="11"/>
  <c r="X97" i="11" s="1"/>
  <c r="W97" i="11"/>
  <c r="AD97" i="11"/>
  <c r="AE97" i="11"/>
  <c r="AF97" i="11"/>
  <c r="J98" i="11"/>
  <c r="M98" i="11" s="1"/>
  <c r="N98" i="11"/>
  <c r="V98" i="11"/>
  <c r="X98" i="11" s="1"/>
  <c r="P24" i="15" s="1"/>
  <c r="W98" i="11"/>
  <c r="AD98" i="11"/>
  <c r="AE98" i="11"/>
  <c r="AF98" i="11"/>
  <c r="J99" i="11"/>
  <c r="M99" i="11" s="1"/>
  <c r="N99" i="11"/>
  <c r="V99" i="11"/>
  <c r="X99" i="11" s="1"/>
  <c r="P27" i="15" s="1"/>
  <c r="W99" i="11"/>
  <c r="AD99" i="11"/>
  <c r="AE99" i="11"/>
  <c r="AF99" i="11"/>
  <c r="J100" i="11"/>
  <c r="M100" i="11" s="1"/>
  <c r="N100" i="11"/>
  <c r="V100" i="11"/>
  <c r="X100" i="11" s="1"/>
  <c r="P23" i="15" s="1"/>
  <c r="W100" i="11"/>
  <c r="AD100" i="11"/>
  <c r="AE100" i="11"/>
  <c r="AF100" i="11"/>
  <c r="J101" i="11"/>
  <c r="M101" i="11" s="1"/>
  <c r="N101" i="11"/>
  <c r="V101" i="11"/>
  <c r="X101" i="11" s="1"/>
  <c r="P34" i="15" s="1"/>
  <c r="W101" i="11"/>
  <c r="AD101" i="11"/>
  <c r="AE101" i="11"/>
  <c r="AF101" i="11"/>
  <c r="J102" i="11"/>
  <c r="M102" i="11" s="1"/>
  <c r="N102" i="11"/>
  <c r="V102" i="11"/>
  <c r="X102" i="11" s="1"/>
  <c r="W102" i="11"/>
  <c r="AD102" i="11"/>
  <c r="AE102" i="11"/>
  <c r="AF102" i="11"/>
  <c r="J103" i="11"/>
  <c r="M103" i="11" s="1"/>
  <c r="N103" i="11"/>
  <c r="V103" i="11"/>
  <c r="X103" i="11" s="1"/>
  <c r="W103" i="11"/>
  <c r="AD103" i="11"/>
  <c r="AE103" i="11"/>
  <c r="AF103" i="11"/>
  <c r="J104" i="11"/>
  <c r="M104" i="11" s="1"/>
  <c r="N104" i="11"/>
  <c r="V104" i="11"/>
  <c r="X104" i="11" s="1"/>
  <c r="W104" i="11"/>
  <c r="AD104" i="11"/>
  <c r="AE104" i="11"/>
  <c r="AF104" i="11"/>
  <c r="J105" i="11"/>
  <c r="M105" i="11" s="1"/>
  <c r="N105" i="11"/>
  <c r="V105" i="11"/>
  <c r="X105" i="11" s="1"/>
  <c r="W105" i="11"/>
  <c r="AD105" i="11"/>
  <c r="AE105" i="11"/>
  <c r="AF105" i="11"/>
  <c r="J106" i="11"/>
  <c r="M106" i="11" s="1"/>
  <c r="N106" i="11"/>
  <c r="V106" i="11"/>
  <c r="X106" i="11" s="1"/>
  <c r="W106" i="11"/>
  <c r="AD106" i="11"/>
  <c r="AE106" i="11"/>
  <c r="AF106" i="11"/>
  <c r="J107" i="11"/>
  <c r="M107" i="11" s="1"/>
  <c r="N107" i="11"/>
  <c r="V107" i="11"/>
  <c r="X107" i="11" s="1"/>
  <c r="W107" i="11"/>
  <c r="AD107" i="11"/>
  <c r="AE107" i="11"/>
  <c r="AF107" i="11"/>
  <c r="J108" i="11"/>
  <c r="M108" i="11" s="1"/>
  <c r="N108" i="11"/>
  <c r="V108" i="11"/>
  <c r="X108" i="11" s="1"/>
  <c r="W108" i="11"/>
  <c r="AD108" i="11"/>
  <c r="AE108" i="11"/>
  <c r="AF108" i="11"/>
  <c r="J109" i="11"/>
  <c r="M109" i="11" s="1"/>
  <c r="N109" i="11"/>
  <c r="V109" i="11"/>
  <c r="X109" i="11" s="1"/>
  <c r="W109" i="11"/>
  <c r="AD109" i="11"/>
  <c r="AE109" i="11"/>
  <c r="AF109" i="11"/>
  <c r="J110" i="11"/>
  <c r="M110" i="11" s="1"/>
  <c r="N110" i="11"/>
  <c r="V110" i="11"/>
  <c r="X110" i="11" s="1"/>
  <c r="W110" i="11"/>
  <c r="AD110" i="11"/>
  <c r="AE110" i="11"/>
  <c r="AF110" i="11"/>
  <c r="J111" i="11"/>
  <c r="M111" i="11" s="1"/>
  <c r="N111" i="11"/>
  <c r="V111" i="11"/>
  <c r="X111" i="11" s="1"/>
  <c r="W111" i="11"/>
  <c r="AD111" i="11"/>
  <c r="AE111" i="11"/>
  <c r="AF111" i="11"/>
  <c r="J112" i="11"/>
  <c r="M112" i="11" s="1"/>
  <c r="N112" i="11"/>
  <c r="V112" i="11"/>
  <c r="X112" i="11" s="1"/>
  <c r="W112" i="11"/>
  <c r="AD112" i="11"/>
  <c r="AE112" i="11"/>
  <c r="AF112" i="11"/>
  <c r="J113" i="11"/>
  <c r="M113" i="11" s="1"/>
  <c r="N113" i="11"/>
  <c r="V113" i="11"/>
  <c r="X113" i="11" s="1"/>
  <c r="P21" i="15" s="1"/>
  <c r="W113" i="11"/>
  <c r="AD113" i="11"/>
  <c r="AE113" i="11"/>
  <c r="AF113" i="11"/>
  <c r="J114" i="11"/>
  <c r="M114" i="11" s="1"/>
  <c r="N114" i="11"/>
  <c r="V114" i="11"/>
  <c r="X114" i="11" s="1"/>
  <c r="W114" i="11"/>
  <c r="AD114" i="11"/>
  <c r="AE114" i="11"/>
  <c r="AF114" i="11"/>
  <c r="J115" i="11"/>
  <c r="M115" i="11" s="1"/>
  <c r="N115" i="11"/>
  <c r="V115" i="11"/>
  <c r="X115" i="11" s="1"/>
  <c r="W115" i="11"/>
  <c r="AD115" i="11"/>
  <c r="AE115" i="11"/>
  <c r="AF115" i="11"/>
  <c r="J116" i="11"/>
  <c r="M116" i="11" s="1"/>
  <c r="N116" i="11"/>
  <c r="V116" i="11"/>
  <c r="X116" i="11" s="1"/>
  <c r="W116" i="11"/>
  <c r="AD116" i="11"/>
  <c r="AE116" i="11"/>
  <c r="AF116" i="11"/>
  <c r="J117" i="11"/>
  <c r="M117" i="11" s="1"/>
  <c r="N117" i="11"/>
  <c r="V117" i="11"/>
  <c r="X117" i="11" s="1"/>
  <c r="W117" i="11"/>
  <c r="AD117" i="11"/>
  <c r="AE117" i="11"/>
  <c r="AF117" i="11"/>
  <c r="J118" i="11"/>
  <c r="M118" i="11" s="1"/>
  <c r="N118" i="11"/>
  <c r="V118" i="11"/>
  <c r="X118" i="11" s="1"/>
  <c r="W118" i="11"/>
  <c r="AD118" i="11"/>
  <c r="AE118" i="11"/>
  <c r="AF118" i="11"/>
  <c r="J119" i="11"/>
  <c r="M119" i="11" s="1"/>
  <c r="N119" i="11"/>
  <c r="V119" i="11"/>
  <c r="X119" i="11" s="1"/>
  <c r="W119" i="11"/>
  <c r="AD119" i="11"/>
  <c r="AE119" i="11"/>
  <c r="AF119" i="11"/>
  <c r="J120" i="11"/>
  <c r="M120" i="11" s="1"/>
  <c r="N120" i="11"/>
  <c r="V120" i="11"/>
  <c r="X120" i="11" s="1"/>
  <c r="W120" i="11"/>
  <c r="AD120" i="11"/>
  <c r="AE120" i="11"/>
  <c r="AF120" i="11"/>
  <c r="J121" i="11"/>
  <c r="M121" i="11" s="1"/>
  <c r="N121" i="11"/>
  <c r="V121" i="11"/>
  <c r="X121" i="11" s="1"/>
  <c r="W121" i="11"/>
  <c r="AD121" i="11"/>
  <c r="AE121" i="11"/>
  <c r="AF121" i="11"/>
  <c r="J122" i="11"/>
  <c r="M122" i="11" s="1"/>
  <c r="N122" i="11"/>
  <c r="V122" i="11"/>
  <c r="X122" i="11" s="1"/>
  <c r="W122" i="11"/>
  <c r="AD122" i="11"/>
  <c r="AE122" i="11"/>
  <c r="AF122" i="11"/>
  <c r="J123" i="11"/>
  <c r="M123" i="11" s="1"/>
  <c r="N123" i="11"/>
  <c r="V123" i="11"/>
  <c r="X123" i="11" s="1"/>
  <c r="P40" i="15" s="1"/>
  <c r="W123" i="11"/>
  <c r="AD123" i="11"/>
  <c r="AE123" i="11"/>
  <c r="AF123" i="11"/>
  <c r="J124" i="11"/>
  <c r="M124" i="11" s="1"/>
  <c r="N124" i="11"/>
  <c r="V124" i="11"/>
  <c r="X124" i="11" s="1"/>
  <c r="W124" i="11"/>
  <c r="AD124" i="11"/>
  <c r="AE124" i="11"/>
  <c r="AF124" i="11"/>
  <c r="J125" i="11"/>
  <c r="M125" i="11" s="1"/>
  <c r="N125" i="11"/>
  <c r="V125" i="11"/>
  <c r="X125" i="11" s="1"/>
  <c r="W125" i="11"/>
  <c r="AD125" i="11"/>
  <c r="AE125" i="11"/>
  <c r="AF125" i="11"/>
  <c r="A126" i="11"/>
  <c r="J126" i="11"/>
  <c r="M126" i="11" s="1"/>
  <c r="N126" i="11"/>
  <c r="V126" i="11"/>
  <c r="X126" i="11" s="1"/>
  <c r="W126" i="11"/>
  <c r="AD126" i="11"/>
  <c r="AE126" i="11"/>
  <c r="AF126" i="11"/>
  <c r="A127" i="11"/>
  <c r="J127" i="11"/>
  <c r="M127" i="11" s="1"/>
  <c r="N127" i="11"/>
  <c r="V127" i="11"/>
  <c r="X127" i="11" s="1"/>
  <c r="W127" i="11"/>
  <c r="AD127" i="11"/>
  <c r="AE127" i="11"/>
  <c r="AF127" i="11"/>
  <c r="J128" i="11"/>
  <c r="M128" i="11" s="1"/>
  <c r="N128" i="11"/>
  <c r="V128" i="11"/>
  <c r="X128" i="11" s="1"/>
  <c r="P36" i="15" s="1"/>
  <c r="W128" i="11"/>
  <c r="AD128" i="11"/>
  <c r="AE128" i="11"/>
  <c r="AF128" i="11"/>
  <c r="J129" i="11"/>
  <c r="M129" i="11" s="1"/>
  <c r="N129" i="11"/>
  <c r="V129" i="11"/>
  <c r="X129" i="11" s="1"/>
  <c r="W129" i="11"/>
  <c r="AD129" i="11"/>
  <c r="AE129" i="11"/>
  <c r="AF129" i="11"/>
  <c r="J130" i="11"/>
  <c r="M130" i="11" s="1"/>
  <c r="N130" i="11"/>
  <c r="V130" i="11"/>
  <c r="X130" i="11" s="1"/>
  <c r="W130" i="11"/>
  <c r="AD130" i="11"/>
  <c r="AE130" i="11"/>
  <c r="AF130" i="11"/>
  <c r="J131" i="11"/>
  <c r="M131" i="11" s="1"/>
  <c r="N131" i="11"/>
  <c r="V131" i="11"/>
  <c r="X131" i="11" s="1"/>
  <c r="W131" i="11"/>
  <c r="AD131" i="11"/>
  <c r="AE131" i="11"/>
  <c r="AF131" i="11"/>
  <c r="A132" i="11"/>
  <c r="J132" i="11"/>
  <c r="M132" i="11" s="1"/>
  <c r="N132" i="11"/>
  <c r="V132" i="11"/>
  <c r="X132" i="11" s="1"/>
  <c r="W132" i="11"/>
  <c r="AD132" i="11"/>
  <c r="AE132" i="11"/>
  <c r="AF132" i="11"/>
  <c r="J133" i="11"/>
  <c r="M133" i="11" s="1"/>
  <c r="N133" i="11"/>
  <c r="V133" i="11"/>
  <c r="X133" i="11" s="1"/>
  <c r="W133" i="11"/>
  <c r="AD133" i="11"/>
  <c r="AE133" i="11"/>
  <c r="AF133" i="11"/>
  <c r="J134" i="11"/>
  <c r="M134" i="11" s="1"/>
  <c r="N134" i="11"/>
  <c r="V134" i="11"/>
  <c r="X134" i="11" s="1"/>
  <c r="W134" i="11"/>
  <c r="AD134" i="11"/>
  <c r="AE134" i="11"/>
  <c r="AF134" i="11"/>
  <c r="J135" i="11"/>
  <c r="M135" i="11" s="1"/>
  <c r="N135" i="11"/>
  <c r="V135" i="11"/>
  <c r="X135" i="11" s="1"/>
  <c r="W135" i="11"/>
  <c r="AD135" i="11"/>
  <c r="AE135" i="11"/>
  <c r="AF135" i="11"/>
  <c r="J136" i="11"/>
  <c r="M136" i="11" s="1"/>
  <c r="N136" i="11"/>
  <c r="V136" i="11"/>
  <c r="X136" i="11" s="1"/>
  <c r="W136" i="11"/>
  <c r="AD136" i="11"/>
  <c r="AE136" i="11"/>
  <c r="AF136" i="11"/>
  <c r="J137" i="11"/>
  <c r="M137" i="11" s="1"/>
  <c r="N137" i="11"/>
  <c r="V137" i="11"/>
  <c r="X137" i="11" s="1"/>
  <c r="W137" i="11"/>
  <c r="AD137" i="11"/>
  <c r="AE137" i="11"/>
  <c r="AF137" i="11"/>
  <c r="J138" i="11"/>
  <c r="M138" i="11" s="1"/>
  <c r="N138" i="11"/>
  <c r="V138" i="11"/>
  <c r="X138" i="11" s="1"/>
  <c r="W138" i="11"/>
  <c r="AD138" i="11"/>
  <c r="AE138" i="11"/>
  <c r="AF138" i="11"/>
  <c r="A139" i="11"/>
  <c r="J139" i="11"/>
  <c r="M139" i="11" s="1"/>
  <c r="N139" i="11"/>
  <c r="V139" i="11"/>
  <c r="X139" i="11" s="1"/>
  <c r="W139" i="11"/>
  <c r="AD139" i="11"/>
  <c r="AE139" i="11"/>
  <c r="AF139" i="11"/>
  <c r="A140" i="11"/>
  <c r="J140" i="11"/>
  <c r="M140" i="11" s="1"/>
  <c r="N140" i="11"/>
  <c r="V140" i="11"/>
  <c r="X140" i="11" s="1"/>
  <c r="W140" i="11"/>
  <c r="AD140" i="11"/>
  <c r="AE140" i="11"/>
  <c r="AF140" i="11"/>
  <c r="J141" i="11"/>
  <c r="M141" i="11" s="1"/>
  <c r="N141" i="11"/>
  <c r="V141" i="11"/>
  <c r="X141" i="11" s="1"/>
  <c r="AH18" i="7" s="1"/>
  <c r="W141" i="11"/>
  <c r="AD141" i="11"/>
  <c r="AE141" i="11"/>
  <c r="AF141" i="11"/>
  <c r="A142" i="11"/>
  <c r="J142" i="11"/>
  <c r="M142" i="11" s="1"/>
  <c r="N142" i="11"/>
  <c r="V142" i="11"/>
  <c r="X142" i="11" s="1"/>
  <c r="W142" i="11"/>
  <c r="AD142" i="11"/>
  <c r="AE142" i="11"/>
  <c r="AF142" i="11"/>
  <c r="J143" i="11"/>
  <c r="M143" i="11" s="1"/>
  <c r="N143" i="11"/>
  <c r="V143" i="11"/>
  <c r="X143" i="11" s="1"/>
  <c r="W143" i="11"/>
  <c r="AD143" i="11"/>
  <c r="AE143" i="11"/>
  <c r="AF143" i="11"/>
  <c r="J144" i="11"/>
  <c r="M144" i="11" s="1"/>
  <c r="N144" i="11"/>
  <c r="V144" i="11"/>
  <c r="X144" i="11" s="1"/>
  <c r="W144" i="11"/>
  <c r="AD144" i="11"/>
  <c r="AE144" i="11"/>
  <c r="AF144" i="11"/>
  <c r="J145" i="11"/>
  <c r="M145" i="11" s="1"/>
  <c r="N145" i="11"/>
  <c r="V145" i="11"/>
  <c r="X145" i="11" s="1"/>
  <c r="W145" i="11"/>
  <c r="AD145" i="11"/>
  <c r="AE145" i="11"/>
  <c r="AF145" i="11"/>
  <c r="J146" i="11"/>
  <c r="M146" i="11" s="1"/>
  <c r="N146" i="11"/>
  <c r="V146" i="11"/>
  <c r="X146" i="11" s="1"/>
  <c r="W146" i="11"/>
  <c r="AD146" i="11"/>
  <c r="AE146" i="11"/>
  <c r="AF146" i="11"/>
  <c r="A147" i="11"/>
  <c r="J147" i="11"/>
  <c r="M147" i="11" s="1"/>
  <c r="N147" i="11"/>
  <c r="V147" i="11"/>
  <c r="X147" i="11" s="1"/>
  <c r="W147" i="11"/>
  <c r="AD147" i="11"/>
  <c r="AE147" i="11"/>
  <c r="AF147" i="11"/>
  <c r="A148" i="11"/>
  <c r="J148" i="11"/>
  <c r="M148" i="11" s="1"/>
  <c r="N148" i="11"/>
  <c r="V148" i="11"/>
  <c r="X148" i="11" s="1"/>
  <c r="W148" i="11"/>
  <c r="AD148" i="11"/>
  <c r="AE148" i="11"/>
  <c r="AF148" i="11"/>
  <c r="A149" i="11"/>
  <c r="J149" i="11"/>
  <c r="M149" i="11" s="1"/>
  <c r="N149" i="11"/>
  <c r="V149" i="11"/>
  <c r="X149" i="11" s="1"/>
  <c r="W149" i="11"/>
  <c r="AD149" i="11"/>
  <c r="AE149" i="11"/>
  <c r="AF149" i="11"/>
  <c r="A150" i="11"/>
  <c r="J150" i="11"/>
  <c r="M150" i="11" s="1"/>
  <c r="N150" i="11"/>
  <c r="V150" i="11"/>
  <c r="X150" i="11" s="1"/>
  <c r="W150" i="11"/>
  <c r="AD150" i="11"/>
  <c r="AE150" i="11"/>
  <c r="AF150" i="11"/>
  <c r="A151" i="11"/>
  <c r="J151" i="11"/>
  <c r="M151" i="11" s="1"/>
  <c r="N151" i="11"/>
  <c r="V151" i="11"/>
  <c r="X151" i="11" s="1"/>
  <c r="W151" i="11"/>
  <c r="AD151" i="11"/>
  <c r="AE151" i="11"/>
  <c r="AF151" i="11"/>
  <c r="A152" i="11"/>
  <c r="J152" i="11"/>
  <c r="M152" i="11" s="1"/>
  <c r="N152" i="11"/>
  <c r="V152" i="11"/>
  <c r="X152" i="11" s="1"/>
  <c r="W152" i="11"/>
  <c r="AD152" i="11"/>
  <c r="AE152" i="11"/>
  <c r="AF152" i="11"/>
  <c r="A153" i="11"/>
  <c r="J153" i="11"/>
  <c r="M153" i="11" s="1"/>
  <c r="N153" i="11"/>
  <c r="V153" i="11"/>
  <c r="X153" i="11" s="1"/>
  <c r="W153" i="11"/>
  <c r="AD153" i="11"/>
  <c r="AE153" i="11"/>
  <c r="AF153" i="11"/>
  <c r="A154" i="11"/>
  <c r="J154" i="11"/>
  <c r="M154" i="11" s="1"/>
  <c r="N154" i="11"/>
  <c r="V154" i="11"/>
  <c r="X154" i="11" s="1"/>
  <c r="W154" i="11"/>
  <c r="AD154" i="11"/>
  <c r="AE154" i="11"/>
  <c r="AF154" i="11"/>
  <c r="A155" i="11"/>
  <c r="J155" i="11"/>
  <c r="M155" i="11" s="1"/>
  <c r="N155" i="11"/>
  <c r="V155" i="11"/>
  <c r="X155" i="11" s="1"/>
  <c r="W155" i="11"/>
  <c r="AD155" i="11"/>
  <c r="AE155" i="11"/>
  <c r="AF155" i="11"/>
  <c r="A156" i="11"/>
  <c r="J156" i="11"/>
  <c r="M156" i="11" s="1"/>
  <c r="N156" i="11"/>
  <c r="V156" i="11"/>
  <c r="X156" i="11" s="1"/>
  <c r="W156" i="11"/>
  <c r="AD156" i="11"/>
  <c r="AE156" i="11"/>
  <c r="AF156" i="11"/>
  <c r="A157" i="11"/>
  <c r="J157" i="11"/>
  <c r="M157" i="11" s="1"/>
  <c r="N157" i="11"/>
  <c r="V157" i="11"/>
  <c r="X157" i="11" s="1"/>
  <c r="W157" i="11"/>
  <c r="AD157" i="11"/>
  <c r="AE157" i="11"/>
  <c r="AF157" i="11"/>
  <c r="A158" i="11"/>
  <c r="J158" i="11"/>
  <c r="M158" i="11" s="1"/>
  <c r="N158" i="11"/>
  <c r="V158" i="11"/>
  <c r="X158" i="11" s="1"/>
  <c r="W158" i="11"/>
  <c r="AD158" i="11"/>
  <c r="AE158" i="11"/>
  <c r="AF158" i="11"/>
  <c r="A159" i="11"/>
  <c r="J159" i="11"/>
  <c r="M159" i="11" s="1"/>
  <c r="N159" i="11"/>
  <c r="V159" i="11"/>
  <c r="X159" i="11" s="1"/>
  <c r="W159" i="11"/>
  <c r="AD159" i="11"/>
  <c r="AE159" i="11"/>
  <c r="AF159" i="11"/>
  <c r="A160" i="11"/>
  <c r="J160" i="11"/>
  <c r="M160" i="11" s="1"/>
  <c r="N160" i="11"/>
  <c r="V160" i="11"/>
  <c r="X160" i="11" s="1"/>
  <c r="W160" i="11"/>
  <c r="AD160" i="11"/>
  <c r="AE160" i="11"/>
  <c r="AF160" i="11"/>
  <c r="A161" i="11"/>
  <c r="J161" i="11"/>
  <c r="M161" i="11" s="1"/>
  <c r="N161" i="11"/>
  <c r="V161" i="11"/>
  <c r="X161" i="11" s="1"/>
  <c r="W161" i="11"/>
  <c r="AD161" i="11"/>
  <c r="AE161" i="11"/>
  <c r="AF161" i="11"/>
  <c r="J162" i="11"/>
  <c r="M162" i="11" s="1"/>
  <c r="N162" i="11"/>
  <c r="V162" i="11"/>
  <c r="X162" i="11" s="1"/>
  <c r="W162" i="11"/>
  <c r="AD162" i="11"/>
  <c r="AE162" i="11"/>
  <c r="AF162" i="11"/>
  <c r="J163" i="11"/>
  <c r="M163" i="11" s="1"/>
  <c r="N163" i="11"/>
  <c r="V163" i="11"/>
  <c r="X163" i="11" s="1"/>
  <c r="AH35" i="7" s="1"/>
  <c r="W163" i="11"/>
  <c r="AD163" i="11"/>
  <c r="AE163" i="11"/>
  <c r="AF163" i="11"/>
  <c r="J164" i="11"/>
  <c r="M164" i="11" s="1"/>
  <c r="N164" i="11"/>
  <c r="V164" i="11"/>
  <c r="X164" i="11" s="1"/>
  <c r="W164" i="11"/>
  <c r="AD164" i="11"/>
  <c r="AE164" i="11"/>
  <c r="AF164" i="11"/>
  <c r="A165" i="11"/>
  <c r="J165" i="11"/>
  <c r="M165" i="11" s="1"/>
  <c r="N165" i="11"/>
  <c r="V165" i="11"/>
  <c r="X165" i="11" s="1"/>
  <c r="W165" i="11"/>
  <c r="AD165" i="11"/>
  <c r="AE165" i="11"/>
  <c r="AF165" i="11"/>
  <c r="A166" i="11"/>
  <c r="J166" i="11"/>
  <c r="M166" i="11" s="1"/>
  <c r="N166" i="11"/>
  <c r="V166" i="11"/>
  <c r="X166" i="11" s="1"/>
  <c r="W166" i="11"/>
  <c r="AD166" i="11"/>
  <c r="AE166" i="11"/>
  <c r="AF166" i="11"/>
  <c r="A167" i="11"/>
  <c r="J167" i="11"/>
  <c r="M167" i="11" s="1"/>
  <c r="N167" i="11"/>
  <c r="V167" i="11"/>
  <c r="X167" i="11" s="1"/>
  <c r="W167" i="11"/>
  <c r="AD167" i="11"/>
  <c r="AE167" i="11"/>
  <c r="AF167" i="11"/>
  <c r="A168" i="11"/>
  <c r="J168" i="11"/>
  <c r="M168" i="11" s="1"/>
  <c r="N168" i="11"/>
  <c r="V168" i="11"/>
  <c r="X168" i="11" s="1"/>
  <c r="W168" i="11"/>
  <c r="AD168" i="11"/>
  <c r="AE168" i="11"/>
  <c r="AF168" i="11"/>
  <c r="J169" i="11"/>
  <c r="M169" i="11" s="1"/>
  <c r="N169" i="11"/>
  <c r="V169" i="11"/>
  <c r="X169" i="11" s="1"/>
  <c r="W169" i="11"/>
  <c r="AD169" i="11"/>
  <c r="AE169" i="11"/>
  <c r="AF169" i="11"/>
  <c r="J170" i="11"/>
  <c r="M170" i="11" s="1"/>
  <c r="N170" i="11"/>
  <c r="V170" i="11"/>
  <c r="X170" i="11" s="1"/>
  <c r="P35" i="15" s="1"/>
  <c r="W170" i="11"/>
  <c r="AD170" i="11"/>
  <c r="AE170" i="11"/>
  <c r="AF170" i="11"/>
  <c r="J171" i="11"/>
  <c r="M171" i="11" s="1"/>
  <c r="N171" i="11"/>
  <c r="V171" i="11"/>
  <c r="X171" i="11" s="1"/>
  <c r="W171" i="11"/>
  <c r="AD171" i="11"/>
  <c r="AE171" i="11"/>
  <c r="AF171" i="11"/>
  <c r="J172" i="11"/>
  <c r="M172" i="11" s="1"/>
  <c r="N172" i="11"/>
  <c r="V172" i="11"/>
  <c r="X172" i="11" s="1"/>
  <c r="W172" i="11"/>
  <c r="AD172" i="11"/>
  <c r="AE172" i="11"/>
  <c r="AF172" i="11"/>
  <c r="J173" i="11"/>
  <c r="M173" i="11" s="1"/>
  <c r="N173" i="11"/>
  <c r="V173" i="11"/>
  <c r="X173" i="11" s="1"/>
  <c r="W173" i="11"/>
  <c r="AD173" i="11"/>
  <c r="AE173" i="11"/>
  <c r="AF173" i="11"/>
  <c r="J174" i="11"/>
  <c r="M174" i="11" s="1"/>
  <c r="N174" i="11"/>
  <c r="V174" i="11"/>
  <c r="X174" i="11" s="1"/>
  <c r="W174" i="11"/>
  <c r="AD174" i="11"/>
  <c r="AE174" i="11"/>
  <c r="AF174" i="11"/>
  <c r="J175" i="11"/>
  <c r="M175" i="11" s="1"/>
  <c r="N175" i="11"/>
  <c r="V175" i="11"/>
  <c r="X175" i="11" s="1"/>
  <c r="W175" i="11"/>
  <c r="AD175" i="11"/>
  <c r="AE175" i="11"/>
  <c r="AF175" i="11"/>
  <c r="J176" i="11"/>
  <c r="M176" i="11" s="1"/>
  <c r="N176" i="11"/>
  <c r="V176" i="11"/>
  <c r="X176" i="11" s="1"/>
  <c r="P15" i="15" s="1"/>
  <c r="W176" i="11"/>
  <c r="AD176" i="11"/>
  <c r="AE176" i="11"/>
  <c r="AF176" i="11"/>
  <c r="J177" i="11"/>
  <c r="M177" i="11" s="1"/>
  <c r="N177" i="11"/>
  <c r="V177" i="11"/>
  <c r="X177" i="11" s="1"/>
  <c r="W177" i="11"/>
  <c r="AD177" i="11"/>
  <c r="AE177" i="11"/>
  <c r="AF177" i="11"/>
  <c r="J178" i="11"/>
  <c r="M178" i="11" s="1"/>
  <c r="N178" i="11"/>
  <c r="V178" i="11"/>
  <c r="X178" i="11" s="1"/>
  <c r="W178" i="11"/>
  <c r="AD178" i="11"/>
  <c r="AE178" i="11"/>
  <c r="AF178" i="11"/>
  <c r="J179" i="11"/>
  <c r="M179" i="11" s="1"/>
  <c r="N179" i="11"/>
  <c r="V179" i="11"/>
  <c r="X179" i="11" s="1"/>
  <c r="W179" i="11"/>
  <c r="AD179" i="11"/>
  <c r="AE179" i="11"/>
  <c r="AF179" i="11"/>
  <c r="J180" i="11"/>
  <c r="M180" i="11" s="1"/>
  <c r="N180" i="11"/>
  <c r="V180" i="11"/>
  <c r="X180" i="11" s="1"/>
  <c r="W180" i="11"/>
  <c r="AD180" i="11"/>
  <c r="AE180" i="11"/>
  <c r="AF180" i="11"/>
  <c r="J181" i="11"/>
  <c r="M181" i="11" s="1"/>
  <c r="N181" i="11"/>
  <c r="V181" i="11"/>
  <c r="X181" i="11" s="1"/>
  <c r="W181" i="11"/>
  <c r="AD181" i="11"/>
  <c r="AE181" i="11"/>
  <c r="AF181" i="11"/>
  <c r="J182" i="11"/>
  <c r="M182" i="11" s="1"/>
  <c r="N182" i="11"/>
  <c r="V182" i="11"/>
  <c r="X182" i="11" s="1"/>
  <c r="W182" i="11"/>
  <c r="AD182" i="11"/>
  <c r="AE182" i="11"/>
  <c r="AF182" i="11"/>
  <c r="J183" i="11"/>
  <c r="M183" i="11" s="1"/>
  <c r="N183" i="11"/>
  <c r="V183" i="11"/>
  <c r="X183" i="11" s="1"/>
  <c r="W183" i="11"/>
  <c r="AD183" i="11"/>
  <c r="AE183" i="11"/>
  <c r="AF183" i="11"/>
  <c r="J184" i="11"/>
  <c r="M184" i="11" s="1"/>
  <c r="N184" i="11"/>
  <c r="V184" i="11"/>
  <c r="X184" i="11" s="1"/>
  <c r="W184" i="11"/>
  <c r="AD184" i="11"/>
  <c r="AE184" i="11"/>
  <c r="AF184" i="11"/>
  <c r="J185" i="11"/>
  <c r="M185" i="11" s="1"/>
  <c r="N185" i="11"/>
  <c r="V185" i="11"/>
  <c r="X185" i="11" s="1"/>
  <c r="W185" i="11"/>
  <c r="AD185" i="11"/>
  <c r="AE185" i="11"/>
  <c r="AF185" i="11"/>
  <c r="A186" i="11"/>
  <c r="J186" i="11"/>
  <c r="M186" i="11" s="1"/>
  <c r="N186" i="11"/>
  <c r="V186" i="11"/>
  <c r="X186" i="11" s="1"/>
  <c r="W186" i="11"/>
  <c r="AD186" i="11"/>
  <c r="AE186" i="11"/>
  <c r="AF186" i="11"/>
  <c r="J187" i="11"/>
  <c r="M187" i="11" s="1"/>
  <c r="N187" i="11"/>
  <c r="V187" i="11"/>
  <c r="X187" i="11" s="1"/>
  <c r="W187" i="11"/>
  <c r="AD187" i="11"/>
  <c r="AE187" i="11"/>
  <c r="AF187" i="11"/>
  <c r="J188" i="11"/>
  <c r="M188" i="11" s="1"/>
  <c r="N188" i="11"/>
  <c r="V188" i="11"/>
  <c r="X188" i="11" s="1"/>
  <c r="W188" i="11"/>
  <c r="AD188" i="11"/>
  <c r="AE188" i="11"/>
  <c r="AF188" i="11"/>
  <c r="J189" i="11"/>
  <c r="M189" i="11" s="1"/>
  <c r="N189" i="11"/>
  <c r="V189" i="11"/>
  <c r="X189" i="11" s="1"/>
  <c r="W189" i="11"/>
  <c r="AD189" i="11"/>
  <c r="AE189" i="11"/>
  <c r="AF189" i="11"/>
  <c r="J190" i="11"/>
  <c r="M190" i="11" s="1"/>
  <c r="N190" i="11"/>
  <c r="V190" i="11"/>
  <c r="X190" i="11" s="1"/>
  <c r="W190" i="11"/>
  <c r="AD190" i="11"/>
  <c r="AE190" i="11"/>
  <c r="AF190" i="11"/>
  <c r="J191" i="11"/>
  <c r="M191" i="11" s="1"/>
  <c r="N191" i="11"/>
  <c r="V191" i="11"/>
  <c r="X191" i="11" s="1"/>
  <c r="W191" i="11"/>
  <c r="AD191" i="11"/>
  <c r="AE191" i="11"/>
  <c r="AF191" i="11"/>
  <c r="J192" i="11"/>
  <c r="M192" i="11" s="1"/>
  <c r="N192" i="11"/>
  <c r="V192" i="11"/>
  <c r="X192" i="11" s="1"/>
  <c r="W192" i="11"/>
  <c r="AD192" i="11"/>
  <c r="AE192" i="11"/>
  <c r="AF192" i="11"/>
  <c r="J193" i="11"/>
  <c r="M193" i="11" s="1"/>
  <c r="N193" i="11"/>
  <c r="V193" i="11"/>
  <c r="X193" i="11" s="1"/>
  <c r="W193" i="11"/>
  <c r="AD193" i="11"/>
  <c r="AE193" i="11"/>
  <c r="AF193" i="11"/>
  <c r="J194" i="11"/>
  <c r="M194" i="11" s="1"/>
  <c r="N194" i="11"/>
  <c r="V194" i="11"/>
  <c r="X194" i="11" s="1"/>
  <c r="W194" i="11"/>
  <c r="AD194" i="11"/>
  <c r="AE194" i="11"/>
  <c r="AF194" i="11"/>
  <c r="J195" i="11"/>
  <c r="M195" i="11" s="1"/>
  <c r="N195" i="11"/>
  <c r="V195" i="11"/>
  <c r="X195" i="11" s="1"/>
  <c r="W195" i="11"/>
  <c r="AD195" i="11"/>
  <c r="AE195" i="11"/>
  <c r="AF195" i="11"/>
  <c r="J196" i="11"/>
  <c r="M196" i="11" s="1"/>
  <c r="N196" i="11"/>
  <c r="V196" i="11"/>
  <c r="X196" i="11" s="1"/>
  <c r="W196" i="11"/>
  <c r="AD196" i="11"/>
  <c r="AE196" i="11"/>
  <c r="AF196" i="11"/>
  <c r="J197" i="11"/>
  <c r="M197" i="11" s="1"/>
  <c r="N197" i="11"/>
  <c r="V197" i="11"/>
  <c r="X197" i="11" s="1"/>
  <c r="W197" i="11"/>
  <c r="AD197" i="11"/>
  <c r="AE197" i="11"/>
  <c r="AF197" i="11"/>
  <c r="J198" i="11"/>
  <c r="M198" i="11" s="1"/>
  <c r="N198" i="11"/>
  <c r="V198" i="11"/>
  <c r="X198" i="11" s="1"/>
  <c r="W198" i="11"/>
  <c r="AD198" i="11"/>
  <c r="AE198" i="11"/>
  <c r="AF198" i="11"/>
  <c r="J199" i="11"/>
  <c r="M199" i="11" s="1"/>
  <c r="N199" i="11"/>
  <c r="V199" i="11"/>
  <c r="X199" i="11" s="1"/>
  <c r="W199" i="11"/>
  <c r="AD199" i="11"/>
  <c r="AE199" i="11"/>
  <c r="AF199" i="11"/>
  <c r="J200" i="11"/>
  <c r="M200" i="11" s="1"/>
  <c r="N200" i="11"/>
  <c r="V200" i="11"/>
  <c r="X200" i="11" s="1"/>
  <c r="W200" i="11"/>
  <c r="AD200" i="11"/>
  <c r="AE200" i="11"/>
  <c r="AF200" i="11"/>
  <c r="J201" i="11"/>
  <c r="M201" i="11" s="1"/>
  <c r="N201" i="11"/>
  <c r="V201" i="11"/>
  <c r="X201" i="11" s="1"/>
  <c r="W201" i="11"/>
  <c r="AD201" i="11"/>
  <c r="AE201" i="11"/>
  <c r="AF201" i="11"/>
  <c r="J202" i="11"/>
  <c r="M202" i="11" s="1"/>
  <c r="N202" i="11"/>
  <c r="V202" i="11"/>
  <c r="X202" i="11" s="1"/>
  <c r="W202" i="11"/>
  <c r="AD202" i="11"/>
  <c r="AE202" i="11"/>
  <c r="AF202" i="11"/>
  <c r="J203" i="11"/>
  <c r="M203" i="11" s="1"/>
  <c r="N203" i="11"/>
  <c r="V203" i="11"/>
  <c r="X203" i="11" s="1"/>
  <c r="W203" i="11"/>
  <c r="AD203" i="11"/>
  <c r="AE203" i="11"/>
  <c r="AF203" i="11"/>
  <c r="J204" i="11"/>
  <c r="M204" i="11" s="1"/>
  <c r="N204" i="11"/>
  <c r="V204" i="11"/>
  <c r="X204" i="11" s="1"/>
  <c r="W204" i="11"/>
  <c r="AD204" i="11"/>
  <c r="AE204" i="11"/>
  <c r="AF204" i="11"/>
  <c r="J205" i="11"/>
  <c r="M205" i="11" s="1"/>
  <c r="N205" i="11"/>
  <c r="V205" i="11"/>
  <c r="X205" i="11" s="1"/>
  <c r="W205" i="11"/>
  <c r="AD205" i="11"/>
  <c r="AE205" i="11"/>
  <c r="AF205" i="11"/>
  <c r="J206" i="11"/>
  <c r="M206" i="11" s="1"/>
  <c r="N206" i="11"/>
  <c r="V206" i="11"/>
  <c r="X206" i="11" s="1"/>
  <c r="W206" i="11"/>
  <c r="AD206" i="11"/>
  <c r="AE206" i="11"/>
  <c r="AF206" i="11"/>
  <c r="J207" i="11"/>
  <c r="M207" i="11" s="1"/>
  <c r="N207" i="11"/>
  <c r="V207" i="11"/>
  <c r="X207" i="11" s="1"/>
  <c r="W207" i="11"/>
  <c r="AD207" i="11"/>
  <c r="AE207" i="11"/>
  <c r="AF207" i="11"/>
  <c r="J208" i="11"/>
  <c r="M208" i="11" s="1"/>
  <c r="N208" i="11"/>
  <c r="V208" i="11"/>
  <c r="X208" i="11" s="1"/>
  <c r="W208" i="11"/>
  <c r="AD208" i="11"/>
  <c r="AE208" i="11"/>
  <c r="AF208" i="11"/>
  <c r="J209" i="11"/>
  <c r="M209" i="11" s="1"/>
  <c r="N209" i="11"/>
  <c r="V209" i="11"/>
  <c r="X209" i="11" s="1"/>
  <c r="W209" i="11"/>
  <c r="AD209" i="11"/>
  <c r="AE209" i="11"/>
  <c r="AF209" i="11"/>
  <c r="J210" i="11"/>
  <c r="M210" i="11" s="1"/>
  <c r="N210" i="11"/>
  <c r="V210" i="11"/>
  <c r="X210" i="11" s="1"/>
  <c r="W210" i="11"/>
  <c r="AD210" i="11"/>
  <c r="AE210" i="11"/>
  <c r="AF210" i="11"/>
  <c r="A211" i="11"/>
  <c r="J211" i="11"/>
  <c r="M211" i="11" s="1"/>
  <c r="N211" i="11"/>
  <c r="V211" i="11"/>
  <c r="X211" i="11" s="1"/>
  <c r="W211" i="11"/>
  <c r="AD211" i="11"/>
  <c r="AE211" i="11"/>
  <c r="AF211" i="11"/>
  <c r="A212" i="11"/>
  <c r="J212" i="11"/>
  <c r="M212" i="11" s="1"/>
  <c r="N212" i="11"/>
  <c r="V212" i="11"/>
  <c r="X212" i="11" s="1"/>
  <c r="W212" i="11"/>
  <c r="AD212" i="11"/>
  <c r="AE212" i="11"/>
  <c r="AF212" i="11"/>
  <c r="A213" i="11"/>
  <c r="J213" i="11"/>
  <c r="M213" i="11" s="1"/>
  <c r="N213" i="11"/>
  <c r="V213" i="11"/>
  <c r="X213" i="11" s="1"/>
  <c r="W213" i="11"/>
  <c r="AD213" i="11"/>
  <c r="AE213" i="11"/>
  <c r="AF213" i="11"/>
  <c r="A214" i="11"/>
  <c r="J214" i="11"/>
  <c r="M214" i="11" s="1"/>
  <c r="N214" i="11"/>
  <c r="V214" i="11"/>
  <c r="X214" i="11" s="1"/>
  <c r="W214" i="11"/>
  <c r="AD214" i="11"/>
  <c r="AE214" i="11"/>
  <c r="AF214" i="11"/>
  <c r="A215" i="11"/>
  <c r="J215" i="11"/>
  <c r="M215" i="11" s="1"/>
  <c r="N215" i="11"/>
  <c r="V215" i="11"/>
  <c r="X215" i="11" s="1"/>
  <c r="W215" i="11"/>
  <c r="AD215" i="11"/>
  <c r="AE215" i="11"/>
  <c r="AF215" i="11"/>
  <c r="A216" i="11"/>
  <c r="J216" i="11"/>
  <c r="M216" i="11" s="1"/>
  <c r="N216" i="11"/>
  <c r="V216" i="11"/>
  <c r="X216" i="11" s="1"/>
  <c r="W216" i="11"/>
  <c r="AD216" i="11"/>
  <c r="AE216" i="11"/>
  <c r="AF216" i="11"/>
  <c r="A217" i="11"/>
  <c r="J217" i="11"/>
  <c r="M217" i="11" s="1"/>
  <c r="N217" i="11"/>
  <c r="V217" i="11"/>
  <c r="X217" i="11" s="1"/>
  <c r="W217" i="11"/>
  <c r="AD217" i="11"/>
  <c r="AE217" i="11"/>
  <c r="AF217" i="11"/>
  <c r="J218" i="11"/>
  <c r="M218" i="11" s="1"/>
  <c r="N218" i="11"/>
  <c r="V218" i="11"/>
  <c r="X218" i="11" s="1"/>
  <c r="W218" i="11"/>
  <c r="AD218" i="11"/>
  <c r="AE218" i="11"/>
  <c r="AF218" i="11"/>
  <c r="J219" i="11"/>
  <c r="M219" i="11" s="1"/>
  <c r="N219" i="11"/>
  <c r="V219" i="11"/>
  <c r="X219" i="11" s="1"/>
  <c r="W219" i="11"/>
  <c r="AD219" i="11"/>
  <c r="AE219" i="11"/>
  <c r="AF219" i="11"/>
  <c r="J220" i="11"/>
  <c r="M220" i="11" s="1"/>
  <c r="N220" i="11"/>
  <c r="V220" i="11"/>
  <c r="X220" i="11" s="1"/>
  <c r="W220" i="11"/>
  <c r="AD220" i="11"/>
  <c r="AE220" i="11"/>
  <c r="AF220" i="11"/>
  <c r="J221" i="11"/>
  <c r="M221" i="11" s="1"/>
  <c r="N221" i="11"/>
  <c r="V221" i="11"/>
  <c r="X221" i="11" s="1"/>
  <c r="W221" i="11"/>
  <c r="AD221" i="11"/>
  <c r="AE221" i="11"/>
  <c r="AF221" i="11"/>
  <c r="J222" i="11"/>
  <c r="M222" i="11" s="1"/>
  <c r="N222" i="11"/>
  <c r="V222" i="11"/>
  <c r="X222" i="11" s="1"/>
  <c r="W222" i="11"/>
  <c r="AD222" i="11"/>
  <c r="AE222" i="11"/>
  <c r="AF222" i="11"/>
  <c r="J223" i="11"/>
  <c r="M223" i="11" s="1"/>
  <c r="N223" i="11"/>
  <c r="V223" i="11"/>
  <c r="X223" i="11" s="1"/>
  <c r="W223" i="11"/>
  <c r="AD223" i="11"/>
  <c r="AE223" i="11"/>
  <c r="AF223" i="11"/>
  <c r="J224" i="11"/>
  <c r="M224" i="11" s="1"/>
  <c r="N224" i="11"/>
  <c r="V224" i="11"/>
  <c r="X224" i="11" s="1"/>
  <c r="W224" i="11"/>
  <c r="AD224" i="11"/>
  <c r="AE224" i="11"/>
  <c r="AF224" i="11"/>
  <c r="J225" i="11"/>
  <c r="M225" i="11" s="1"/>
  <c r="N225" i="11"/>
  <c r="V225" i="11"/>
  <c r="X225" i="11" s="1"/>
  <c r="W225" i="11"/>
  <c r="AD225" i="11"/>
  <c r="AE225" i="11"/>
  <c r="AF225" i="11"/>
  <c r="J226" i="11"/>
  <c r="M226" i="11" s="1"/>
  <c r="N226" i="11"/>
  <c r="V226" i="11"/>
  <c r="X226" i="11" s="1"/>
  <c r="W226" i="11"/>
  <c r="AD226" i="11"/>
  <c r="AE226" i="11"/>
  <c r="AF226" i="11"/>
  <c r="J227" i="11"/>
  <c r="M227" i="11" s="1"/>
  <c r="N227" i="11"/>
  <c r="V227" i="11"/>
  <c r="X227" i="11" s="1"/>
  <c r="P33" i="15" s="1"/>
  <c r="W227" i="11"/>
  <c r="AD227" i="11"/>
  <c r="AE227" i="11"/>
  <c r="AF227" i="11"/>
  <c r="J228" i="11"/>
  <c r="M228" i="11" s="1"/>
  <c r="N228" i="11"/>
  <c r="V228" i="11"/>
  <c r="X228" i="11" s="1"/>
  <c r="W228" i="11"/>
  <c r="AD228" i="11"/>
  <c r="AE228" i="11"/>
  <c r="AF228" i="11"/>
  <c r="J229" i="11"/>
  <c r="M229" i="11" s="1"/>
  <c r="N229" i="11"/>
  <c r="V229" i="11"/>
  <c r="X229" i="11" s="1"/>
  <c r="W229" i="11"/>
  <c r="AD229" i="11"/>
  <c r="AE229" i="11"/>
  <c r="AF229" i="11"/>
  <c r="J230" i="11"/>
  <c r="M230" i="11" s="1"/>
  <c r="N230" i="11"/>
  <c r="V230" i="11"/>
  <c r="X230" i="11" s="1"/>
  <c r="W230" i="11"/>
  <c r="AD230" i="11"/>
  <c r="AE230" i="11"/>
  <c r="AF230" i="11"/>
  <c r="J231" i="11"/>
  <c r="M231" i="11" s="1"/>
  <c r="N231" i="11"/>
  <c r="V231" i="11"/>
  <c r="X231" i="11" s="1"/>
  <c r="W231" i="11"/>
  <c r="AD231" i="11"/>
  <c r="AE231" i="11"/>
  <c r="AF231" i="11"/>
  <c r="J232" i="11"/>
  <c r="M232" i="11" s="1"/>
  <c r="N232" i="11"/>
  <c r="V232" i="11"/>
  <c r="X232" i="11" s="1"/>
  <c r="W232" i="11"/>
  <c r="AD232" i="11"/>
  <c r="AE232" i="11"/>
  <c r="AF232" i="11"/>
  <c r="J233" i="11"/>
  <c r="M233" i="11" s="1"/>
  <c r="N233" i="11"/>
  <c r="V233" i="11"/>
  <c r="X233" i="11" s="1"/>
  <c r="P18" i="15" s="1"/>
  <c r="W233" i="11"/>
  <c r="AD233" i="11"/>
  <c r="AE233" i="11"/>
  <c r="AF233" i="11"/>
  <c r="J234" i="11"/>
  <c r="M234" i="11" s="1"/>
  <c r="N234" i="11"/>
  <c r="V234" i="11"/>
  <c r="X234" i="11" s="1"/>
  <c r="W234" i="11"/>
  <c r="AD234" i="11"/>
  <c r="AE234" i="11"/>
  <c r="AF234" i="11"/>
  <c r="J235" i="11"/>
  <c r="M235" i="11" s="1"/>
  <c r="N235" i="11"/>
  <c r="V235" i="11"/>
  <c r="X235" i="11" s="1"/>
  <c r="W235" i="11"/>
  <c r="AD235" i="11"/>
  <c r="AE235" i="11"/>
  <c r="AF235" i="11"/>
  <c r="J236" i="11"/>
  <c r="M236" i="11" s="1"/>
  <c r="N236" i="11"/>
  <c r="V236" i="11"/>
  <c r="X236" i="11" s="1"/>
  <c r="W236" i="11"/>
  <c r="AD236" i="11"/>
  <c r="AE236" i="11"/>
  <c r="AF236" i="11"/>
  <c r="J237" i="11"/>
  <c r="M237" i="11" s="1"/>
  <c r="N237" i="11"/>
  <c r="V237" i="11"/>
  <c r="X237" i="11" s="1"/>
  <c r="W237" i="11"/>
  <c r="AD237" i="11"/>
  <c r="AE237" i="11"/>
  <c r="AF237" i="11"/>
  <c r="J238" i="11"/>
  <c r="M238" i="11" s="1"/>
  <c r="N238" i="11"/>
  <c r="V238" i="11"/>
  <c r="X238" i="11" s="1"/>
  <c r="W238" i="11"/>
  <c r="AD238" i="11"/>
  <c r="AE238" i="11"/>
  <c r="AF238" i="11"/>
  <c r="J239" i="11"/>
  <c r="M239" i="11" s="1"/>
  <c r="N239" i="11"/>
  <c r="V239" i="11"/>
  <c r="X239" i="11" s="1"/>
  <c r="W239" i="11"/>
  <c r="AD239" i="11"/>
  <c r="AE239" i="11"/>
  <c r="AF239" i="11"/>
  <c r="J240" i="11"/>
  <c r="M240" i="11" s="1"/>
  <c r="N240" i="11"/>
  <c r="V240" i="11"/>
  <c r="X240" i="11" s="1"/>
  <c r="W240" i="11"/>
  <c r="AD240" i="11"/>
  <c r="AE240" i="11"/>
  <c r="AF240" i="11"/>
  <c r="J241" i="11"/>
  <c r="M241" i="11" s="1"/>
  <c r="N241" i="11"/>
  <c r="V241" i="11"/>
  <c r="X241" i="11" s="1"/>
  <c r="W241" i="11"/>
  <c r="AD241" i="11"/>
  <c r="AE241" i="11"/>
  <c r="AF241" i="11"/>
  <c r="J242" i="11"/>
  <c r="M242" i="11" s="1"/>
  <c r="N242" i="11"/>
  <c r="V242" i="11"/>
  <c r="X242" i="11" s="1"/>
  <c r="W242" i="11"/>
  <c r="AD242" i="11"/>
  <c r="AE242" i="11"/>
  <c r="AF242" i="11"/>
  <c r="J243" i="11"/>
  <c r="M243" i="11" s="1"/>
  <c r="N243" i="11"/>
  <c r="V243" i="11"/>
  <c r="X243" i="11" s="1"/>
  <c r="W243" i="11"/>
  <c r="AD243" i="11"/>
  <c r="AE243" i="11"/>
  <c r="AF243" i="11"/>
  <c r="J244" i="11"/>
  <c r="M244" i="11" s="1"/>
  <c r="N244" i="11"/>
  <c r="V244" i="11"/>
  <c r="X244" i="11" s="1"/>
  <c r="W244" i="11"/>
  <c r="AD244" i="11"/>
  <c r="AE244" i="11"/>
  <c r="AF244" i="11"/>
  <c r="J245" i="11"/>
  <c r="M245" i="11" s="1"/>
  <c r="N245" i="11"/>
  <c r="V245" i="11"/>
  <c r="X245" i="11" s="1"/>
  <c r="P30" i="15" s="1"/>
  <c r="W245" i="11"/>
  <c r="AD245" i="11"/>
  <c r="AE245" i="11"/>
  <c r="AF245" i="11"/>
  <c r="J246" i="11"/>
  <c r="M246" i="11" s="1"/>
  <c r="N246" i="11"/>
  <c r="V246" i="11"/>
  <c r="X246" i="11" s="1"/>
  <c r="W246" i="11"/>
  <c r="AD246" i="11"/>
  <c r="AE246" i="11"/>
  <c r="AF246" i="11"/>
  <c r="J247" i="11"/>
  <c r="M247" i="11" s="1"/>
  <c r="N247" i="11"/>
  <c r="V247" i="11"/>
  <c r="X247" i="11" s="1"/>
  <c r="W247" i="11"/>
  <c r="AD247" i="11"/>
  <c r="AE247" i="11"/>
  <c r="AF247" i="11"/>
  <c r="J248" i="11"/>
  <c r="M248" i="11" s="1"/>
  <c r="N248" i="11"/>
  <c r="V248" i="11"/>
  <c r="X248" i="11" s="1"/>
  <c r="W248" i="11"/>
  <c r="AD248" i="11"/>
  <c r="AE248" i="11"/>
  <c r="AF248" i="11"/>
  <c r="J249" i="11"/>
  <c r="M249" i="11" s="1"/>
  <c r="N249" i="11"/>
  <c r="V249" i="11"/>
  <c r="X249" i="11" s="1"/>
  <c r="P32" i="15" s="1"/>
  <c r="W249" i="11"/>
  <c r="AD249" i="11"/>
  <c r="AE249" i="11"/>
  <c r="AF249" i="11"/>
  <c r="J250" i="11"/>
  <c r="M250" i="11" s="1"/>
  <c r="N250" i="11"/>
  <c r="V250" i="11"/>
  <c r="X250" i="11" s="1"/>
  <c r="W250" i="11"/>
  <c r="AD250" i="11"/>
  <c r="AE250" i="11"/>
  <c r="AF250" i="11"/>
  <c r="A251" i="11"/>
  <c r="J251" i="11"/>
  <c r="M251" i="11" s="1"/>
  <c r="N251" i="11"/>
  <c r="V251" i="11"/>
  <c r="X251" i="11" s="1"/>
  <c r="W251" i="11"/>
  <c r="AD251" i="11"/>
  <c r="AE251" i="11"/>
  <c r="AF251" i="11"/>
  <c r="A252" i="11"/>
  <c r="J252" i="11"/>
  <c r="M252" i="11" s="1"/>
  <c r="N252" i="11"/>
  <c r="V252" i="11"/>
  <c r="X252" i="11" s="1"/>
  <c r="W252" i="11"/>
  <c r="AD252" i="11"/>
  <c r="AE252" i="11"/>
  <c r="AF252" i="11"/>
  <c r="A253" i="11"/>
  <c r="J253" i="11"/>
  <c r="M253" i="11" s="1"/>
  <c r="N253" i="11"/>
  <c r="V253" i="11"/>
  <c r="X253" i="11" s="1"/>
  <c r="W253" i="11"/>
  <c r="AD253" i="11"/>
  <c r="AE253" i="11"/>
  <c r="AF253" i="11"/>
  <c r="J254" i="11"/>
  <c r="M254" i="11" s="1"/>
  <c r="N254" i="11"/>
  <c r="V254" i="11"/>
  <c r="X254" i="11" s="1"/>
  <c r="W254" i="11"/>
  <c r="AD254" i="11"/>
  <c r="AE254" i="11"/>
  <c r="AF254" i="11"/>
  <c r="A255" i="11"/>
  <c r="J255" i="11"/>
  <c r="M255" i="11" s="1"/>
  <c r="N255" i="11"/>
  <c r="V255" i="11"/>
  <c r="X255" i="11" s="1"/>
  <c r="W255" i="11"/>
  <c r="AD255" i="11"/>
  <c r="AE255" i="11"/>
  <c r="AF255" i="11"/>
  <c r="A256" i="11"/>
  <c r="J256" i="11"/>
  <c r="M256" i="11" s="1"/>
  <c r="N256" i="11"/>
  <c r="V256" i="11"/>
  <c r="X256" i="11" s="1"/>
  <c r="W256" i="11"/>
  <c r="AD256" i="11"/>
  <c r="AE256" i="11"/>
  <c r="AF256" i="11"/>
  <c r="A257" i="11"/>
  <c r="J257" i="11"/>
  <c r="M257" i="11" s="1"/>
  <c r="N257" i="11"/>
  <c r="V257" i="11"/>
  <c r="X257" i="11" s="1"/>
  <c r="W257" i="11"/>
  <c r="AD257" i="11"/>
  <c r="AE257" i="11"/>
  <c r="AF257" i="11"/>
  <c r="A258" i="11"/>
  <c r="J258" i="11"/>
  <c r="M258" i="11" s="1"/>
  <c r="N258" i="11"/>
  <c r="V258" i="11"/>
  <c r="X258" i="11" s="1"/>
  <c r="W258" i="11"/>
  <c r="AD258" i="11"/>
  <c r="AE258" i="11"/>
  <c r="AF258" i="11"/>
  <c r="A259" i="11"/>
  <c r="J259" i="11"/>
  <c r="M259" i="11" s="1"/>
  <c r="N259" i="11"/>
  <c r="V259" i="11"/>
  <c r="X259" i="11" s="1"/>
  <c r="W259" i="11"/>
  <c r="AD259" i="11"/>
  <c r="AE259" i="11"/>
  <c r="AF259" i="11"/>
  <c r="A260" i="11"/>
  <c r="J260" i="11"/>
  <c r="M260" i="11" s="1"/>
  <c r="N260" i="11"/>
  <c r="V260" i="11"/>
  <c r="X260" i="11" s="1"/>
  <c r="W260" i="11"/>
  <c r="AD260" i="11"/>
  <c r="AE260" i="11"/>
  <c r="AF260" i="11"/>
  <c r="A261" i="11"/>
  <c r="J261" i="11"/>
  <c r="M261" i="11" s="1"/>
  <c r="N261" i="11"/>
  <c r="V261" i="11"/>
  <c r="X261" i="11" s="1"/>
  <c r="W261" i="11"/>
  <c r="AD261" i="11"/>
  <c r="AE261" i="11"/>
  <c r="AF261" i="11"/>
  <c r="A262" i="11"/>
  <c r="J262" i="11"/>
  <c r="M262" i="11" s="1"/>
  <c r="N262" i="11"/>
  <c r="V262" i="11"/>
  <c r="X262" i="11" s="1"/>
  <c r="W262" i="11"/>
  <c r="AD262" i="11"/>
  <c r="AE262" i="11"/>
  <c r="AF262" i="11"/>
  <c r="A263" i="11"/>
  <c r="J263" i="11"/>
  <c r="M263" i="11" s="1"/>
  <c r="N263" i="11"/>
  <c r="V263" i="11"/>
  <c r="X263" i="11" s="1"/>
  <c r="W263" i="11"/>
  <c r="AD263" i="11"/>
  <c r="AE263" i="11"/>
  <c r="AF263" i="11"/>
  <c r="J264" i="11"/>
  <c r="M264" i="11" s="1"/>
  <c r="N264" i="11"/>
  <c r="V264" i="11"/>
  <c r="X264" i="11" s="1"/>
  <c r="W264" i="11"/>
  <c r="AD264" i="11"/>
  <c r="AE264" i="11"/>
  <c r="AF264" i="11"/>
  <c r="J265" i="11"/>
  <c r="M265" i="11" s="1"/>
  <c r="N265" i="11"/>
  <c r="V265" i="11"/>
  <c r="X265" i="11" s="1"/>
  <c r="W265" i="11"/>
  <c r="AD265" i="11"/>
  <c r="AE265" i="11"/>
  <c r="AF265" i="11"/>
  <c r="J266" i="11"/>
  <c r="M266" i="11" s="1"/>
  <c r="N266" i="11"/>
  <c r="V266" i="11"/>
  <c r="X266" i="11" s="1"/>
  <c r="W266" i="11"/>
  <c r="AD266" i="11"/>
  <c r="AE266" i="11"/>
  <c r="AF266" i="11"/>
  <c r="J267" i="11"/>
  <c r="M267" i="11" s="1"/>
  <c r="N267" i="11"/>
  <c r="V267" i="11"/>
  <c r="X267" i="11" s="1"/>
  <c r="P44" i="15" s="1"/>
  <c r="W267" i="11"/>
  <c r="AD267" i="11"/>
  <c r="AE267" i="11"/>
  <c r="AF267" i="11"/>
  <c r="J268" i="11"/>
  <c r="M268" i="11" s="1"/>
  <c r="N268" i="11"/>
  <c r="V268" i="11"/>
  <c r="X268" i="11" s="1"/>
  <c r="W268" i="11"/>
  <c r="AD268" i="11"/>
  <c r="AE268" i="11"/>
  <c r="AF268" i="11"/>
  <c r="J269" i="11"/>
  <c r="M269" i="11" s="1"/>
  <c r="N269" i="11"/>
  <c r="V269" i="11"/>
  <c r="X269" i="11" s="1"/>
  <c r="W269" i="11"/>
  <c r="AD269" i="11"/>
  <c r="AE269" i="11"/>
  <c r="AF269" i="11"/>
  <c r="J270" i="11"/>
  <c r="M270" i="11" s="1"/>
  <c r="N270" i="11"/>
  <c r="V270" i="11"/>
  <c r="X270" i="11" s="1"/>
  <c r="W270" i="11"/>
  <c r="AD270" i="11"/>
  <c r="AE270" i="11"/>
  <c r="AF270" i="11"/>
  <c r="J271" i="11"/>
  <c r="M271" i="11" s="1"/>
  <c r="N271" i="11"/>
  <c r="V271" i="11"/>
  <c r="X271" i="11" s="1"/>
  <c r="W271" i="11"/>
  <c r="AD271" i="11"/>
  <c r="AE271" i="11"/>
  <c r="AF271" i="11"/>
  <c r="J272" i="11"/>
  <c r="M272" i="11" s="1"/>
  <c r="N272" i="11"/>
  <c r="V272" i="11"/>
  <c r="X272" i="11" s="1"/>
  <c r="W272" i="11"/>
  <c r="AD272" i="11"/>
  <c r="AE272" i="11"/>
  <c r="AF272" i="11"/>
  <c r="J273" i="11"/>
  <c r="M273" i="11" s="1"/>
  <c r="N273" i="11"/>
  <c r="V273" i="11"/>
  <c r="X273" i="11" s="1"/>
  <c r="W273" i="11"/>
  <c r="AD273" i="11"/>
  <c r="AE273" i="11"/>
  <c r="AF273" i="11"/>
  <c r="J274" i="11"/>
  <c r="M274" i="11" s="1"/>
  <c r="N274" i="11"/>
  <c r="V274" i="11"/>
  <c r="X274" i="11" s="1"/>
  <c r="W274" i="11"/>
  <c r="AD274" i="11"/>
  <c r="AE274" i="11"/>
  <c r="AF274" i="11"/>
  <c r="J275" i="11"/>
  <c r="M275" i="11" s="1"/>
  <c r="N275" i="11"/>
  <c r="V275" i="11"/>
  <c r="X275" i="11" s="1"/>
  <c r="W275" i="11"/>
  <c r="AD275" i="11"/>
  <c r="AE275" i="11"/>
  <c r="AF275" i="11"/>
  <c r="J276" i="11"/>
  <c r="M276" i="11" s="1"/>
  <c r="N276" i="11"/>
  <c r="V276" i="11"/>
  <c r="X276" i="11" s="1"/>
  <c r="W276" i="11"/>
  <c r="AD276" i="11"/>
  <c r="AE276" i="11"/>
  <c r="AF276" i="11"/>
  <c r="J277" i="11"/>
  <c r="M277" i="11" s="1"/>
  <c r="N277" i="11"/>
  <c r="V277" i="11"/>
  <c r="X277" i="11" s="1"/>
  <c r="W277" i="11"/>
  <c r="AD277" i="11"/>
  <c r="AE277" i="11"/>
  <c r="AF277" i="11"/>
  <c r="J278" i="11"/>
  <c r="M278" i="11" s="1"/>
  <c r="N278" i="11"/>
  <c r="V278" i="11"/>
  <c r="X278" i="11" s="1"/>
  <c r="W278" i="11"/>
  <c r="AD278" i="11"/>
  <c r="AE278" i="11"/>
  <c r="AF278" i="11"/>
  <c r="J279" i="11"/>
  <c r="M279" i="11" s="1"/>
  <c r="N279" i="11"/>
  <c r="V279" i="11"/>
  <c r="X279" i="11" s="1"/>
  <c r="W279" i="11"/>
  <c r="AD279" i="11"/>
  <c r="AE279" i="11"/>
  <c r="AF279" i="11"/>
  <c r="J280" i="11"/>
  <c r="M280" i="11" s="1"/>
  <c r="N280" i="11"/>
  <c r="V280" i="11"/>
  <c r="X280" i="11" s="1"/>
  <c r="W280" i="11"/>
  <c r="AD280" i="11"/>
  <c r="AE280" i="11"/>
  <c r="AF280" i="11"/>
  <c r="J281" i="11"/>
  <c r="M281" i="11" s="1"/>
  <c r="N281" i="11"/>
  <c r="V281" i="11"/>
  <c r="X281" i="11" s="1"/>
  <c r="W281" i="11"/>
  <c r="AD281" i="11"/>
  <c r="AE281" i="11"/>
  <c r="AF281" i="11"/>
  <c r="J282" i="11"/>
  <c r="M282" i="11" s="1"/>
  <c r="N282" i="11"/>
  <c r="V282" i="11"/>
  <c r="X282" i="11" s="1"/>
  <c r="W282" i="11"/>
  <c r="AD282" i="11"/>
  <c r="AE282" i="11"/>
  <c r="AF282" i="11"/>
  <c r="A283" i="11"/>
  <c r="J283" i="11"/>
  <c r="M283" i="11" s="1"/>
  <c r="N283" i="11"/>
  <c r="V283" i="11"/>
  <c r="X283" i="11" s="1"/>
  <c r="W283" i="11"/>
  <c r="AD283" i="11"/>
  <c r="AE283" i="11"/>
  <c r="AF283" i="11"/>
  <c r="A284" i="11"/>
  <c r="J284" i="11"/>
  <c r="M284" i="11" s="1"/>
  <c r="N284" i="11"/>
  <c r="V284" i="11"/>
  <c r="X284" i="11" s="1"/>
  <c r="W284" i="11"/>
  <c r="AD284" i="11"/>
  <c r="AE284" i="11"/>
  <c r="AF284" i="11"/>
  <c r="A285" i="11"/>
  <c r="J285" i="11"/>
  <c r="M285" i="11" s="1"/>
  <c r="N285" i="11"/>
  <c r="V285" i="11"/>
  <c r="X285" i="11" s="1"/>
  <c r="AH47" i="7" s="1"/>
  <c r="W285" i="11"/>
  <c r="AD285" i="11"/>
  <c r="AE285" i="11"/>
  <c r="AF285" i="11"/>
  <c r="A286" i="11"/>
  <c r="J286" i="11"/>
  <c r="M286" i="11" s="1"/>
  <c r="N286" i="11"/>
  <c r="V286" i="11"/>
  <c r="X286" i="11" s="1"/>
  <c r="W286" i="11"/>
  <c r="AD286" i="11"/>
  <c r="AE286" i="11"/>
  <c r="AF286" i="11"/>
  <c r="A287" i="11"/>
  <c r="J287" i="11"/>
  <c r="M287" i="11" s="1"/>
  <c r="N287" i="11"/>
  <c r="V287" i="11"/>
  <c r="X287" i="11" s="1"/>
  <c r="W287" i="11"/>
  <c r="AD287" i="11"/>
  <c r="AE287" i="11"/>
  <c r="AF287" i="11"/>
  <c r="A288" i="11"/>
  <c r="J288" i="11"/>
  <c r="M288" i="11" s="1"/>
  <c r="N288" i="11"/>
  <c r="V288" i="11"/>
  <c r="X288" i="11" s="1"/>
  <c r="W288" i="11"/>
  <c r="AD288" i="11"/>
  <c r="AE288" i="11"/>
  <c r="AF288" i="11"/>
  <c r="A289" i="11"/>
  <c r="J289" i="11"/>
  <c r="M289" i="11" s="1"/>
  <c r="N289" i="11"/>
  <c r="V289" i="11"/>
  <c r="X289" i="11" s="1"/>
  <c r="W289" i="11"/>
  <c r="AD289" i="11"/>
  <c r="AE289" i="11"/>
  <c r="AF289" i="11"/>
  <c r="A290" i="11"/>
  <c r="J290" i="11"/>
  <c r="M290" i="11" s="1"/>
  <c r="N290" i="11"/>
  <c r="V290" i="11"/>
  <c r="X290" i="11" s="1"/>
  <c r="W290" i="11"/>
  <c r="AD290" i="11"/>
  <c r="AE290" i="11"/>
  <c r="AF290" i="11"/>
  <c r="A291" i="11"/>
  <c r="J291" i="11"/>
  <c r="M291" i="11" s="1"/>
  <c r="N291" i="11"/>
  <c r="V291" i="11"/>
  <c r="X291" i="11" s="1"/>
  <c r="W291" i="11"/>
  <c r="AD291" i="11"/>
  <c r="AE291" i="11"/>
  <c r="AF291" i="11"/>
  <c r="A292" i="11"/>
  <c r="J292" i="11"/>
  <c r="M292" i="11" s="1"/>
  <c r="N292" i="11"/>
  <c r="V292" i="11"/>
  <c r="X292" i="11" s="1"/>
  <c r="W292" i="11"/>
  <c r="AD292" i="11"/>
  <c r="AE292" i="11"/>
  <c r="AF292" i="11"/>
  <c r="A293" i="11"/>
  <c r="J293" i="11"/>
  <c r="M293" i="11" s="1"/>
  <c r="N293" i="11"/>
  <c r="V293" i="11"/>
  <c r="X293" i="11" s="1"/>
  <c r="W293" i="11"/>
  <c r="AD293" i="11"/>
  <c r="AE293" i="11"/>
  <c r="AF293" i="11"/>
  <c r="J294" i="11"/>
  <c r="M294" i="11" s="1"/>
  <c r="N294" i="11"/>
  <c r="V294" i="11"/>
  <c r="X294" i="11" s="1"/>
  <c r="W294" i="11"/>
  <c r="AD294" i="11"/>
  <c r="AE294" i="11"/>
  <c r="AF294" i="11"/>
  <c r="J295" i="11"/>
  <c r="M295" i="11" s="1"/>
  <c r="N295" i="11"/>
  <c r="V295" i="11"/>
  <c r="X295" i="11" s="1"/>
  <c r="W295" i="11"/>
  <c r="AD295" i="11"/>
  <c r="AE295" i="11"/>
  <c r="AF295" i="11"/>
  <c r="A296" i="11"/>
  <c r="J296" i="11"/>
  <c r="M296" i="11" s="1"/>
  <c r="N296" i="11"/>
  <c r="V296" i="11"/>
  <c r="X296" i="11" s="1"/>
  <c r="W296" i="11"/>
  <c r="AD296" i="11"/>
  <c r="AE296" i="11"/>
  <c r="AF296" i="11"/>
  <c r="A297" i="11"/>
  <c r="J297" i="11"/>
  <c r="M297" i="11" s="1"/>
  <c r="N297" i="11"/>
  <c r="V297" i="11"/>
  <c r="X297" i="11" s="1"/>
  <c r="W297" i="11"/>
  <c r="AD297" i="11"/>
  <c r="AE297" i="11"/>
  <c r="AF297" i="11"/>
  <c r="A298" i="11"/>
  <c r="J298" i="11"/>
  <c r="M298" i="11" s="1"/>
  <c r="N298" i="11"/>
  <c r="V298" i="11"/>
  <c r="X298" i="11" s="1"/>
  <c r="W298" i="11"/>
  <c r="AD298" i="11"/>
  <c r="AE298" i="11"/>
  <c r="AF298" i="11"/>
  <c r="A299" i="11"/>
  <c r="J299" i="11"/>
  <c r="M299" i="11" s="1"/>
  <c r="N299" i="11"/>
  <c r="V299" i="11"/>
  <c r="X299" i="11" s="1"/>
  <c r="W299" i="11"/>
  <c r="AD299" i="11"/>
  <c r="AE299" i="11"/>
  <c r="AF299" i="11"/>
  <c r="A300" i="11"/>
  <c r="J300" i="11"/>
  <c r="M300" i="11" s="1"/>
  <c r="N300" i="11"/>
  <c r="V300" i="11"/>
  <c r="X300" i="11" s="1"/>
  <c r="W300" i="11"/>
  <c r="AD300" i="11"/>
  <c r="AE300" i="11"/>
  <c r="AF300" i="11"/>
  <c r="J301" i="11"/>
  <c r="M301" i="11" s="1"/>
  <c r="N301" i="11"/>
  <c r="V301" i="11"/>
  <c r="X301" i="11" s="1"/>
  <c r="W301" i="11"/>
  <c r="AD301" i="11"/>
  <c r="AE301" i="11"/>
  <c r="AF301" i="11"/>
  <c r="J302" i="11"/>
  <c r="M302" i="11" s="1"/>
  <c r="N302" i="11"/>
  <c r="V302" i="11"/>
  <c r="X302" i="11" s="1"/>
  <c r="W302" i="11"/>
  <c r="AD302" i="11"/>
  <c r="AE302" i="11"/>
  <c r="AF302" i="11"/>
  <c r="A303" i="11"/>
  <c r="J303" i="11"/>
  <c r="M303" i="11" s="1"/>
  <c r="N303" i="11"/>
  <c r="V303" i="11"/>
  <c r="X303" i="11" s="1"/>
  <c r="W303" i="11"/>
  <c r="AD303" i="11"/>
  <c r="AE303" i="11"/>
  <c r="AF303" i="11"/>
  <c r="A304" i="11"/>
  <c r="J304" i="11"/>
  <c r="M304" i="11" s="1"/>
  <c r="N304" i="11"/>
  <c r="V304" i="11"/>
  <c r="X304" i="11" s="1"/>
  <c r="W304" i="11"/>
  <c r="AD304" i="11"/>
  <c r="AE304" i="11"/>
  <c r="AF304" i="11"/>
  <c r="J305" i="11"/>
  <c r="M305" i="11" s="1"/>
  <c r="N305" i="11"/>
  <c r="V305" i="11"/>
  <c r="X305" i="11" s="1"/>
  <c r="W305" i="11"/>
  <c r="AD305" i="11"/>
  <c r="AE305" i="11"/>
  <c r="AF305" i="11"/>
  <c r="J306" i="11"/>
  <c r="M306" i="11" s="1"/>
  <c r="N306" i="11"/>
  <c r="V306" i="11"/>
  <c r="X306" i="11" s="1"/>
  <c r="W306" i="11"/>
  <c r="AD306" i="11"/>
  <c r="AE306" i="11"/>
  <c r="AF306" i="11"/>
  <c r="J307" i="11"/>
  <c r="M307" i="11" s="1"/>
  <c r="N307" i="11"/>
  <c r="V307" i="11"/>
  <c r="X307" i="11" s="1"/>
  <c r="W307" i="11"/>
  <c r="AD307" i="11"/>
  <c r="AE307" i="11"/>
  <c r="AF307" i="11"/>
  <c r="J308" i="11"/>
  <c r="M308" i="11" s="1"/>
  <c r="N308" i="11"/>
  <c r="V308" i="11"/>
  <c r="X308" i="11" s="1"/>
  <c r="W308" i="11"/>
  <c r="AD308" i="11"/>
  <c r="AE308" i="11"/>
  <c r="AF308" i="11"/>
  <c r="J309" i="11"/>
  <c r="M309" i="11" s="1"/>
  <c r="N309" i="11"/>
  <c r="V309" i="11"/>
  <c r="X309" i="11" s="1"/>
  <c r="W309" i="11"/>
  <c r="AD309" i="11"/>
  <c r="AE309" i="11"/>
  <c r="AF309" i="11"/>
  <c r="J310" i="11"/>
  <c r="M310" i="11" s="1"/>
  <c r="N310" i="11"/>
  <c r="V310" i="11"/>
  <c r="X310" i="11" s="1"/>
  <c r="W310" i="11"/>
  <c r="AD310" i="11"/>
  <c r="AE310" i="11"/>
  <c r="AF310" i="11"/>
  <c r="J311" i="11"/>
  <c r="M311" i="11" s="1"/>
  <c r="N311" i="11"/>
  <c r="V311" i="11"/>
  <c r="X311" i="11" s="1"/>
  <c r="W311" i="11"/>
  <c r="AD311" i="11"/>
  <c r="AE311" i="11"/>
  <c r="AF311" i="11"/>
  <c r="J312" i="11"/>
  <c r="M312" i="11" s="1"/>
  <c r="N312" i="11"/>
  <c r="V312" i="11"/>
  <c r="X312" i="11" s="1"/>
  <c r="W312" i="11"/>
  <c r="AD312" i="11"/>
  <c r="AE312" i="11"/>
  <c r="AF312" i="11"/>
  <c r="J313" i="11"/>
  <c r="M313" i="11" s="1"/>
  <c r="N313" i="11"/>
  <c r="V313" i="11"/>
  <c r="X313" i="11" s="1"/>
  <c r="W313" i="11"/>
  <c r="AD313" i="11"/>
  <c r="AE313" i="11"/>
  <c r="AF313" i="11"/>
  <c r="J314" i="11"/>
  <c r="M314" i="11" s="1"/>
  <c r="N314" i="11"/>
  <c r="V314" i="11"/>
  <c r="X314" i="11" s="1"/>
  <c r="W314" i="11"/>
  <c r="AD314" i="11"/>
  <c r="AE314" i="11"/>
  <c r="AF314" i="11"/>
  <c r="J315" i="11"/>
  <c r="M315" i="11" s="1"/>
  <c r="N315" i="11"/>
  <c r="V315" i="11"/>
  <c r="X315" i="11" s="1"/>
  <c r="W315" i="11"/>
  <c r="AD315" i="11"/>
  <c r="AE315" i="11"/>
  <c r="AF315" i="11"/>
  <c r="J316" i="11"/>
  <c r="M316" i="11" s="1"/>
  <c r="N316" i="11"/>
  <c r="V316" i="11"/>
  <c r="X316" i="11" s="1"/>
  <c r="W316" i="11"/>
  <c r="AD316" i="11"/>
  <c r="AE316" i="11"/>
  <c r="AF316" i="11"/>
  <c r="J317" i="11"/>
  <c r="M317" i="11" s="1"/>
  <c r="N317" i="11"/>
  <c r="V317" i="11"/>
  <c r="X317" i="11" s="1"/>
  <c r="W317" i="11"/>
  <c r="AD317" i="11"/>
  <c r="AE317" i="11"/>
  <c r="AF317" i="11"/>
  <c r="J318" i="11"/>
  <c r="M318" i="11" s="1"/>
  <c r="N318" i="11"/>
  <c r="V318" i="11"/>
  <c r="X318" i="11" s="1"/>
  <c r="W318" i="11"/>
  <c r="AD318" i="11"/>
  <c r="AE318" i="11"/>
  <c r="AF318" i="11"/>
  <c r="J319" i="11"/>
  <c r="M319" i="11" s="1"/>
  <c r="N319" i="11"/>
  <c r="V319" i="11"/>
  <c r="X319" i="11" s="1"/>
  <c r="W319" i="11"/>
  <c r="AD319" i="11"/>
  <c r="AE319" i="11"/>
  <c r="AF319" i="11"/>
  <c r="J320" i="11"/>
  <c r="M320" i="11" s="1"/>
  <c r="N320" i="11"/>
  <c r="V320" i="11"/>
  <c r="X320" i="11" s="1"/>
  <c r="W320" i="11"/>
  <c r="AD320" i="11"/>
  <c r="AE320" i="11"/>
  <c r="AF320" i="11"/>
  <c r="J321" i="11"/>
  <c r="M321" i="11" s="1"/>
  <c r="N321" i="11"/>
  <c r="V321" i="11"/>
  <c r="X321" i="11" s="1"/>
  <c r="W321" i="11"/>
  <c r="AD321" i="11"/>
  <c r="AE321" i="11"/>
  <c r="AF321" i="11"/>
  <c r="J322" i="11"/>
  <c r="M322" i="11" s="1"/>
  <c r="N322" i="11"/>
  <c r="V322" i="11"/>
  <c r="X322" i="11" s="1"/>
  <c r="W322" i="11"/>
  <c r="AD322" i="11"/>
  <c r="AE322" i="11"/>
  <c r="AF322" i="11"/>
  <c r="J323" i="11"/>
  <c r="M323" i="11" s="1"/>
  <c r="N323" i="11"/>
  <c r="V323" i="11"/>
  <c r="X323" i="11" s="1"/>
  <c r="W323" i="11"/>
  <c r="AD323" i="11"/>
  <c r="AE323" i="11"/>
  <c r="AF323" i="11"/>
  <c r="J324" i="11"/>
  <c r="M324" i="11" s="1"/>
  <c r="N324" i="11"/>
  <c r="V324" i="11"/>
  <c r="X324" i="11" s="1"/>
  <c r="W324" i="11"/>
  <c r="AD324" i="11"/>
  <c r="AE324" i="11"/>
  <c r="AF324" i="11"/>
  <c r="J325" i="11"/>
  <c r="M325" i="11" s="1"/>
  <c r="N325" i="11"/>
  <c r="V325" i="11"/>
  <c r="X325" i="11" s="1"/>
  <c r="W325" i="11"/>
  <c r="AD325" i="11"/>
  <c r="AE325" i="11"/>
  <c r="AF325" i="11"/>
  <c r="J326" i="11"/>
  <c r="M326" i="11" s="1"/>
  <c r="N326" i="11"/>
  <c r="V326" i="11"/>
  <c r="X326" i="11" s="1"/>
  <c r="W326" i="11"/>
  <c r="AD326" i="11"/>
  <c r="AE326" i="11"/>
  <c r="AF326" i="11"/>
  <c r="J327" i="11"/>
  <c r="M327" i="11" s="1"/>
  <c r="N327" i="11"/>
  <c r="V327" i="11"/>
  <c r="X327" i="11" s="1"/>
  <c r="W327" i="11"/>
  <c r="AD327" i="11"/>
  <c r="AE327" i="11"/>
  <c r="AF327" i="11"/>
  <c r="J328" i="11"/>
  <c r="M328" i="11" s="1"/>
  <c r="N328" i="11"/>
  <c r="V328" i="11"/>
  <c r="X328" i="11" s="1"/>
  <c r="W328" i="11"/>
  <c r="AD328" i="11"/>
  <c r="AE328" i="11"/>
  <c r="AF328" i="11"/>
  <c r="J329" i="11"/>
  <c r="M329" i="11" s="1"/>
  <c r="N329" i="11"/>
  <c r="V329" i="11"/>
  <c r="X329" i="11" s="1"/>
  <c r="W329" i="11"/>
  <c r="AD329" i="11"/>
  <c r="AE329" i="11"/>
  <c r="AF329" i="11"/>
  <c r="A330" i="11"/>
  <c r="J330" i="11"/>
  <c r="M330" i="11" s="1"/>
  <c r="N330" i="11"/>
  <c r="V330" i="11"/>
  <c r="X330" i="11" s="1"/>
  <c r="W330" i="11"/>
  <c r="AD330" i="11"/>
  <c r="AE330" i="11"/>
  <c r="AF330" i="11"/>
  <c r="A331" i="11"/>
  <c r="J331" i="11"/>
  <c r="M331" i="11" s="1"/>
  <c r="N331" i="11"/>
  <c r="V331" i="11"/>
  <c r="X331" i="11" s="1"/>
  <c r="W331" i="11"/>
  <c r="AD331" i="11"/>
  <c r="AE331" i="11"/>
  <c r="AF331" i="11"/>
  <c r="J332" i="11"/>
  <c r="M332" i="11" s="1"/>
  <c r="N332" i="11"/>
  <c r="V332" i="11"/>
  <c r="X332" i="11" s="1"/>
  <c r="W332" i="11"/>
  <c r="AD332" i="11"/>
  <c r="AE332" i="11"/>
  <c r="AF332" i="11"/>
  <c r="J333" i="11"/>
  <c r="M333" i="11" s="1"/>
  <c r="N333" i="11"/>
  <c r="V333" i="11"/>
  <c r="X333" i="11" s="1"/>
  <c r="W333" i="11"/>
  <c r="AD333" i="11"/>
  <c r="AE333" i="11"/>
  <c r="AF333" i="11"/>
  <c r="J334" i="11"/>
  <c r="M334" i="11" s="1"/>
  <c r="N334" i="11"/>
  <c r="V334" i="11"/>
  <c r="X334" i="11" s="1"/>
  <c r="W334" i="11"/>
  <c r="AD334" i="11"/>
  <c r="AE334" i="11"/>
  <c r="AF334" i="11"/>
  <c r="J335" i="11"/>
  <c r="M335" i="11" s="1"/>
  <c r="N335" i="11"/>
  <c r="V335" i="11"/>
  <c r="X335" i="11" s="1"/>
  <c r="W335" i="11"/>
  <c r="AD335" i="11"/>
  <c r="AE335" i="11"/>
  <c r="AF335" i="11"/>
  <c r="J336" i="11"/>
  <c r="M336" i="11" s="1"/>
  <c r="N336" i="11"/>
  <c r="V336" i="11"/>
  <c r="X336" i="11" s="1"/>
  <c r="W336" i="11"/>
  <c r="AD336" i="11"/>
  <c r="AE336" i="11"/>
  <c r="AF336" i="11"/>
  <c r="J337" i="11"/>
  <c r="M337" i="11" s="1"/>
  <c r="N337" i="11"/>
  <c r="V337" i="11"/>
  <c r="X337" i="11" s="1"/>
  <c r="W337" i="11"/>
  <c r="AD337" i="11"/>
  <c r="AE337" i="11"/>
  <c r="AF337" i="11"/>
  <c r="J338" i="11"/>
  <c r="M338" i="11" s="1"/>
  <c r="N338" i="11"/>
  <c r="V338" i="11"/>
  <c r="X338" i="11" s="1"/>
  <c r="W338" i="11"/>
  <c r="AD338" i="11"/>
  <c r="AE338" i="11"/>
  <c r="AF338" i="11"/>
  <c r="J339" i="11"/>
  <c r="M339" i="11" s="1"/>
  <c r="N339" i="11"/>
  <c r="V339" i="11"/>
  <c r="X339" i="11" s="1"/>
  <c r="W339" i="11"/>
  <c r="AD339" i="11"/>
  <c r="AE339" i="11"/>
  <c r="AF339" i="11"/>
  <c r="J340" i="11"/>
  <c r="M340" i="11" s="1"/>
  <c r="N340" i="11"/>
  <c r="V340" i="11"/>
  <c r="X340" i="11" s="1"/>
  <c r="W340" i="11"/>
  <c r="AD340" i="11"/>
  <c r="AE340" i="11"/>
  <c r="AF340" i="11"/>
  <c r="A341" i="11"/>
  <c r="J341" i="11"/>
  <c r="M341" i="11" s="1"/>
  <c r="N341" i="11"/>
  <c r="V341" i="11"/>
  <c r="X341" i="11" s="1"/>
  <c r="W341" i="11"/>
  <c r="AD341" i="11"/>
  <c r="AE341" i="11"/>
  <c r="AF341" i="11"/>
  <c r="J342" i="11"/>
  <c r="M342" i="11" s="1"/>
  <c r="N342" i="11"/>
  <c r="V342" i="11"/>
  <c r="X342" i="11" s="1"/>
  <c r="W342" i="11"/>
  <c r="AD342" i="11"/>
  <c r="AE342" i="11"/>
  <c r="AF342" i="11"/>
  <c r="J343" i="11"/>
  <c r="M343" i="11" s="1"/>
  <c r="N343" i="11"/>
  <c r="V343" i="11"/>
  <c r="X343" i="11" s="1"/>
  <c r="W343" i="11"/>
  <c r="AD343" i="11"/>
  <c r="AE343" i="11"/>
  <c r="AF343" i="11"/>
  <c r="J344" i="11"/>
  <c r="M344" i="11" s="1"/>
  <c r="N344" i="11"/>
  <c r="V344" i="11"/>
  <c r="X344" i="11" s="1"/>
  <c r="W344" i="11"/>
  <c r="AD344" i="11"/>
  <c r="AE344" i="11"/>
  <c r="AF344" i="11"/>
  <c r="J345" i="11"/>
  <c r="M345" i="11" s="1"/>
  <c r="N345" i="11"/>
  <c r="V345" i="11"/>
  <c r="X345" i="11" s="1"/>
  <c r="W345" i="11"/>
  <c r="AD345" i="11"/>
  <c r="AE345" i="11"/>
  <c r="AF345" i="11"/>
  <c r="J346" i="11"/>
  <c r="M346" i="11" s="1"/>
  <c r="N346" i="11"/>
  <c r="V346" i="11"/>
  <c r="X346" i="11" s="1"/>
  <c r="W346" i="11"/>
  <c r="AD346" i="11"/>
  <c r="AE346" i="11"/>
  <c r="AF346" i="11"/>
  <c r="J347" i="11"/>
  <c r="M347" i="11" s="1"/>
  <c r="N347" i="11"/>
  <c r="V347" i="11"/>
  <c r="X347" i="11" s="1"/>
  <c r="W347" i="11"/>
  <c r="AD347" i="11"/>
  <c r="AE347" i="11"/>
  <c r="AF347" i="11"/>
  <c r="J348" i="11"/>
  <c r="M348" i="11" s="1"/>
  <c r="N348" i="11"/>
  <c r="V348" i="11"/>
  <c r="X348" i="11" s="1"/>
  <c r="W348" i="11"/>
  <c r="AD348" i="11"/>
  <c r="AE348" i="11"/>
  <c r="AF348" i="11"/>
  <c r="J349" i="11"/>
  <c r="M349" i="11" s="1"/>
  <c r="N349" i="11"/>
  <c r="V349" i="11"/>
  <c r="X349" i="11" s="1"/>
  <c r="W349" i="11"/>
  <c r="AD349" i="11"/>
  <c r="AE349" i="11"/>
  <c r="AF349" i="11"/>
  <c r="J350" i="11"/>
  <c r="M350" i="11" s="1"/>
  <c r="N350" i="11"/>
  <c r="V350" i="11"/>
  <c r="X350" i="11" s="1"/>
  <c r="W350" i="11"/>
  <c r="AD350" i="11"/>
  <c r="AE350" i="11"/>
  <c r="AF350" i="11"/>
  <c r="J351" i="11"/>
  <c r="M351" i="11" s="1"/>
  <c r="N351" i="11"/>
  <c r="V351" i="11"/>
  <c r="X351" i="11" s="1"/>
  <c r="W351" i="11"/>
  <c r="AD351" i="11"/>
  <c r="AE351" i="11"/>
  <c r="AF351" i="11"/>
  <c r="J352" i="11"/>
  <c r="M352" i="11" s="1"/>
  <c r="N352" i="11"/>
  <c r="V352" i="11"/>
  <c r="X352" i="11" s="1"/>
  <c r="W352" i="11"/>
  <c r="AD352" i="11"/>
  <c r="AE352" i="11"/>
  <c r="AF352" i="11"/>
  <c r="J353" i="11"/>
  <c r="M353" i="11" s="1"/>
  <c r="N353" i="11"/>
  <c r="V353" i="11"/>
  <c r="X353" i="11" s="1"/>
  <c r="W353" i="11"/>
  <c r="AD353" i="11"/>
  <c r="AE353" i="11"/>
  <c r="AF353" i="11"/>
  <c r="J354" i="11"/>
  <c r="M354" i="11" s="1"/>
  <c r="N354" i="11"/>
  <c r="V354" i="11"/>
  <c r="X354" i="11" s="1"/>
  <c r="W354" i="11"/>
  <c r="AD354" i="11"/>
  <c r="AE354" i="11"/>
  <c r="AF354" i="11"/>
  <c r="J355" i="11"/>
  <c r="M355" i="11" s="1"/>
  <c r="N355" i="11"/>
  <c r="V355" i="11"/>
  <c r="X355" i="11" s="1"/>
  <c r="W355" i="11"/>
  <c r="AD355" i="11"/>
  <c r="AE355" i="11"/>
  <c r="AF355" i="11"/>
  <c r="J356" i="11"/>
  <c r="M356" i="11" s="1"/>
  <c r="N356" i="11"/>
  <c r="V356" i="11"/>
  <c r="X356" i="11" s="1"/>
  <c r="W356" i="11"/>
  <c r="AD356" i="11"/>
  <c r="AE356" i="11"/>
  <c r="AF356" i="11"/>
  <c r="J357" i="11"/>
  <c r="M357" i="11" s="1"/>
  <c r="N357" i="11"/>
  <c r="V357" i="11"/>
  <c r="X357" i="11" s="1"/>
  <c r="W357" i="11"/>
  <c r="AD357" i="11"/>
  <c r="AE357" i="11"/>
  <c r="AF357" i="11"/>
  <c r="J358" i="11"/>
  <c r="M358" i="11" s="1"/>
  <c r="N358" i="11"/>
  <c r="V358" i="11"/>
  <c r="X358" i="11" s="1"/>
  <c r="W358" i="11"/>
  <c r="AD358" i="11"/>
  <c r="AE358" i="11"/>
  <c r="AF358" i="11"/>
  <c r="J359" i="11"/>
  <c r="M359" i="11" s="1"/>
  <c r="N359" i="11"/>
  <c r="V359" i="11"/>
  <c r="X359" i="11" s="1"/>
  <c r="W359" i="11"/>
  <c r="AD359" i="11"/>
  <c r="AE359" i="11"/>
  <c r="AF359" i="11"/>
  <c r="J360" i="11"/>
  <c r="M360" i="11" s="1"/>
  <c r="N360" i="11"/>
  <c r="V360" i="11"/>
  <c r="X360" i="11" s="1"/>
  <c r="W360" i="11"/>
  <c r="AD360" i="11"/>
  <c r="AE360" i="11"/>
  <c r="AF360" i="11"/>
  <c r="A361" i="11"/>
  <c r="J361" i="11"/>
  <c r="M361" i="11" s="1"/>
  <c r="N361" i="11"/>
  <c r="V361" i="11"/>
  <c r="X361" i="11" s="1"/>
  <c r="W361" i="11"/>
  <c r="AD361" i="11"/>
  <c r="AE361" i="11"/>
  <c r="AF361" i="11"/>
  <c r="J362" i="11"/>
  <c r="M362" i="11" s="1"/>
  <c r="N362" i="11"/>
  <c r="V362" i="11"/>
  <c r="X362" i="11" s="1"/>
  <c r="W362" i="11"/>
  <c r="AD362" i="11"/>
  <c r="AE362" i="11"/>
  <c r="AF362" i="11"/>
  <c r="J363" i="11"/>
  <c r="M363" i="11" s="1"/>
  <c r="N363" i="11"/>
  <c r="V363" i="11"/>
  <c r="X363" i="11" s="1"/>
  <c r="W363" i="11"/>
  <c r="AD363" i="11"/>
  <c r="AE363" i="11"/>
  <c r="AF363" i="11"/>
  <c r="J364" i="11"/>
  <c r="M364" i="11" s="1"/>
  <c r="N364" i="11"/>
  <c r="V364" i="11"/>
  <c r="X364" i="11" s="1"/>
  <c r="W364" i="11"/>
  <c r="AD364" i="11"/>
  <c r="AE364" i="11"/>
  <c r="AF364" i="11"/>
  <c r="J365" i="11"/>
  <c r="M365" i="11" s="1"/>
  <c r="N365" i="11"/>
  <c r="V365" i="11"/>
  <c r="X365" i="11" s="1"/>
  <c r="W365" i="11"/>
  <c r="AD365" i="11"/>
  <c r="AE365" i="11"/>
  <c r="AF365" i="11"/>
  <c r="J366" i="11"/>
  <c r="M366" i="11" s="1"/>
  <c r="N366" i="11"/>
  <c r="V366" i="11"/>
  <c r="X366" i="11" s="1"/>
  <c r="W366" i="11"/>
  <c r="AD366" i="11"/>
  <c r="AE366" i="11"/>
  <c r="AF366" i="11"/>
  <c r="J367" i="11"/>
  <c r="M367" i="11" s="1"/>
  <c r="N367" i="11"/>
  <c r="V367" i="11"/>
  <c r="X367" i="11" s="1"/>
  <c r="W367" i="11"/>
  <c r="AD367" i="11"/>
  <c r="AE367" i="11"/>
  <c r="AF367" i="11"/>
  <c r="J368" i="11"/>
  <c r="M368" i="11" s="1"/>
  <c r="N368" i="11"/>
  <c r="V368" i="11"/>
  <c r="X368" i="11" s="1"/>
  <c r="W368" i="11"/>
  <c r="AD368" i="11"/>
  <c r="AE368" i="11"/>
  <c r="AF368" i="11"/>
  <c r="J369" i="11"/>
  <c r="M369" i="11" s="1"/>
  <c r="N369" i="11"/>
  <c r="V369" i="11"/>
  <c r="X369" i="11" s="1"/>
  <c r="W369" i="11"/>
  <c r="AD369" i="11"/>
  <c r="AE369" i="11"/>
  <c r="AF369" i="11"/>
  <c r="J370" i="11"/>
  <c r="M370" i="11" s="1"/>
  <c r="N370" i="11"/>
  <c r="V370" i="11"/>
  <c r="X370" i="11" s="1"/>
  <c r="W370" i="11"/>
  <c r="AD370" i="11"/>
  <c r="AE370" i="11"/>
  <c r="AF370" i="11"/>
  <c r="A371" i="11"/>
  <c r="J371" i="11"/>
  <c r="M371" i="11" s="1"/>
  <c r="N371" i="11"/>
  <c r="V371" i="11"/>
  <c r="X371" i="11" s="1"/>
  <c r="W371" i="11"/>
  <c r="AD371" i="11"/>
  <c r="AE371" i="11"/>
  <c r="AF371" i="11"/>
  <c r="A372" i="11"/>
  <c r="J372" i="11"/>
  <c r="M372" i="11" s="1"/>
  <c r="N372" i="11"/>
  <c r="V372" i="11"/>
  <c r="X372" i="11" s="1"/>
  <c r="W372" i="11"/>
  <c r="AD372" i="11"/>
  <c r="AE372" i="11"/>
  <c r="AF372" i="11"/>
  <c r="A373" i="11"/>
  <c r="J373" i="11"/>
  <c r="M373" i="11" s="1"/>
  <c r="N373" i="11"/>
  <c r="V373" i="11"/>
  <c r="X373" i="11" s="1"/>
  <c r="W373" i="11"/>
  <c r="AD373" i="11"/>
  <c r="AE373" i="11"/>
  <c r="AF373" i="11"/>
  <c r="A374" i="11"/>
  <c r="J374" i="11"/>
  <c r="M374" i="11" s="1"/>
  <c r="N374" i="11"/>
  <c r="V374" i="11"/>
  <c r="X374" i="11" s="1"/>
  <c r="W374" i="11"/>
  <c r="AD374" i="11"/>
  <c r="AE374" i="11"/>
  <c r="AF374" i="11"/>
  <c r="A375" i="11"/>
  <c r="J375" i="11"/>
  <c r="M375" i="11" s="1"/>
  <c r="N375" i="11"/>
  <c r="V375" i="11"/>
  <c r="X375" i="11" s="1"/>
  <c r="W375" i="11"/>
  <c r="AD375" i="11"/>
  <c r="AE375" i="11"/>
  <c r="AF375" i="11"/>
  <c r="A376" i="11"/>
  <c r="J376" i="11"/>
  <c r="M376" i="11" s="1"/>
  <c r="N376" i="11"/>
  <c r="V376" i="11"/>
  <c r="X376" i="11" s="1"/>
  <c r="W376" i="11"/>
  <c r="AD376" i="11"/>
  <c r="AE376" i="11"/>
  <c r="AF376" i="11"/>
  <c r="A377" i="11"/>
  <c r="J377" i="11"/>
  <c r="M377" i="11" s="1"/>
  <c r="N377" i="11"/>
  <c r="V377" i="11"/>
  <c r="X377" i="11" s="1"/>
  <c r="W377" i="11"/>
  <c r="AD377" i="11"/>
  <c r="AE377" i="11"/>
  <c r="AF377" i="11"/>
  <c r="J378" i="11"/>
  <c r="M378" i="11" s="1"/>
  <c r="N378" i="11"/>
  <c r="V378" i="11"/>
  <c r="X378" i="11" s="1"/>
  <c r="W378" i="11"/>
  <c r="AD378" i="11"/>
  <c r="AE378" i="11"/>
  <c r="AF378" i="11"/>
  <c r="J379" i="11"/>
  <c r="M379" i="11" s="1"/>
  <c r="N379" i="11"/>
  <c r="V379" i="11"/>
  <c r="X379" i="11" s="1"/>
  <c r="W379" i="11"/>
  <c r="AD379" i="11"/>
  <c r="AE379" i="11"/>
  <c r="AF379" i="11"/>
  <c r="J380" i="11"/>
  <c r="M380" i="11" s="1"/>
  <c r="N380" i="11"/>
  <c r="V380" i="11"/>
  <c r="X380" i="11" s="1"/>
  <c r="W380" i="11"/>
  <c r="AD380" i="11"/>
  <c r="AE380" i="11"/>
  <c r="AF380" i="11"/>
  <c r="J381" i="11"/>
  <c r="M381" i="11" s="1"/>
  <c r="N381" i="11"/>
  <c r="V381" i="11"/>
  <c r="X381" i="11" s="1"/>
  <c r="W381" i="11"/>
  <c r="AD381" i="11"/>
  <c r="AE381" i="11"/>
  <c r="AF381" i="11"/>
  <c r="J382" i="11"/>
  <c r="M382" i="11" s="1"/>
  <c r="N382" i="11"/>
  <c r="V382" i="11"/>
  <c r="X382" i="11" s="1"/>
  <c r="W382" i="11"/>
  <c r="AD382" i="11"/>
  <c r="AE382" i="11"/>
  <c r="AF382" i="11"/>
  <c r="J383" i="11"/>
  <c r="M383" i="11" s="1"/>
  <c r="N383" i="11"/>
  <c r="V383" i="11"/>
  <c r="X383" i="11" s="1"/>
  <c r="W383" i="11"/>
  <c r="AD383" i="11"/>
  <c r="AE383" i="11"/>
  <c r="AF383" i="11"/>
  <c r="J384" i="11"/>
  <c r="M384" i="11" s="1"/>
  <c r="N384" i="11"/>
  <c r="V384" i="11"/>
  <c r="X384" i="11" s="1"/>
  <c r="W384" i="11"/>
  <c r="AD384" i="11"/>
  <c r="AE384" i="11"/>
  <c r="AF384" i="11"/>
  <c r="J385" i="11"/>
  <c r="M385" i="11" s="1"/>
  <c r="N385" i="11"/>
  <c r="V385" i="11"/>
  <c r="X385" i="11" s="1"/>
  <c r="W385" i="11"/>
  <c r="AD385" i="11"/>
  <c r="AE385" i="11"/>
  <c r="AF385" i="11"/>
  <c r="J386" i="11"/>
  <c r="M386" i="11" s="1"/>
  <c r="N386" i="11"/>
  <c r="V386" i="11"/>
  <c r="X386" i="11" s="1"/>
  <c r="W386" i="11"/>
  <c r="AD386" i="11"/>
  <c r="AE386" i="11"/>
  <c r="AF386" i="11"/>
  <c r="J387" i="11"/>
  <c r="M387" i="11" s="1"/>
  <c r="N387" i="11"/>
  <c r="V387" i="11"/>
  <c r="X387" i="11" s="1"/>
  <c r="W387" i="11"/>
  <c r="AD387" i="11"/>
  <c r="AE387" i="11"/>
  <c r="AF387" i="11"/>
  <c r="J388" i="11"/>
  <c r="M388" i="11" s="1"/>
  <c r="N388" i="11"/>
  <c r="V388" i="11"/>
  <c r="X388" i="11" s="1"/>
  <c r="W388" i="11"/>
  <c r="AD388" i="11"/>
  <c r="AE388" i="11"/>
  <c r="AF388" i="11"/>
  <c r="J389" i="11"/>
  <c r="M389" i="11" s="1"/>
  <c r="N389" i="11"/>
  <c r="V389" i="11"/>
  <c r="X389" i="11" s="1"/>
  <c r="P41" i="15" s="1"/>
  <c r="W389" i="11"/>
  <c r="AD389" i="11"/>
  <c r="AE389" i="11"/>
  <c r="AF389" i="11"/>
  <c r="J390" i="11"/>
  <c r="M390" i="11" s="1"/>
  <c r="N390" i="11"/>
  <c r="V390" i="11"/>
  <c r="X390" i="11" s="1"/>
  <c r="W390" i="11"/>
  <c r="AD390" i="11"/>
  <c r="AE390" i="11"/>
  <c r="AF390" i="11"/>
  <c r="J391" i="11"/>
  <c r="M391" i="11" s="1"/>
  <c r="N391" i="11"/>
  <c r="V391" i="11"/>
  <c r="X391" i="11" s="1"/>
  <c r="W391" i="11"/>
  <c r="AD391" i="11"/>
  <c r="AE391" i="11"/>
  <c r="AF391" i="11"/>
  <c r="J392" i="11"/>
  <c r="M392" i="11" s="1"/>
  <c r="N392" i="11"/>
  <c r="V392" i="11"/>
  <c r="X392" i="11" s="1"/>
  <c r="W392" i="11"/>
  <c r="AD392" i="11"/>
  <c r="AE392" i="11"/>
  <c r="AF392" i="11"/>
  <c r="J393" i="11"/>
  <c r="M393" i="11" s="1"/>
  <c r="N393" i="11"/>
  <c r="V393" i="11"/>
  <c r="X393" i="11" s="1"/>
  <c r="W393" i="11"/>
  <c r="AD393" i="11"/>
  <c r="AE393" i="11"/>
  <c r="AF393" i="11"/>
  <c r="J394" i="11"/>
  <c r="M394" i="11" s="1"/>
  <c r="N394" i="11"/>
  <c r="V394" i="11"/>
  <c r="X394" i="11" s="1"/>
  <c r="W394" i="11"/>
  <c r="AD394" i="11"/>
  <c r="AE394" i="11"/>
  <c r="AF394" i="11"/>
  <c r="J395" i="11"/>
  <c r="M395" i="11" s="1"/>
  <c r="N395" i="11"/>
  <c r="V395" i="11"/>
  <c r="X395" i="11" s="1"/>
  <c r="W395" i="11"/>
  <c r="AD395" i="11"/>
  <c r="AE395" i="11"/>
  <c r="AF395" i="11"/>
  <c r="J396" i="11"/>
  <c r="M396" i="11" s="1"/>
  <c r="N396" i="11"/>
  <c r="V396" i="11"/>
  <c r="X396" i="11" s="1"/>
  <c r="W396" i="11"/>
  <c r="AD396" i="11"/>
  <c r="AE396" i="11"/>
  <c r="AF396" i="11"/>
  <c r="J397" i="11"/>
  <c r="M397" i="11" s="1"/>
  <c r="N397" i="11"/>
  <c r="V397" i="11"/>
  <c r="X397" i="11" s="1"/>
  <c r="W397" i="11"/>
  <c r="AD397" i="11"/>
  <c r="AE397" i="11"/>
  <c r="AF397" i="11"/>
  <c r="J398" i="11"/>
  <c r="M398" i="11" s="1"/>
  <c r="N398" i="11"/>
  <c r="V398" i="11"/>
  <c r="X398" i="11" s="1"/>
  <c r="W398" i="11"/>
  <c r="AD398" i="11"/>
  <c r="AE398" i="11"/>
  <c r="AF398" i="11"/>
  <c r="J399" i="11"/>
  <c r="M399" i="11" s="1"/>
  <c r="N399" i="11"/>
  <c r="V399" i="11"/>
  <c r="X399" i="11" s="1"/>
  <c r="W399" i="11"/>
  <c r="AD399" i="11"/>
  <c r="AE399" i="11"/>
  <c r="AF399" i="11"/>
  <c r="J400" i="11"/>
  <c r="M400" i="11" s="1"/>
  <c r="N400" i="11"/>
  <c r="V400" i="11"/>
  <c r="X400" i="11" s="1"/>
  <c r="W400" i="11"/>
  <c r="AD400" i="11"/>
  <c r="AE400" i="11"/>
  <c r="AF400" i="11"/>
  <c r="J401" i="11"/>
  <c r="M401" i="11" s="1"/>
  <c r="N401" i="11"/>
  <c r="V401" i="11"/>
  <c r="X401" i="11" s="1"/>
  <c r="W401" i="11"/>
  <c r="AD401" i="11"/>
  <c r="AE401" i="11"/>
  <c r="AF401" i="11"/>
  <c r="J402" i="11"/>
  <c r="M402" i="11" s="1"/>
  <c r="N402" i="11"/>
  <c r="V402" i="11"/>
  <c r="X402" i="11" s="1"/>
  <c r="W402" i="11"/>
  <c r="AD402" i="11"/>
  <c r="AE402" i="11"/>
  <c r="AF402" i="11"/>
  <c r="J403" i="11"/>
  <c r="M403" i="11" s="1"/>
  <c r="N403" i="11"/>
  <c r="V403" i="11"/>
  <c r="X403" i="11" s="1"/>
  <c r="W403" i="11"/>
  <c r="AD403" i="11"/>
  <c r="AE403" i="11"/>
  <c r="AF403" i="11"/>
  <c r="J404" i="11"/>
  <c r="M404" i="11" s="1"/>
  <c r="N404" i="11"/>
  <c r="V404" i="11"/>
  <c r="X404" i="11" s="1"/>
  <c r="W404" i="11"/>
  <c r="AD404" i="11"/>
  <c r="AE404" i="11"/>
  <c r="AF404" i="11"/>
  <c r="J405" i="11"/>
  <c r="M405" i="11" s="1"/>
  <c r="N405" i="11"/>
  <c r="V405" i="11"/>
  <c r="X405" i="11" s="1"/>
  <c r="W405" i="11"/>
  <c r="AD405" i="11"/>
  <c r="AE405" i="11"/>
  <c r="AF405" i="11"/>
  <c r="J406" i="11"/>
  <c r="M406" i="11" s="1"/>
  <c r="N406" i="11"/>
  <c r="V406" i="11"/>
  <c r="X406" i="11" s="1"/>
  <c r="W406" i="11"/>
  <c r="AD406" i="11"/>
  <c r="AE406" i="11"/>
  <c r="AF406" i="11"/>
  <c r="J407" i="11"/>
  <c r="M407" i="11" s="1"/>
  <c r="N407" i="11"/>
  <c r="V407" i="11"/>
  <c r="X407" i="11" s="1"/>
  <c r="W407" i="11"/>
  <c r="AD407" i="11"/>
  <c r="AE407" i="11"/>
  <c r="AF407" i="11"/>
  <c r="J408" i="11"/>
  <c r="M408" i="11" s="1"/>
  <c r="N408" i="11"/>
  <c r="V408" i="11"/>
  <c r="X408" i="11" s="1"/>
  <c r="W408" i="11"/>
  <c r="AD408" i="11"/>
  <c r="AE408" i="11"/>
  <c r="AF408" i="11"/>
  <c r="J409" i="11"/>
  <c r="M409" i="11" s="1"/>
  <c r="N409" i="11"/>
  <c r="V409" i="11"/>
  <c r="X409" i="11" s="1"/>
  <c r="W409" i="11"/>
  <c r="AD409" i="11"/>
  <c r="AE409" i="11"/>
  <c r="AF409" i="11"/>
  <c r="J410" i="11"/>
  <c r="M410" i="11" s="1"/>
  <c r="N410" i="11"/>
  <c r="V410" i="11"/>
  <c r="X410" i="11" s="1"/>
  <c r="W410" i="11"/>
  <c r="AD410" i="11"/>
  <c r="AE410" i="11"/>
  <c r="AF410" i="11"/>
  <c r="J411" i="11"/>
  <c r="M411" i="11" s="1"/>
  <c r="N411" i="11"/>
  <c r="V411" i="11"/>
  <c r="X411" i="11" s="1"/>
  <c r="W411" i="11"/>
  <c r="AD411" i="11"/>
  <c r="AE411" i="11"/>
  <c r="AF411" i="11"/>
  <c r="J412" i="11"/>
  <c r="M412" i="11" s="1"/>
  <c r="N412" i="11"/>
  <c r="V412" i="11"/>
  <c r="X412" i="11" s="1"/>
  <c r="W412" i="11"/>
  <c r="AD412" i="11"/>
  <c r="AE412" i="11"/>
  <c r="AF412" i="11"/>
  <c r="J413" i="11"/>
  <c r="M413" i="11" s="1"/>
  <c r="N413" i="11"/>
  <c r="V413" i="11"/>
  <c r="X413" i="11" s="1"/>
  <c r="W413" i="11"/>
  <c r="AD413" i="11"/>
  <c r="AE413" i="11"/>
  <c r="AF413" i="11"/>
  <c r="A414" i="11"/>
  <c r="J414" i="11"/>
  <c r="M414" i="11" s="1"/>
  <c r="N414" i="11"/>
  <c r="V414" i="11"/>
  <c r="X414" i="11" s="1"/>
  <c r="W414" i="11"/>
  <c r="AD414" i="11"/>
  <c r="AE414" i="11"/>
  <c r="AF414" i="11"/>
  <c r="A415" i="11"/>
  <c r="J415" i="11"/>
  <c r="M415" i="11" s="1"/>
  <c r="N415" i="11"/>
  <c r="V415" i="11"/>
  <c r="X415" i="11" s="1"/>
  <c r="W415" i="11"/>
  <c r="AD415" i="11"/>
  <c r="AE415" i="11"/>
  <c r="AF415" i="11"/>
  <c r="J416" i="11"/>
  <c r="M416" i="11" s="1"/>
  <c r="N416" i="11"/>
  <c r="V416" i="11"/>
  <c r="X416" i="11" s="1"/>
  <c r="W416" i="11"/>
  <c r="AD416" i="11"/>
  <c r="AE416" i="11"/>
  <c r="AF416" i="11"/>
  <c r="J417" i="11"/>
  <c r="M417" i="11" s="1"/>
  <c r="N417" i="11"/>
  <c r="V417" i="11"/>
  <c r="X417" i="11" s="1"/>
  <c r="W417" i="11"/>
  <c r="AD417" i="11"/>
  <c r="AE417" i="11"/>
  <c r="AF417" i="11"/>
  <c r="J418" i="11"/>
  <c r="M418" i="11" s="1"/>
  <c r="N418" i="11"/>
  <c r="V418" i="11"/>
  <c r="X418" i="11" s="1"/>
  <c r="W418" i="11"/>
  <c r="AD418" i="11"/>
  <c r="AE418" i="11"/>
  <c r="AF418" i="11"/>
  <c r="J419" i="11"/>
  <c r="M419" i="11" s="1"/>
  <c r="N419" i="11"/>
  <c r="V419" i="11"/>
  <c r="X419" i="11" s="1"/>
  <c r="W419" i="11"/>
  <c r="AD419" i="11"/>
  <c r="AE419" i="11"/>
  <c r="AF419" i="11"/>
  <c r="J420" i="11"/>
  <c r="M420" i="11" s="1"/>
  <c r="N420" i="11"/>
  <c r="V420" i="11"/>
  <c r="X420" i="11" s="1"/>
  <c r="W420" i="11"/>
  <c r="AD420" i="11"/>
  <c r="AE420" i="11"/>
  <c r="AF420" i="11"/>
  <c r="J421" i="11"/>
  <c r="M421" i="11" s="1"/>
  <c r="N421" i="11"/>
  <c r="V421" i="11"/>
  <c r="X421" i="11" s="1"/>
  <c r="W421" i="11"/>
  <c r="AD421" i="11"/>
  <c r="AE421" i="11"/>
  <c r="AF421" i="11"/>
  <c r="J422" i="11"/>
  <c r="M422" i="11" s="1"/>
  <c r="N422" i="11"/>
  <c r="V422" i="11"/>
  <c r="X422" i="11" s="1"/>
  <c r="W422" i="11"/>
  <c r="AD422" i="11"/>
  <c r="AE422" i="11"/>
  <c r="AF422" i="11"/>
  <c r="J423" i="11"/>
  <c r="M423" i="11" s="1"/>
  <c r="N423" i="11"/>
  <c r="V423" i="11"/>
  <c r="X423" i="11" s="1"/>
  <c r="W423" i="11"/>
  <c r="AD423" i="11"/>
  <c r="AE423" i="11"/>
  <c r="AF423" i="11"/>
  <c r="J424" i="11"/>
  <c r="M424" i="11" s="1"/>
  <c r="N424" i="11"/>
  <c r="V424" i="11"/>
  <c r="X424" i="11" s="1"/>
  <c r="W424" i="11"/>
  <c r="AD424" i="11"/>
  <c r="AE424" i="11"/>
  <c r="AF424" i="11"/>
  <c r="J425" i="11"/>
  <c r="M425" i="11" s="1"/>
  <c r="N425" i="11"/>
  <c r="V425" i="11"/>
  <c r="X425" i="11" s="1"/>
  <c r="W425" i="11"/>
  <c r="AD425" i="11"/>
  <c r="AE425" i="11"/>
  <c r="AF425" i="11"/>
  <c r="J426" i="11"/>
  <c r="M426" i="11" s="1"/>
  <c r="N426" i="11"/>
  <c r="V426" i="11"/>
  <c r="X426" i="11" s="1"/>
  <c r="W426" i="11"/>
  <c r="AD426" i="11"/>
  <c r="AE426" i="11"/>
  <c r="AF426" i="11"/>
  <c r="J427" i="11"/>
  <c r="M427" i="11" s="1"/>
  <c r="N427" i="11"/>
  <c r="V427" i="11"/>
  <c r="X427" i="11" s="1"/>
  <c r="W427" i="11"/>
  <c r="AD427" i="11"/>
  <c r="AE427" i="11"/>
  <c r="AF427" i="11"/>
  <c r="J428" i="11"/>
  <c r="M428" i="11" s="1"/>
  <c r="N428" i="11"/>
  <c r="V428" i="11"/>
  <c r="X428" i="11" s="1"/>
  <c r="W428" i="11"/>
  <c r="AD428" i="11"/>
  <c r="AE428" i="11"/>
  <c r="AF428" i="11"/>
  <c r="J429" i="11"/>
  <c r="M429" i="11" s="1"/>
  <c r="N429" i="11"/>
  <c r="V429" i="11"/>
  <c r="X429" i="11" s="1"/>
  <c r="W429" i="11"/>
  <c r="AD429" i="11"/>
  <c r="AE429" i="11"/>
  <c r="AF429" i="11"/>
  <c r="J430" i="11"/>
  <c r="M430" i="11" s="1"/>
  <c r="N430" i="11"/>
  <c r="V430" i="11"/>
  <c r="X430" i="11" s="1"/>
  <c r="W430" i="11"/>
  <c r="AD430" i="11"/>
  <c r="AE430" i="11"/>
  <c r="AF430" i="11"/>
  <c r="J431" i="11"/>
  <c r="M431" i="11" s="1"/>
  <c r="N431" i="11"/>
  <c r="V431" i="11"/>
  <c r="X431" i="11" s="1"/>
  <c r="W431" i="11"/>
  <c r="AD431" i="11"/>
  <c r="AE431" i="11"/>
  <c r="AF431" i="11"/>
  <c r="J432" i="11"/>
  <c r="M432" i="11" s="1"/>
  <c r="N432" i="11"/>
  <c r="V432" i="11"/>
  <c r="X432" i="11" s="1"/>
  <c r="W432" i="11"/>
  <c r="AD432" i="11"/>
  <c r="AE432" i="11"/>
  <c r="AF432" i="11"/>
  <c r="J433" i="11"/>
  <c r="M433" i="11" s="1"/>
  <c r="N433" i="11"/>
  <c r="V433" i="11"/>
  <c r="X433" i="11" s="1"/>
  <c r="W433" i="11"/>
  <c r="AD433" i="11"/>
  <c r="AE433" i="11"/>
  <c r="AF433" i="11"/>
  <c r="J434" i="11"/>
  <c r="M434" i="11" s="1"/>
  <c r="N434" i="11"/>
  <c r="V434" i="11"/>
  <c r="X434" i="11" s="1"/>
  <c r="W434" i="11"/>
  <c r="AD434" i="11"/>
  <c r="AE434" i="11"/>
  <c r="AF434" i="11"/>
  <c r="J435" i="11"/>
  <c r="M435" i="11" s="1"/>
  <c r="N435" i="11"/>
  <c r="V435" i="11"/>
  <c r="X435" i="11" s="1"/>
  <c r="W435" i="11"/>
  <c r="AD435" i="11"/>
  <c r="AE435" i="11"/>
  <c r="AF435" i="11"/>
  <c r="J436" i="11"/>
  <c r="M436" i="11" s="1"/>
  <c r="N436" i="11"/>
  <c r="V436" i="11"/>
  <c r="X436" i="11" s="1"/>
  <c r="W436" i="11"/>
  <c r="AD436" i="11"/>
  <c r="AE436" i="11"/>
  <c r="AF436" i="11"/>
  <c r="J437" i="11"/>
  <c r="M437" i="11" s="1"/>
  <c r="N437" i="11"/>
  <c r="V437" i="11"/>
  <c r="X437" i="11" s="1"/>
  <c r="W437" i="11"/>
  <c r="AD437" i="11"/>
  <c r="AE437" i="11"/>
  <c r="AF437" i="11"/>
  <c r="J438" i="11"/>
  <c r="M438" i="11" s="1"/>
  <c r="N438" i="11"/>
  <c r="V438" i="11"/>
  <c r="X438" i="11" s="1"/>
  <c r="W438" i="11"/>
  <c r="AD438" i="11"/>
  <c r="AE438" i="11"/>
  <c r="AF438" i="11"/>
  <c r="J439" i="11"/>
  <c r="M439" i="11" s="1"/>
  <c r="N439" i="11"/>
  <c r="V439" i="11"/>
  <c r="X439" i="11" s="1"/>
  <c r="W439" i="11"/>
  <c r="AD439" i="11"/>
  <c r="AE439" i="11"/>
  <c r="AF439" i="11"/>
  <c r="J440" i="11"/>
  <c r="M440" i="11" s="1"/>
  <c r="N440" i="11"/>
  <c r="V440" i="11"/>
  <c r="X440" i="11" s="1"/>
  <c r="W440" i="11"/>
  <c r="AD440" i="11"/>
  <c r="AE440" i="11"/>
  <c r="AF440" i="11"/>
  <c r="J441" i="11"/>
  <c r="M441" i="11" s="1"/>
  <c r="N441" i="11"/>
  <c r="V441" i="11"/>
  <c r="X441" i="11" s="1"/>
  <c r="W441" i="11"/>
  <c r="AD441" i="11"/>
  <c r="AE441" i="11"/>
  <c r="AF441" i="11"/>
  <c r="J442" i="11"/>
  <c r="M442" i="11" s="1"/>
  <c r="N442" i="11"/>
  <c r="V442" i="11"/>
  <c r="X442" i="11" s="1"/>
  <c r="W442" i="11"/>
  <c r="AD442" i="11"/>
  <c r="AE442" i="11"/>
  <c r="AF442" i="11"/>
  <c r="J443" i="11"/>
  <c r="M443" i="11" s="1"/>
  <c r="N443" i="11"/>
  <c r="V443" i="11"/>
  <c r="X443" i="11" s="1"/>
  <c r="W443" i="11"/>
  <c r="AD443" i="11"/>
  <c r="AE443" i="11"/>
  <c r="AF443" i="11"/>
  <c r="J444" i="11"/>
  <c r="M444" i="11" s="1"/>
  <c r="N444" i="11"/>
  <c r="V444" i="11"/>
  <c r="X444" i="11" s="1"/>
  <c r="W444" i="11"/>
  <c r="AD444" i="11"/>
  <c r="AE444" i="11"/>
  <c r="AF444" i="11"/>
  <c r="J445" i="11"/>
  <c r="M445" i="11" s="1"/>
  <c r="N445" i="11"/>
  <c r="V445" i="11"/>
  <c r="X445" i="11" s="1"/>
  <c r="W445" i="11"/>
  <c r="AD445" i="11"/>
  <c r="AE445" i="11"/>
  <c r="AF445" i="11"/>
  <c r="J446" i="11"/>
  <c r="M446" i="11" s="1"/>
  <c r="N446" i="11"/>
  <c r="V446" i="11"/>
  <c r="X446" i="11" s="1"/>
  <c r="W446" i="11"/>
  <c r="AD446" i="11"/>
  <c r="AE446" i="11"/>
  <c r="AF446" i="11"/>
  <c r="J447" i="11"/>
  <c r="M447" i="11" s="1"/>
  <c r="N447" i="11"/>
  <c r="V447" i="11"/>
  <c r="X447" i="11" s="1"/>
  <c r="W447" i="11"/>
  <c r="AD447" i="11"/>
  <c r="AE447" i="11"/>
  <c r="AF447" i="11"/>
  <c r="A448" i="11"/>
  <c r="J448" i="11"/>
  <c r="M448" i="11" s="1"/>
  <c r="N448" i="11"/>
  <c r="V448" i="11"/>
  <c r="X448" i="11" s="1"/>
  <c r="W448" i="11"/>
  <c r="AD448" i="11"/>
  <c r="AE448" i="11"/>
  <c r="AF448" i="11"/>
  <c r="J449" i="11"/>
  <c r="M449" i="11" s="1"/>
  <c r="N449" i="11"/>
  <c r="V449" i="11"/>
  <c r="X449" i="11" s="1"/>
  <c r="W449" i="11"/>
  <c r="AD449" i="11"/>
  <c r="AE449" i="11"/>
  <c r="AF449" i="11"/>
  <c r="J450" i="11"/>
  <c r="M450" i="11" s="1"/>
  <c r="N450" i="11"/>
  <c r="V450" i="11"/>
  <c r="X450" i="11" s="1"/>
  <c r="W450" i="11"/>
  <c r="AD450" i="11"/>
  <c r="AE450" i="11"/>
  <c r="AF450" i="11"/>
  <c r="J451" i="11"/>
  <c r="M451" i="11" s="1"/>
  <c r="N451" i="11"/>
  <c r="V451" i="11"/>
  <c r="X451" i="11" s="1"/>
  <c r="W451" i="11"/>
  <c r="AD451" i="11"/>
  <c r="AE451" i="11"/>
  <c r="AF451" i="11"/>
  <c r="J452" i="11"/>
  <c r="M452" i="11" s="1"/>
  <c r="N452" i="11"/>
  <c r="V452" i="11"/>
  <c r="X452" i="11" s="1"/>
  <c r="W452" i="11"/>
  <c r="AD452" i="11"/>
  <c r="AE452" i="11"/>
  <c r="AF452" i="11"/>
  <c r="J453" i="11"/>
  <c r="M453" i="11" s="1"/>
  <c r="N453" i="11"/>
  <c r="V453" i="11"/>
  <c r="X453" i="11" s="1"/>
  <c r="W453" i="11"/>
  <c r="AD453" i="11"/>
  <c r="AE453" i="11"/>
  <c r="AF453" i="11"/>
  <c r="J454" i="11"/>
  <c r="M454" i="11" s="1"/>
  <c r="N454" i="11"/>
  <c r="V454" i="11"/>
  <c r="X454" i="11" s="1"/>
  <c r="W454" i="11"/>
  <c r="AD454" i="11"/>
  <c r="AE454" i="11"/>
  <c r="AF454" i="11"/>
  <c r="A455" i="11"/>
  <c r="J455" i="11"/>
  <c r="M455" i="11" s="1"/>
  <c r="N455" i="11"/>
  <c r="V455" i="11"/>
  <c r="X455" i="11" s="1"/>
  <c r="W455" i="11"/>
  <c r="AD455" i="11"/>
  <c r="AE455" i="11"/>
  <c r="AF455" i="11"/>
  <c r="A456" i="11"/>
  <c r="J456" i="11"/>
  <c r="M456" i="11" s="1"/>
  <c r="N456" i="11"/>
  <c r="V456" i="11"/>
  <c r="X456" i="11" s="1"/>
  <c r="W456" i="11"/>
  <c r="AD456" i="11"/>
  <c r="AE456" i="11"/>
  <c r="AF456" i="11"/>
  <c r="A457" i="11"/>
  <c r="J457" i="11"/>
  <c r="M457" i="11" s="1"/>
  <c r="N457" i="11"/>
  <c r="V457" i="11"/>
  <c r="X457" i="11" s="1"/>
  <c r="W457" i="11"/>
  <c r="AD457" i="11"/>
  <c r="AE457" i="11"/>
  <c r="AF457" i="11"/>
  <c r="J458" i="11"/>
  <c r="M458" i="11" s="1"/>
  <c r="N458" i="11"/>
  <c r="V458" i="11"/>
  <c r="X458" i="11" s="1"/>
  <c r="W458" i="11"/>
  <c r="AD458" i="11"/>
  <c r="AE458" i="11"/>
  <c r="AF458" i="11"/>
  <c r="J459" i="11"/>
  <c r="M459" i="11" s="1"/>
  <c r="N459" i="11"/>
  <c r="V459" i="11"/>
  <c r="X459" i="11" s="1"/>
  <c r="W459" i="11"/>
  <c r="AD459" i="11"/>
  <c r="AE459" i="11"/>
  <c r="AF459" i="11"/>
  <c r="J460" i="11"/>
  <c r="M460" i="11" s="1"/>
  <c r="N460" i="11"/>
  <c r="V460" i="11"/>
  <c r="X460" i="11" s="1"/>
  <c r="W460" i="11"/>
  <c r="AD460" i="11"/>
  <c r="AE460" i="11"/>
  <c r="AF460" i="11"/>
  <c r="J461" i="11"/>
  <c r="M461" i="11" s="1"/>
  <c r="N461" i="11"/>
  <c r="V461" i="11"/>
  <c r="X461" i="11" s="1"/>
  <c r="W461" i="11"/>
  <c r="AD461" i="11"/>
  <c r="AE461" i="11"/>
  <c r="AF461" i="11"/>
  <c r="J462" i="11"/>
  <c r="M462" i="11" s="1"/>
  <c r="N462" i="11"/>
  <c r="V462" i="11"/>
  <c r="X462" i="11" s="1"/>
  <c r="W462" i="11"/>
  <c r="AD462" i="11"/>
  <c r="AE462" i="11"/>
  <c r="AF462" i="11"/>
  <c r="J463" i="11"/>
  <c r="M463" i="11" s="1"/>
  <c r="N463" i="11"/>
  <c r="V463" i="11"/>
  <c r="X463" i="11" s="1"/>
  <c r="W463" i="11"/>
  <c r="AD463" i="11"/>
  <c r="AE463" i="11"/>
  <c r="AF463" i="11"/>
  <c r="J464" i="11"/>
  <c r="M464" i="11" s="1"/>
  <c r="N464" i="11"/>
  <c r="V464" i="11"/>
  <c r="X464" i="11" s="1"/>
  <c r="W464" i="11"/>
  <c r="AD464" i="11"/>
  <c r="AE464" i="11"/>
  <c r="AF464" i="11"/>
  <c r="J465" i="11"/>
  <c r="M465" i="11" s="1"/>
  <c r="N465" i="11"/>
  <c r="V465" i="11"/>
  <c r="X465" i="11" s="1"/>
  <c r="W465" i="11"/>
  <c r="AD465" i="11"/>
  <c r="AE465" i="11"/>
  <c r="AF465" i="11"/>
  <c r="J466" i="11"/>
  <c r="M466" i="11" s="1"/>
  <c r="N466" i="11"/>
  <c r="V466" i="11"/>
  <c r="X466" i="11" s="1"/>
  <c r="W466" i="11"/>
  <c r="AD466" i="11"/>
  <c r="AE466" i="11"/>
  <c r="AF466" i="11"/>
  <c r="J467" i="11"/>
  <c r="M467" i="11" s="1"/>
  <c r="N467" i="11"/>
  <c r="V467" i="11"/>
  <c r="X467" i="11" s="1"/>
  <c r="W467" i="11"/>
  <c r="AD467" i="11"/>
  <c r="AE467" i="11"/>
  <c r="AF467" i="11"/>
  <c r="J468" i="11"/>
  <c r="M468" i="11" s="1"/>
  <c r="N468" i="11"/>
  <c r="V468" i="11"/>
  <c r="X468" i="11" s="1"/>
  <c r="W468" i="11"/>
  <c r="AD468" i="11"/>
  <c r="AE468" i="11"/>
  <c r="AF468" i="11"/>
  <c r="J469" i="11"/>
  <c r="M469" i="11" s="1"/>
  <c r="N469" i="11"/>
  <c r="V469" i="11"/>
  <c r="X469" i="11" s="1"/>
  <c r="W469" i="11"/>
  <c r="AD469" i="11"/>
  <c r="AE469" i="11"/>
  <c r="AF469" i="11"/>
  <c r="J470" i="11"/>
  <c r="M470" i="11" s="1"/>
  <c r="N470" i="11"/>
  <c r="V470" i="11"/>
  <c r="X470" i="11" s="1"/>
  <c r="W470" i="11"/>
  <c r="AD470" i="11"/>
  <c r="AE470" i="11"/>
  <c r="AF470" i="11"/>
  <c r="J471" i="11"/>
  <c r="M471" i="11" s="1"/>
  <c r="N471" i="11"/>
  <c r="V471" i="11"/>
  <c r="X471" i="11" s="1"/>
  <c r="W471" i="11"/>
  <c r="AD471" i="11"/>
  <c r="AE471" i="11"/>
  <c r="AF471" i="11"/>
  <c r="J472" i="11"/>
  <c r="M472" i="11" s="1"/>
  <c r="N472" i="11"/>
  <c r="V472" i="11"/>
  <c r="X472" i="11" s="1"/>
  <c r="W472" i="11"/>
  <c r="AD472" i="11"/>
  <c r="AE472" i="11"/>
  <c r="AF472" i="11"/>
  <c r="J473" i="11"/>
  <c r="M473" i="11" s="1"/>
  <c r="N473" i="11"/>
  <c r="V473" i="11"/>
  <c r="X473" i="11" s="1"/>
  <c r="W473" i="11"/>
  <c r="AD473" i="11"/>
  <c r="AE473" i="11"/>
  <c r="AF473" i="11"/>
  <c r="J474" i="11"/>
  <c r="M474" i="11" s="1"/>
  <c r="N474" i="11"/>
  <c r="V474" i="11"/>
  <c r="X474" i="11" s="1"/>
  <c r="W474" i="11"/>
  <c r="AD474" i="11"/>
  <c r="AE474" i="11"/>
  <c r="AF474" i="11"/>
  <c r="J475" i="11"/>
  <c r="M475" i="11" s="1"/>
  <c r="N475" i="11"/>
  <c r="V475" i="11"/>
  <c r="X475" i="11" s="1"/>
  <c r="W475" i="11"/>
  <c r="AD475" i="11"/>
  <c r="AE475" i="11"/>
  <c r="AF475" i="11"/>
  <c r="J476" i="11"/>
  <c r="M476" i="11" s="1"/>
  <c r="N476" i="11"/>
  <c r="V476" i="11"/>
  <c r="X476" i="11" s="1"/>
  <c r="W476" i="11"/>
  <c r="AD476" i="11"/>
  <c r="AE476" i="11"/>
  <c r="AF476" i="11"/>
  <c r="J477" i="11"/>
  <c r="M477" i="11" s="1"/>
  <c r="N477" i="11"/>
  <c r="V477" i="11"/>
  <c r="X477" i="11" s="1"/>
  <c r="W477" i="11"/>
  <c r="AD477" i="11"/>
  <c r="AE477" i="11"/>
  <c r="AF477" i="11"/>
  <c r="J478" i="11"/>
  <c r="M478" i="11" s="1"/>
  <c r="N478" i="11"/>
  <c r="V478" i="11"/>
  <c r="X478" i="11" s="1"/>
  <c r="W478" i="11"/>
  <c r="AD478" i="11"/>
  <c r="AE478" i="11"/>
  <c r="AF478" i="11"/>
  <c r="J479" i="11"/>
  <c r="M479" i="11" s="1"/>
  <c r="N479" i="11"/>
  <c r="V479" i="11"/>
  <c r="X479" i="11" s="1"/>
  <c r="W479" i="11"/>
  <c r="AD479" i="11"/>
  <c r="AE479" i="11"/>
  <c r="AF479" i="11"/>
  <c r="A480" i="11"/>
  <c r="J480" i="11"/>
  <c r="M480" i="11" s="1"/>
  <c r="N480" i="11"/>
  <c r="V480" i="11"/>
  <c r="X480" i="11" s="1"/>
  <c r="W480" i="11"/>
  <c r="AD480" i="11"/>
  <c r="AE480" i="11"/>
  <c r="AF480" i="11"/>
  <c r="A481" i="11"/>
  <c r="J481" i="11"/>
  <c r="M481" i="11" s="1"/>
  <c r="N481" i="11"/>
  <c r="V481" i="11"/>
  <c r="X481" i="11" s="1"/>
  <c r="W481" i="11"/>
  <c r="AD481" i="11"/>
  <c r="AE481" i="11"/>
  <c r="AF481" i="11"/>
  <c r="A482" i="11"/>
  <c r="J482" i="11"/>
  <c r="M482" i="11" s="1"/>
  <c r="N482" i="11"/>
  <c r="V482" i="11"/>
  <c r="X482" i="11" s="1"/>
  <c r="W482" i="11"/>
  <c r="AD482" i="11"/>
  <c r="AE482" i="11"/>
  <c r="AF482" i="11"/>
  <c r="A483" i="11"/>
  <c r="J483" i="11"/>
  <c r="M483" i="11" s="1"/>
  <c r="N483" i="11"/>
  <c r="V483" i="11"/>
  <c r="X483" i="11" s="1"/>
  <c r="W483" i="11"/>
  <c r="AD483" i="11"/>
  <c r="AE483" i="11"/>
  <c r="AF483" i="11"/>
  <c r="A484" i="11"/>
  <c r="J484" i="11"/>
  <c r="M484" i="11" s="1"/>
  <c r="N484" i="11"/>
  <c r="V484" i="11"/>
  <c r="X484" i="11" s="1"/>
  <c r="W484" i="11"/>
  <c r="AD484" i="11"/>
  <c r="AE484" i="11"/>
  <c r="AF484" i="11"/>
  <c r="A485" i="11"/>
  <c r="J485" i="11"/>
  <c r="M485" i="11" s="1"/>
  <c r="N485" i="11"/>
  <c r="V485" i="11"/>
  <c r="X485" i="11" s="1"/>
  <c r="W485" i="11"/>
  <c r="AD485" i="11"/>
  <c r="AE485" i="11"/>
  <c r="AF485" i="11"/>
  <c r="A486" i="11"/>
  <c r="J486" i="11"/>
  <c r="M486" i="11" s="1"/>
  <c r="N486" i="11"/>
  <c r="V486" i="11"/>
  <c r="X486" i="11" s="1"/>
  <c r="W486" i="11"/>
  <c r="AD486" i="11"/>
  <c r="AE486" i="11"/>
  <c r="AF486" i="11"/>
  <c r="A487" i="11"/>
  <c r="J487" i="11"/>
  <c r="M487" i="11" s="1"/>
  <c r="N487" i="11"/>
  <c r="V487" i="11"/>
  <c r="X487" i="11" s="1"/>
  <c r="W487" i="11"/>
  <c r="AD487" i="11"/>
  <c r="AE487" i="11"/>
  <c r="AF487" i="11"/>
  <c r="A488" i="11"/>
  <c r="J488" i="11"/>
  <c r="M488" i="11" s="1"/>
  <c r="N488" i="11"/>
  <c r="V488" i="11"/>
  <c r="X488" i="11" s="1"/>
  <c r="W488" i="11"/>
  <c r="AD488" i="11"/>
  <c r="AE488" i="11"/>
  <c r="AF488" i="11"/>
  <c r="A489" i="11"/>
  <c r="J489" i="11"/>
  <c r="M489" i="11" s="1"/>
  <c r="N489" i="11"/>
  <c r="V489" i="11"/>
  <c r="X489" i="11" s="1"/>
  <c r="W489" i="11"/>
  <c r="AD489" i="11"/>
  <c r="AE489" i="11"/>
  <c r="AF489" i="11"/>
  <c r="AD490" i="11"/>
  <c r="AE490" i="11"/>
  <c r="AF490" i="11"/>
  <c r="AD491" i="11"/>
  <c r="AE491" i="11"/>
  <c r="AF491" i="11"/>
  <c r="AD492" i="11"/>
  <c r="AE492" i="11"/>
  <c r="AF492" i="11"/>
  <c r="AD493" i="11"/>
  <c r="AE493" i="11"/>
  <c r="AF493" i="11"/>
  <c r="AD494" i="11"/>
  <c r="AE494" i="11"/>
  <c r="AF494" i="11"/>
  <c r="AD495" i="11"/>
  <c r="AE495" i="11"/>
  <c r="AF495" i="11"/>
  <c r="AD496" i="11"/>
  <c r="AE496" i="11"/>
  <c r="AF496" i="11"/>
  <c r="AD497" i="11"/>
  <c r="AE497" i="11"/>
  <c r="AF497" i="11"/>
  <c r="H5" i="10"/>
  <c r="I5" i="10"/>
  <c r="J5" i="10"/>
  <c r="P6" i="10"/>
  <c r="P7" i="10"/>
  <c r="P8" i="10"/>
  <c r="P9" i="10"/>
  <c r="P10" i="10"/>
  <c r="P11" i="10"/>
  <c r="P12" i="10"/>
  <c r="P13" i="10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K7" i="8"/>
  <c r="L7" i="8"/>
  <c r="AO7" i="8"/>
  <c r="AR7" i="8"/>
  <c r="K8" i="8"/>
  <c r="L8" i="8"/>
  <c r="K9" i="8"/>
  <c r="L9" i="8"/>
  <c r="AO9" i="8"/>
  <c r="AR9" i="8"/>
  <c r="AT9" i="8" s="1"/>
  <c r="K10" i="8"/>
  <c r="L10" i="8"/>
  <c r="AO10" i="8"/>
  <c r="AR10" i="8"/>
  <c r="AT10" i="8" s="1"/>
  <c r="K11" i="8"/>
  <c r="AH11" i="8"/>
  <c r="AO11" i="8"/>
  <c r="K12" i="8"/>
  <c r="K13" i="8"/>
  <c r="L13" i="8"/>
  <c r="AO13" i="8"/>
  <c r="AR13" i="8"/>
  <c r="AT13" i="8" s="1"/>
  <c r="K14" i="8"/>
  <c r="L14" i="8"/>
  <c r="AO14" i="8"/>
  <c r="AR14" i="8"/>
  <c r="AT14" i="8" s="1"/>
  <c r="K15" i="8"/>
  <c r="L15" i="8"/>
  <c r="K16" i="8"/>
  <c r="AR16" i="8"/>
  <c r="AT16" i="8" s="1"/>
  <c r="K17" i="8"/>
  <c r="L17" i="8"/>
  <c r="AO17" i="8"/>
  <c r="AR17" i="8"/>
  <c r="AT17" i="8" s="1"/>
  <c r="K18" i="8"/>
  <c r="L18" i="8"/>
  <c r="AO18" i="8"/>
  <c r="AR18" i="8"/>
  <c r="AT18" i="8" s="1"/>
  <c r="K19" i="8"/>
  <c r="L19" i="8"/>
  <c r="K20" i="8"/>
  <c r="L20" i="8"/>
  <c r="AO20" i="8"/>
  <c r="AR20" i="8"/>
  <c r="AT20" i="8" s="1"/>
  <c r="K21" i="8"/>
  <c r="L21" i="8"/>
  <c r="AO21" i="8"/>
  <c r="AR21" i="8"/>
  <c r="AT21" i="8" s="1"/>
  <c r="K22" i="8"/>
  <c r="AO22" i="8"/>
  <c r="AR22" i="8"/>
  <c r="AT22" i="8" s="1"/>
  <c r="K23" i="8"/>
  <c r="L23" i="8"/>
  <c r="AH23" i="8"/>
  <c r="AR23" i="8"/>
  <c r="AT23" i="8" s="1"/>
  <c r="K24" i="8"/>
  <c r="L24" i="8"/>
  <c r="AO24" i="8"/>
  <c r="AR24" i="8"/>
  <c r="AT24" i="8" s="1"/>
  <c r="K25" i="8"/>
  <c r="L25" i="8"/>
  <c r="AO25" i="8"/>
  <c r="AR25" i="8"/>
  <c r="AT25" i="8" s="1"/>
  <c r="K26" i="8"/>
  <c r="AH26" i="8"/>
  <c r="K27" i="8"/>
  <c r="L27" i="8"/>
  <c r="AO27" i="8"/>
  <c r="AR27" i="8"/>
  <c r="AT27" i="8" s="1"/>
  <c r="K28" i="8"/>
  <c r="L28" i="8"/>
  <c r="AO28" i="8"/>
  <c r="AR28" i="8"/>
  <c r="AT28" i="8" s="1"/>
  <c r="K29" i="8"/>
  <c r="AH29" i="8"/>
  <c r="AO29" i="8"/>
  <c r="K30" i="8"/>
  <c r="L30" i="8"/>
  <c r="M30" i="8"/>
  <c r="AH30" i="8"/>
  <c r="AO30" i="8"/>
  <c r="AR30" i="8"/>
  <c r="AT30" i="8" s="1"/>
  <c r="K31" i="8"/>
  <c r="L31" i="8"/>
  <c r="AO31" i="8"/>
  <c r="AR31" i="8"/>
  <c r="AT31" i="8" s="1"/>
  <c r="K32" i="8"/>
  <c r="L32" i="8"/>
  <c r="AO32" i="8"/>
  <c r="K33" i="8"/>
  <c r="L33" i="8"/>
  <c r="AR33" i="8"/>
  <c r="AT33" i="8" s="1"/>
  <c r="K34" i="8"/>
  <c r="L34" i="8"/>
  <c r="AO34" i="8"/>
  <c r="AR34" i="8"/>
  <c r="AT34" i="8" s="1"/>
  <c r="K35" i="8"/>
  <c r="L35" i="8"/>
  <c r="AO35" i="8"/>
  <c r="AR35" i="8"/>
  <c r="AT35" i="8" s="1"/>
  <c r="K36" i="8"/>
  <c r="L36" i="8"/>
  <c r="K37" i="8"/>
  <c r="L37" i="8"/>
  <c r="AO37" i="8"/>
  <c r="AR37" i="8"/>
  <c r="AT37" i="8" s="1"/>
  <c r="K38" i="8"/>
  <c r="L38" i="8"/>
  <c r="AO38" i="8"/>
  <c r="AR38" i="8"/>
  <c r="AT38" i="8" s="1"/>
  <c r="K39" i="8"/>
  <c r="AO39" i="8"/>
  <c r="AR39" i="8"/>
  <c r="AT39" i="8" s="1"/>
  <c r="K40" i="8"/>
  <c r="K41" i="8"/>
  <c r="AO41" i="8"/>
  <c r="AR41" i="8"/>
  <c r="AT41" i="8" s="1"/>
  <c r="K42" i="8"/>
  <c r="L42" i="8"/>
  <c r="AO42" i="8"/>
  <c r="AR42" i="8"/>
  <c r="AT42" i="8" s="1"/>
  <c r="K43" i="8"/>
  <c r="L43" i="8"/>
  <c r="AO43" i="8"/>
  <c r="AR43" i="8"/>
  <c r="AT43" i="8" s="1"/>
  <c r="K44" i="8"/>
  <c r="K45" i="8"/>
  <c r="L45" i="8"/>
  <c r="AO45" i="8"/>
  <c r="AR45" i="8"/>
  <c r="AT45" i="8" s="1"/>
  <c r="K46" i="8"/>
  <c r="AO46" i="8"/>
  <c r="AR46" i="8"/>
  <c r="AT46" i="8" s="1"/>
  <c r="K47" i="8"/>
  <c r="L47" i="8"/>
  <c r="AO47" i="8"/>
  <c r="AR47" i="8"/>
  <c r="AT47" i="8" s="1"/>
  <c r="K48" i="8"/>
  <c r="L48" i="8"/>
  <c r="K49" i="8"/>
  <c r="AO49" i="8"/>
  <c r="AR49" i="8"/>
  <c r="AT49" i="8" s="1"/>
  <c r="K50" i="8"/>
  <c r="AO50" i="8"/>
  <c r="AR50" i="8"/>
  <c r="AT50" i="8" s="1"/>
  <c r="K51" i="8"/>
  <c r="AO51" i="8"/>
  <c r="AR51" i="8"/>
  <c r="AT51" i="8" s="1"/>
  <c r="K52" i="8"/>
  <c r="K53" i="8"/>
  <c r="AR53" i="8"/>
  <c r="AT53" i="8" s="1"/>
  <c r="K54" i="8"/>
  <c r="AO54" i="8"/>
  <c r="AR54" i="8"/>
  <c r="AT54" i="8" s="1"/>
  <c r="K55" i="8"/>
  <c r="AO55" i="8"/>
  <c r="AR55" i="8"/>
  <c r="AT55" i="8" s="1"/>
  <c r="K56" i="8"/>
  <c r="AO56" i="8"/>
  <c r="AR56" i="8"/>
  <c r="AT56" i="8" s="1"/>
  <c r="K57" i="8"/>
  <c r="K58" i="8"/>
  <c r="AO58" i="8"/>
  <c r="AR58" i="8"/>
  <c r="AT58" i="8" s="1"/>
  <c r="K59" i="8"/>
  <c r="AO59" i="8"/>
  <c r="AR59" i="8"/>
  <c r="AT59" i="8" s="1"/>
  <c r="K60" i="8"/>
  <c r="AO60" i="8"/>
  <c r="AR60" i="8"/>
  <c r="AT60" i="8" s="1"/>
  <c r="K61" i="8"/>
  <c r="AO61" i="8"/>
  <c r="K62" i="8"/>
  <c r="K63" i="8"/>
  <c r="AO63" i="8"/>
  <c r="AR63" i="8"/>
  <c r="AT63" i="8" s="1"/>
  <c r="K64" i="8"/>
  <c r="AO64" i="8"/>
  <c r="AR64" i="8"/>
  <c r="AT64" i="8" s="1"/>
  <c r="K65" i="8"/>
  <c r="AO65" i="8"/>
  <c r="AR65" i="8"/>
  <c r="AT65" i="8" s="1"/>
  <c r="K66" i="8"/>
  <c r="K67" i="8"/>
  <c r="AR67" i="8"/>
  <c r="AT67" i="8" s="1"/>
  <c r="K68" i="8"/>
  <c r="AO68" i="8"/>
  <c r="AR68" i="8"/>
  <c r="AT68" i="8" s="1"/>
  <c r="K69" i="8"/>
  <c r="AO69" i="8"/>
  <c r="AR69" i="8"/>
  <c r="AT69" i="8" s="1"/>
  <c r="K70" i="8"/>
  <c r="AO70" i="8"/>
  <c r="AR70" i="8"/>
  <c r="AT70" i="8" s="1"/>
  <c r="K71" i="8"/>
  <c r="K72" i="8"/>
  <c r="AO72" i="8"/>
  <c r="AR72" i="8"/>
  <c r="AT72" i="8" s="1"/>
  <c r="K73" i="8"/>
  <c r="AO73" i="8"/>
  <c r="AR73" i="8"/>
  <c r="AT73" i="8" s="1"/>
  <c r="K74" i="8"/>
  <c r="AO74" i="8"/>
  <c r="AR74" i="8"/>
  <c r="AT74" i="8" s="1"/>
  <c r="K75" i="8"/>
  <c r="AO75" i="8"/>
  <c r="K76" i="8"/>
  <c r="K77" i="8"/>
  <c r="AO77" i="8"/>
  <c r="AR77" i="8"/>
  <c r="AT77" i="8" s="1"/>
  <c r="K78" i="8"/>
  <c r="AO78" i="8"/>
  <c r="AR78" i="8"/>
  <c r="AT78" i="8" s="1"/>
  <c r="K79" i="8"/>
  <c r="AO79" i="8"/>
  <c r="AR79" i="8"/>
  <c r="AT79" i="8" s="1"/>
  <c r="K80" i="8"/>
  <c r="K81" i="8"/>
  <c r="L81" i="8"/>
  <c r="AO81" i="8"/>
  <c r="AR81" i="8"/>
  <c r="AT81" i="8" s="1"/>
  <c r="K82" i="8"/>
  <c r="AO82" i="8"/>
  <c r="AR82" i="8"/>
  <c r="AT82" i="8" s="1"/>
  <c r="K83" i="8"/>
  <c r="AO83" i="8"/>
  <c r="AR83" i="8"/>
  <c r="AT83" i="8" s="1"/>
  <c r="K84" i="8"/>
  <c r="AO84" i="8"/>
  <c r="K85" i="8"/>
  <c r="K86" i="8"/>
  <c r="AO86" i="8"/>
  <c r="AR86" i="8"/>
  <c r="AT86" i="8" s="1"/>
  <c r="K87" i="8"/>
  <c r="AO87" i="8"/>
  <c r="AR87" i="8"/>
  <c r="AT87" i="8" s="1"/>
  <c r="K88" i="8"/>
  <c r="AO88" i="8"/>
  <c r="AR88" i="8"/>
  <c r="AT88" i="8" s="1"/>
  <c r="K89" i="8"/>
  <c r="K90" i="8"/>
  <c r="AR90" i="8"/>
  <c r="AT90" i="8" s="1"/>
  <c r="K91" i="8"/>
  <c r="AO91" i="8"/>
  <c r="AR91" i="8"/>
  <c r="AT91" i="8" s="1"/>
  <c r="K92" i="8"/>
  <c r="AO92" i="8"/>
  <c r="AR92" i="8"/>
  <c r="AT92" i="8" s="1"/>
  <c r="K93" i="8"/>
  <c r="L93" i="8"/>
  <c r="AO93" i="8"/>
  <c r="K94" i="8"/>
  <c r="K95" i="8"/>
  <c r="L95" i="8"/>
  <c r="AO95" i="8"/>
  <c r="AR95" i="8"/>
  <c r="AT95" i="8" s="1"/>
  <c r="K96" i="8"/>
  <c r="L96" i="8"/>
  <c r="AO96" i="8"/>
  <c r="AR96" i="8"/>
  <c r="AT96" i="8" s="1"/>
  <c r="K97" i="8"/>
  <c r="L97" i="8"/>
  <c r="K98" i="8"/>
  <c r="L98" i="8"/>
  <c r="AO98" i="8"/>
  <c r="AR98" i="8"/>
  <c r="AT98" i="8" s="1"/>
  <c r="K99" i="8"/>
  <c r="L99" i="8"/>
  <c r="AO99" i="8"/>
  <c r="AR99" i="8"/>
  <c r="AT99" i="8" s="1"/>
  <c r="K100" i="8"/>
  <c r="L100" i="8"/>
  <c r="AO100" i="8"/>
  <c r="AR100" i="8"/>
  <c r="AT100" i="8" s="1"/>
  <c r="K101" i="8"/>
  <c r="L101" i="8"/>
  <c r="K102" i="8"/>
  <c r="L102" i="8"/>
  <c r="AO102" i="8"/>
  <c r="AR102" i="8"/>
  <c r="AT102" i="8" s="1"/>
  <c r="K103" i="8"/>
  <c r="L103" i="8"/>
  <c r="AO103" i="8"/>
  <c r="AR103" i="8"/>
  <c r="AT103" i="8" s="1"/>
  <c r="K104" i="8"/>
  <c r="L104" i="8"/>
  <c r="K105" i="8"/>
  <c r="L105" i="8"/>
  <c r="AO105" i="8"/>
  <c r="AR105" i="8"/>
  <c r="AT105" i="8" s="1"/>
  <c r="K106" i="8"/>
  <c r="L106" i="8"/>
  <c r="AO106" i="8"/>
  <c r="AR106" i="8"/>
  <c r="AT106" i="8" s="1"/>
  <c r="K107" i="8"/>
  <c r="L107" i="8"/>
  <c r="AO107" i="8"/>
  <c r="AR107" i="8"/>
  <c r="AT107" i="8" s="1"/>
  <c r="K108" i="8"/>
  <c r="L108" i="8"/>
  <c r="K109" i="8"/>
  <c r="L109" i="8"/>
  <c r="AO109" i="8"/>
  <c r="AR109" i="8"/>
  <c r="AT109" i="8" s="1"/>
  <c r="K110" i="8"/>
  <c r="L110" i="8"/>
  <c r="AO110" i="8"/>
  <c r="AR110" i="8"/>
  <c r="AT110" i="8" s="1"/>
  <c r="K111" i="8"/>
  <c r="AO111" i="8"/>
  <c r="K112" i="8"/>
  <c r="K113" i="8"/>
  <c r="L113" i="8"/>
  <c r="AO113" i="8"/>
  <c r="AR113" i="8"/>
  <c r="AT113" i="8" s="1"/>
  <c r="K114" i="8"/>
  <c r="L114" i="8"/>
  <c r="AO114" i="8"/>
  <c r="AR114" i="8"/>
  <c r="AT114" i="8" s="1"/>
  <c r="K115" i="8"/>
  <c r="L115" i="8"/>
  <c r="K116" i="8"/>
  <c r="AR116" i="8"/>
  <c r="AT116" i="8" s="1"/>
  <c r="K117" i="8"/>
  <c r="L117" i="8"/>
  <c r="AO117" i="8"/>
  <c r="AR117" i="8"/>
  <c r="AT117" i="8" s="1"/>
  <c r="K118" i="8"/>
  <c r="L118" i="8"/>
  <c r="AO118" i="8"/>
  <c r="AR118" i="8"/>
  <c r="AT118" i="8" s="1"/>
  <c r="K119" i="8"/>
  <c r="L119" i="8"/>
  <c r="K120" i="8"/>
  <c r="L120" i="8"/>
  <c r="AO120" i="8"/>
  <c r="AR120" i="8"/>
  <c r="AT120" i="8" s="1"/>
  <c r="K121" i="8"/>
  <c r="L121" i="8"/>
  <c r="AO121" i="8"/>
  <c r="AR121" i="8"/>
  <c r="AT121" i="8" s="1"/>
  <c r="K122" i="8"/>
  <c r="L122" i="8"/>
  <c r="AO122" i="8"/>
  <c r="K123" i="8"/>
  <c r="L123" i="8"/>
  <c r="AR123" i="8"/>
  <c r="AT123" i="8" s="1"/>
  <c r="K124" i="8"/>
  <c r="L124" i="8"/>
  <c r="AO124" i="8"/>
  <c r="AR124" i="8"/>
  <c r="AT124" i="8" s="1"/>
  <c r="K125" i="8"/>
  <c r="L125" i="8"/>
  <c r="AO125" i="8"/>
  <c r="AR125" i="8"/>
  <c r="AT125" i="8" s="1"/>
  <c r="K126" i="8"/>
  <c r="L126" i="8"/>
  <c r="K127" i="8"/>
  <c r="L127" i="8"/>
  <c r="AO127" i="8"/>
  <c r="AR127" i="8"/>
  <c r="AT127" i="8" s="1"/>
  <c r="K128" i="8"/>
  <c r="L128" i="8"/>
  <c r="AO128" i="8"/>
  <c r="AR128" i="8"/>
  <c r="AT128" i="8" s="1"/>
  <c r="K129" i="8"/>
  <c r="L129" i="8"/>
  <c r="AO129" i="8"/>
  <c r="K130" i="8"/>
  <c r="L130" i="8"/>
  <c r="AR130" i="8"/>
  <c r="AT130" i="8" s="1"/>
  <c r="K131" i="8"/>
  <c r="L131" i="8"/>
  <c r="AO131" i="8"/>
  <c r="AR131" i="8"/>
  <c r="AT131" i="8" s="1"/>
  <c r="K132" i="8"/>
  <c r="L132" i="8"/>
  <c r="AO132" i="8"/>
  <c r="AR132" i="8"/>
  <c r="AT132" i="8" s="1"/>
  <c r="K133" i="8"/>
  <c r="L133" i="8"/>
  <c r="K134" i="8"/>
  <c r="L134" i="8"/>
  <c r="AO134" i="8"/>
  <c r="AR134" i="8"/>
  <c r="AT134" i="8" s="1"/>
  <c r="K135" i="8"/>
  <c r="L135" i="8"/>
  <c r="AO135" i="8"/>
  <c r="AR135" i="8"/>
  <c r="AT135" i="8" s="1"/>
  <c r="K136" i="8"/>
  <c r="L136" i="8"/>
  <c r="AO136" i="8"/>
  <c r="K137" i="8"/>
  <c r="L137" i="8"/>
  <c r="AR137" i="8"/>
  <c r="AT137" i="8" s="1"/>
  <c r="K138" i="8"/>
  <c r="L138" i="8"/>
  <c r="AO138" i="8"/>
  <c r="AR138" i="8"/>
  <c r="AT138" i="8" s="1"/>
  <c r="K139" i="8"/>
  <c r="L139" i="8"/>
  <c r="AO139" i="8"/>
  <c r="AR139" i="8"/>
  <c r="AT139" i="8" s="1"/>
  <c r="K140" i="8"/>
  <c r="L140" i="8"/>
  <c r="K141" i="8"/>
  <c r="L141" i="8"/>
  <c r="AO141" i="8"/>
  <c r="AR141" i="8"/>
  <c r="AT141" i="8" s="1"/>
  <c r="K142" i="8"/>
  <c r="L142" i="8"/>
  <c r="AO142" i="8"/>
  <c r="AR142" i="8"/>
  <c r="AT142" i="8" s="1"/>
  <c r="K143" i="8"/>
  <c r="L143" i="8"/>
  <c r="AO143" i="8"/>
  <c r="K144" i="8"/>
  <c r="L144" i="8"/>
  <c r="AR144" i="8"/>
  <c r="AT144" i="8" s="1"/>
  <c r="K145" i="8"/>
  <c r="L145" i="8"/>
  <c r="AO145" i="8"/>
  <c r="AR145" i="8"/>
  <c r="AT145" i="8" s="1"/>
  <c r="K146" i="8"/>
  <c r="L146" i="8"/>
  <c r="AO146" i="8"/>
  <c r="AR146" i="8"/>
  <c r="AT146" i="8" s="1"/>
  <c r="K147" i="8"/>
  <c r="L147" i="8"/>
  <c r="K148" i="8"/>
  <c r="L148" i="8"/>
  <c r="AO148" i="8"/>
  <c r="AR148" i="8"/>
  <c r="AT148" i="8" s="1"/>
  <c r="K149" i="8"/>
  <c r="L149" i="8"/>
  <c r="AO149" i="8"/>
  <c r="AR149" i="8"/>
  <c r="AT149" i="8" s="1"/>
  <c r="K150" i="8"/>
  <c r="L150" i="8"/>
  <c r="AO150" i="8"/>
  <c r="K151" i="8"/>
  <c r="L151" i="8"/>
  <c r="AR151" i="8"/>
  <c r="AT151" i="8" s="1"/>
  <c r="K152" i="8"/>
  <c r="L152" i="8"/>
  <c r="AO152" i="8"/>
  <c r="AR152" i="8"/>
  <c r="AT152" i="8" s="1"/>
  <c r="K153" i="8"/>
  <c r="L153" i="8"/>
  <c r="AO153" i="8"/>
  <c r="AR153" i="8"/>
  <c r="AT153" i="8" s="1"/>
  <c r="K154" i="8"/>
  <c r="L154" i="8"/>
  <c r="K155" i="8"/>
  <c r="L155" i="8"/>
  <c r="AO155" i="8"/>
  <c r="AR155" i="8"/>
  <c r="AT155" i="8" s="1"/>
  <c r="K156" i="8"/>
  <c r="L156" i="8"/>
  <c r="AO156" i="8"/>
  <c r="AR156" i="8"/>
  <c r="AT156" i="8" s="1"/>
  <c r="K157" i="8"/>
  <c r="L157" i="8"/>
  <c r="AO157" i="8"/>
  <c r="K158" i="8"/>
  <c r="L158" i="8"/>
  <c r="AR158" i="8"/>
  <c r="AT158" i="8" s="1"/>
  <c r="K159" i="8"/>
  <c r="L159" i="8"/>
  <c r="AO159" i="8"/>
  <c r="AR159" i="8"/>
  <c r="AT159" i="8" s="1"/>
  <c r="K160" i="8"/>
  <c r="L160" i="8"/>
  <c r="AO160" i="8"/>
  <c r="AR160" i="8"/>
  <c r="AT160" i="8" s="1"/>
  <c r="K161" i="8"/>
  <c r="L161" i="8"/>
  <c r="K162" i="8"/>
  <c r="L162" i="8"/>
  <c r="AO162" i="8"/>
  <c r="AR162" i="8"/>
  <c r="AT162" i="8" s="1"/>
  <c r="K163" i="8"/>
  <c r="L163" i="8"/>
  <c r="AO163" i="8"/>
  <c r="AR163" i="8"/>
  <c r="AT163" i="8" s="1"/>
  <c r="K164" i="8"/>
  <c r="L164" i="8"/>
  <c r="AO164" i="8"/>
  <c r="K165" i="8"/>
  <c r="L165" i="8"/>
  <c r="AR165" i="8"/>
  <c r="AT165" i="8" s="1"/>
  <c r="K166" i="8"/>
  <c r="L166" i="8"/>
  <c r="AO166" i="8"/>
  <c r="AR166" i="8"/>
  <c r="AT166" i="8" s="1"/>
  <c r="K167" i="8"/>
  <c r="L167" i="8"/>
  <c r="AO167" i="8"/>
  <c r="AR167" i="8"/>
  <c r="AT167" i="8" s="1"/>
  <c r="K168" i="8"/>
  <c r="L168" i="8"/>
  <c r="K169" i="8"/>
  <c r="L169" i="8"/>
  <c r="AO169" i="8"/>
  <c r="AR169" i="8"/>
  <c r="AT169" i="8" s="1"/>
  <c r="K170" i="8"/>
  <c r="L170" i="8"/>
  <c r="AO170" i="8"/>
  <c r="AR170" i="8"/>
  <c r="AT170" i="8" s="1"/>
  <c r="K171" i="8"/>
  <c r="L171" i="8"/>
  <c r="AO171" i="8"/>
  <c r="K172" i="8"/>
  <c r="L172" i="8"/>
  <c r="AR172" i="8"/>
  <c r="AT172" i="8" s="1"/>
  <c r="K173" i="8"/>
  <c r="L173" i="8"/>
  <c r="AO173" i="8"/>
  <c r="AR173" i="8"/>
  <c r="AT173" i="8" s="1"/>
  <c r="K174" i="8"/>
  <c r="L174" i="8"/>
  <c r="AO174" i="8"/>
  <c r="AR174" i="8"/>
  <c r="AT174" i="8" s="1"/>
  <c r="AH7" i="7"/>
  <c r="AI9" i="7"/>
  <c r="AH10" i="7"/>
  <c r="AI10" i="7"/>
  <c r="AI11" i="7"/>
  <c r="AH12" i="7"/>
  <c r="AI12" i="7"/>
  <c r="AH13" i="7"/>
  <c r="AI13" i="7"/>
  <c r="AH14" i="7"/>
  <c r="AI14" i="7"/>
  <c r="AH17" i="7"/>
  <c r="AI17" i="7"/>
  <c r="AI18" i="7"/>
  <c r="AH19" i="7"/>
  <c r="AI19" i="7"/>
  <c r="AI20" i="7"/>
  <c r="AI21" i="7"/>
  <c r="AH22" i="7"/>
  <c r="AI22" i="7"/>
  <c r="AH25" i="7"/>
  <c r="AI25" i="7"/>
  <c r="AH26" i="7"/>
  <c r="AI26" i="7"/>
  <c r="AH27" i="7"/>
  <c r="AI27" i="7"/>
  <c r="AH28" i="7"/>
  <c r="AI28" i="7"/>
  <c r="AH29" i="7"/>
  <c r="AI29" i="7"/>
  <c r="AH32" i="7"/>
  <c r="AI32" i="7"/>
  <c r="AH33" i="7"/>
  <c r="AI33" i="7"/>
  <c r="AH34" i="7"/>
  <c r="AI34" i="7"/>
  <c r="AI35" i="7"/>
  <c r="AH36" i="7"/>
  <c r="AI36" i="7"/>
  <c r="AI37" i="7"/>
  <c r="AH40" i="7"/>
  <c r="AI40" i="7"/>
  <c r="AH41" i="7"/>
  <c r="AI41" i="7"/>
  <c r="AH42" i="7"/>
  <c r="AI42" i="7"/>
  <c r="AH43" i="7"/>
  <c r="AI43" i="7"/>
  <c r="AH44" i="7"/>
  <c r="AI44" i="7"/>
  <c r="AI47" i="7"/>
  <c r="AH48" i="7"/>
  <c r="AI48" i="7"/>
  <c r="AH49" i="7"/>
  <c r="AI49" i="7"/>
  <c r="AH50" i="7"/>
  <c r="AI50" i="7"/>
  <c r="AH51" i="7"/>
  <c r="AI51" i="7"/>
  <c r="AH52" i="7"/>
  <c r="AI54" i="7"/>
  <c r="AH55" i="7"/>
  <c r="AI55" i="7"/>
  <c r="AH56" i="7"/>
  <c r="AI56" i="7"/>
  <c r="AH57" i="7"/>
  <c r="AI57" i="7"/>
  <c r="H7" i="4"/>
  <c r="H8" i="4"/>
  <c r="H9" i="4"/>
  <c r="H10" i="4"/>
  <c r="H11" i="4"/>
  <c r="H12" i="4"/>
  <c r="H13" i="4"/>
  <c r="H14" i="4"/>
  <c r="H15" i="4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D15" i="2"/>
  <c r="F7" i="2"/>
  <c r="D17" i="2"/>
  <c r="K17" i="2" s="1"/>
  <c r="D18" i="2"/>
  <c r="F9" i="2"/>
  <c r="AJ7" i="9" l="1"/>
  <c r="AK7" i="9"/>
  <c r="AM10" i="9"/>
  <c r="AN10" i="9" s="1"/>
  <c r="AK14" i="9"/>
  <c r="AM17" i="9"/>
  <c r="AN17" i="9" s="1"/>
  <c r="AK21" i="9"/>
  <c r="AM24" i="9"/>
  <c r="AN24" i="9" s="1"/>
  <c r="AK28" i="9"/>
  <c r="AM31" i="9"/>
  <c r="AN31" i="9" s="1"/>
  <c r="AK35" i="9"/>
  <c r="AM38" i="9"/>
  <c r="AN38" i="9" s="1"/>
  <c r="AK42" i="9"/>
  <c r="AM45" i="9"/>
  <c r="AN45" i="9" s="1"/>
  <c r="AK49" i="9"/>
  <c r="AM52" i="9"/>
  <c r="AN52" i="9" s="1"/>
  <c r="AK56" i="9"/>
  <c r="AM59" i="9"/>
  <c r="AN59" i="9" s="1"/>
  <c r="AK63" i="9"/>
  <c r="AM66" i="9"/>
  <c r="AN66" i="9" s="1"/>
  <c r="AK70" i="9"/>
  <c r="AM73" i="9"/>
  <c r="AN73" i="9" s="1"/>
  <c r="AK77" i="9"/>
  <c r="AM80" i="9"/>
  <c r="AN80" i="9" s="1"/>
  <c r="AK84" i="9"/>
  <c r="AM87" i="9"/>
  <c r="AN87" i="9" s="1"/>
  <c r="AK91" i="9"/>
  <c r="AM94" i="9"/>
  <c r="AN94" i="9" s="1"/>
  <c r="AK98" i="9"/>
  <c r="AM101" i="9"/>
  <c r="AN101" i="9" s="1"/>
  <c r="AK105" i="9"/>
  <c r="AM108" i="9"/>
  <c r="AN108" i="9" s="1"/>
  <c r="AK112" i="9"/>
  <c r="AM115" i="9"/>
  <c r="AN115" i="9" s="1"/>
  <c r="AK119" i="9"/>
  <c r="AM122" i="9"/>
  <c r="AN122" i="9" s="1"/>
  <c r="AK126" i="9"/>
  <c r="AM129" i="9"/>
  <c r="AN129" i="9" s="1"/>
  <c r="AK133" i="9"/>
  <c r="AM136" i="9"/>
  <c r="AN136" i="9" s="1"/>
  <c r="AK140" i="9"/>
  <c r="AM143" i="9"/>
  <c r="AN143" i="9" s="1"/>
  <c r="AK147" i="9"/>
  <c r="AM150" i="9"/>
  <c r="AN150" i="9" s="1"/>
  <c r="AK154" i="9"/>
  <c r="AM157" i="9"/>
  <c r="AN157" i="9" s="1"/>
  <c r="AK161" i="9"/>
  <c r="AM164" i="9"/>
  <c r="AN164" i="9" s="1"/>
  <c r="AK168" i="9"/>
  <c r="AM171" i="9"/>
  <c r="AN171" i="9" s="1"/>
  <c r="AK175" i="9"/>
  <c r="AM178" i="9"/>
  <c r="AN178" i="9" s="1"/>
  <c r="AK182" i="9"/>
  <c r="AM185" i="9"/>
  <c r="AN185" i="9" s="1"/>
  <c r="AK189" i="9"/>
  <c r="AM192" i="9"/>
  <c r="AN192" i="9" s="1"/>
  <c r="AK196" i="9"/>
  <c r="AM199" i="9"/>
  <c r="AN199" i="9" s="1"/>
  <c r="AK203" i="9"/>
  <c r="AM206" i="9"/>
  <c r="AN206" i="9" s="1"/>
  <c r="AJ11" i="9"/>
  <c r="AJ18" i="9"/>
  <c r="AJ25" i="9"/>
  <c r="AJ32" i="9"/>
  <c r="AJ39" i="9"/>
  <c r="AJ46" i="9"/>
  <c r="AJ53" i="9"/>
  <c r="AJ60" i="9"/>
  <c r="AJ67" i="9"/>
  <c r="AJ74" i="9"/>
  <c r="AJ81" i="9"/>
  <c r="AJ88" i="9"/>
  <c r="AJ95" i="9"/>
  <c r="AJ102" i="9"/>
  <c r="AJ109" i="9"/>
  <c r="AJ116" i="9"/>
  <c r="AJ123" i="9"/>
  <c r="AJ130" i="9"/>
  <c r="AJ137" i="9"/>
  <c r="AJ144" i="9"/>
  <c r="AJ151" i="9"/>
  <c r="AJ158" i="9"/>
  <c r="AJ165" i="9"/>
  <c r="AJ172" i="9"/>
  <c r="AJ179" i="9"/>
  <c r="AJ186" i="9"/>
  <c r="AJ193" i="9"/>
  <c r="AJ200" i="9"/>
  <c r="AJ207" i="9"/>
  <c r="AJ214" i="9"/>
  <c r="AJ221" i="9"/>
  <c r="AJ228" i="9"/>
  <c r="AJ235" i="9"/>
  <c r="AJ242" i="9"/>
  <c r="AJ249" i="9"/>
  <c r="AJ256" i="9"/>
  <c r="AJ263" i="9"/>
  <c r="AJ270" i="9"/>
  <c r="AJ277" i="9"/>
  <c r="AJ284" i="9"/>
  <c r="AJ291" i="9"/>
  <c r="AJ298" i="9"/>
  <c r="AJ305" i="9"/>
  <c r="AJ312" i="9"/>
  <c r="AJ319" i="9"/>
  <c r="AJ326" i="9"/>
  <c r="AJ333" i="9"/>
  <c r="AJ340" i="9"/>
  <c r="O20" i="15"/>
  <c r="R40" i="15"/>
  <c r="S40" i="15" s="1"/>
  <c r="R33" i="15"/>
  <c r="S33" i="15" s="1"/>
  <c r="R26" i="15"/>
  <c r="S26" i="15" s="1"/>
  <c r="R18" i="15"/>
  <c r="S18" i="15" s="1"/>
  <c r="R11" i="15"/>
  <c r="S11" i="15" s="1"/>
  <c r="AK11" i="9"/>
  <c r="AM14" i="9"/>
  <c r="AN14" i="9" s="1"/>
  <c r="AK18" i="9"/>
  <c r="AM21" i="9"/>
  <c r="AN21" i="9" s="1"/>
  <c r="AK25" i="9"/>
  <c r="AM28" i="9"/>
  <c r="AN28" i="9" s="1"/>
  <c r="AK32" i="9"/>
  <c r="AM35" i="9"/>
  <c r="AN35" i="9" s="1"/>
  <c r="AK39" i="9"/>
  <c r="AM42" i="9"/>
  <c r="AN42" i="9" s="1"/>
  <c r="AK46" i="9"/>
  <c r="AM49" i="9"/>
  <c r="AN49" i="9" s="1"/>
  <c r="AK53" i="9"/>
  <c r="AM56" i="9"/>
  <c r="AN56" i="9" s="1"/>
  <c r="AK60" i="9"/>
  <c r="AM63" i="9"/>
  <c r="AN63" i="9" s="1"/>
  <c r="AK67" i="9"/>
  <c r="AM70" i="9"/>
  <c r="AN70" i="9" s="1"/>
  <c r="AK74" i="9"/>
  <c r="AM77" i="9"/>
  <c r="AN77" i="9" s="1"/>
  <c r="AK81" i="9"/>
  <c r="AM84" i="9"/>
  <c r="AN84" i="9" s="1"/>
  <c r="AK88" i="9"/>
  <c r="AM91" i="9"/>
  <c r="AN91" i="9" s="1"/>
  <c r="AK95" i="9"/>
  <c r="AM98" i="9"/>
  <c r="AN98" i="9" s="1"/>
  <c r="AK102" i="9"/>
  <c r="AM105" i="9"/>
  <c r="AN105" i="9" s="1"/>
  <c r="AK109" i="9"/>
  <c r="AM112" i="9"/>
  <c r="AN112" i="9" s="1"/>
  <c r="AK116" i="9"/>
  <c r="AM7" i="9"/>
  <c r="AN7" i="9" s="1"/>
  <c r="AJ8" i="9"/>
  <c r="AJ15" i="9"/>
  <c r="AJ22" i="9"/>
  <c r="AJ29" i="9"/>
  <c r="AJ36" i="9"/>
  <c r="AJ43" i="9"/>
  <c r="AJ50" i="9"/>
  <c r="AJ57" i="9"/>
  <c r="AJ64" i="9"/>
  <c r="AJ71" i="9"/>
  <c r="AJ78" i="9"/>
  <c r="AJ85" i="9"/>
  <c r="AJ92" i="9"/>
  <c r="AJ99" i="9"/>
  <c r="AJ106" i="9"/>
  <c r="AJ113" i="9"/>
  <c r="AJ120" i="9"/>
  <c r="AJ127" i="9"/>
  <c r="AJ134" i="9"/>
  <c r="AJ141" i="9"/>
  <c r="AJ148" i="9"/>
  <c r="AJ155" i="9"/>
  <c r="AJ162" i="9"/>
  <c r="AJ169" i="9"/>
  <c r="AJ176" i="9"/>
  <c r="AJ183" i="9"/>
  <c r="AJ190" i="9"/>
  <c r="AJ197" i="9"/>
  <c r="AJ204" i="9"/>
  <c r="AJ211" i="9"/>
  <c r="AJ218" i="9"/>
  <c r="AJ225" i="9"/>
  <c r="AJ232" i="9"/>
  <c r="AJ239" i="9"/>
  <c r="AJ246" i="9"/>
  <c r="AJ253" i="9"/>
  <c r="AJ260" i="9"/>
  <c r="AJ267" i="9"/>
  <c r="AJ274" i="9"/>
  <c r="AJ281" i="9"/>
  <c r="AJ288" i="9"/>
  <c r="AJ295" i="9"/>
  <c r="AJ302" i="9"/>
  <c r="AJ309" i="9"/>
  <c r="AJ316" i="9"/>
  <c r="AJ323" i="9"/>
  <c r="AJ330" i="9"/>
  <c r="AJ337" i="9"/>
  <c r="R20" i="15"/>
  <c r="S20" i="15" s="1"/>
  <c r="R39" i="15"/>
  <c r="S39" i="15" s="1"/>
  <c r="R32" i="15"/>
  <c r="S32" i="15" s="1"/>
  <c r="R25" i="15"/>
  <c r="S25" i="15" s="1"/>
  <c r="R17" i="15"/>
  <c r="S17" i="15" s="1"/>
  <c r="R10" i="15"/>
  <c r="S10" i="15" s="1"/>
  <c r="AK8" i="9"/>
  <c r="AJ12" i="9"/>
  <c r="AM8" i="9"/>
  <c r="AN8" i="9" s="1"/>
  <c r="AK12" i="9"/>
  <c r="AM15" i="9"/>
  <c r="AN15" i="9" s="1"/>
  <c r="AK19" i="9"/>
  <c r="AM22" i="9"/>
  <c r="AN22" i="9" s="1"/>
  <c r="AK26" i="9"/>
  <c r="AM29" i="9"/>
  <c r="AN29" i="9" s="1"/>
  <c r="AK33" i="9"/>
  <c r="AM36" i="9"/>
  <c r="AN36" i="9" s="1"/>
  <c r="AK40" i="9"/>
  <c r="AM43" i="9"/>
  <c r="AN43" i="9" s="1"/>
  <c r="AK47" i="9"/>
  <c r="AM50" i="9"/>
  <c r="AN50" i="9" s="1"/>
  <c r="AK54" i="9"/>
  <c r="AM57" i="9"/>
  <c r="AN57" i="9" s="1"/>
  <c r="AK61" i="9"/>
  <c r="AM64" i="9"/>
  <c r="AN64" i="9" s="1"/>
  <c r="AK68" i="9"/>
  <c r="AM71" i="9"/>
  <c r="AN71" i="9" s="1"/>
  <c r="AK75" i="9"/>
  <c r="AM78" i="9"/>
  <c r="AN78" i="9" s="1"/>
  <c r="AK82" i="9"/>
  <c r="AM85" i="9"/>
  <c r="AN85" i="9" s="1"/>
  <c r="AK89" i="9"/>
  <c r="AM92" i="9"/>
  <c r="AN92" i="9" s="1"/>
  <c r="AK96" i="9"/>
  <c r="AM99" i="9"/>
  <c r="AN99" i="9" s="1"/>
  <c r="AK103" i="9"/>
  <c r="AM106" i="9"/>
  <c r="AN106" i="9" s="1"/>
  <c r="AK110" i="9"/>
  <c r="AM113" i="9"/>
  <c r="AN113" i="9" s="1"/>
  <c r="AK117" i="9"/>
  <c r="AM120" i="9"/>
  <c r="AN120" i="9" s="1"/>
  <c r="AK124" i="9"/>
  <c r="AM127" i="9"/>
  <c r="AN127" i="9" s="1"/>
  <c r="AK131" i="9"/>
  <c r="AM134" i="9"/>
  <c r="AN134" i="9" s="1"/>
  <c r="AK138" i="9"/>
  <c r="AM141" i="9"/>
  <c r="AN141" i="9" s="1"/>
  <c r="AK145" i="9"/>
  <c r="AM148" i="9"/>
  <c r="AN148" i="9" s="1"/>
  <c r="AK152" i="9"/>
  <c r="AM155" i="9"/>
  <c r="AN155" i="9" s="1"/>
  <c r="AK159" i="9"/>
  <c r="AM162" i="9"/>
  <c r="AN162" i="9" s="1"/>
  <c r="AK166" i="9"/>
  <c r="AM169" i="9"/>
  <c r="AN169" i="9" s="1"/>
  <c r="AK173" i="9"/>
  <c r="AM176" i="9"/>
  <c r="AN176" i="9" s="1"/>
  <c r="AK180" i="9"/>
  <c r="AM183" i="9"/>
  <c r="AN183" i="9" s="1"/>
  <c r="AK187" i="9"/>
  <c r="AM190" i="9"/>
  <c r="AN190" i="9" s="1"/>
  <c r="AK194" i="9"/>
  <c r="AM197" i="9"/>
  <c r="AN197" i="9" s="1"/>
  <c r="AK201" i="9"/>
  <c r="AM204" i="9"/>
  <c r="AN204" i="9" s="1"/>
  <c r="AK208" i="9"/>
  <c r="AM211" i="9"/>
  <c r="AN211" i="9" s="1"/>
  <c r="AJ9" i="9"/>
  <c r="AJ16" i="9"/>
  <c r="AJ23" i="9"/>
  <c r="AJ30" i="9"/>
  <c r="AJ37" i="9"/>
  <c r="AJ44" i="9"/>
  <c r="AJ51" i="9"/>
  <c r="AJ58" i="9"/>
  <c r="AJ65" i="9"/>
  <c r="AJ72" i="9"/>
  <c r="AJ79" i="9"/>
  <c r="AJ86" i="9"/>
  <c r="AJ93" i="9"/>
  <c r="AJ100" i="9"/>
  <c r="AJ107" i="9"/>
  <c r="AJ114" i="9"/>
  <c r="AJ121" i="9"/>
  <c r="AJ128" i="9"/>
  <c r="AJ135" i="9"/>
  <c r="AJ142" i="9"/>
  <c r="AJ149" i="9"/>
  <c r="AJ156" i="9"/>
  <c r="AJ163" i="9"/>
  <c r="AJ170" i="9"/>
  <c r="AJ177" i="9"/>
  <c r="AJ184" i="9"/>
  <c r="AJ191" i="9"/>
  <c r="AJ198" i="9"/>
  <c r="AJ205" i="9"/>
  <c r="AJ212" i="9"/>
  <c r="AJ219" i="9"/>
  <c r="AJ226" i="9"/>
  <c r="AJ233" i="9"/>
  <c r="AJ240" i="9"/>
  <c r="AJ247" i="9"/>
  <c r="AJ254" i="9"/>
  <c r="AJ261" i="9"/>
  <c r="AJ268" i="9"/>
  <c r="AJ275" i="9"/>
  <c r="AJ282" i="9"/>
  <c r="AJ289" i="9"/>
  <c r="AJ296" i="9"/>
  <c r="AJ303" i="9"/>
  <c r="AJ310" i="9"/>
  <c r="AJ317" i="9"/>
  <c r="AJ324" i="9"/>
  <c r="AJ331" i="9"/>
  <c r="AJ338" i="9"/>
  <c r="R44" i="15"/>
  <c r="S44" i="15" s="1"/>
  <c r="R37" i="15"/>
  <c r="S37" i="15" s="1"/>
  <c r="R30" i="15"/>
  <c r="S30" i="15" s="1"/>
  <c r="R23" i="15"/>
  <c r="S23" i="15" s="1"/>
  <c r="R15" i="15"/>
  <c r="S15" i="15" s="1"/>
  <c r="R8" i="15"/>
  <c r="S8" i="15" s="1"/>
  <c r="X23" i="3"/>
  <c r="E18" i="2" s="1"/>
  <c r="AK9" i="9"/>
  <c r="AJ13" i="9"/>
  <c r="AM9" i="9"/>
  <c r="AN9" i="9" s="1"/>
  <c r="AJ10" i="9"/>
  <c r="AK10" i="9"/>
  <c r="AJ26" i="9"/>
  <c r="AJ31" i="9"/>
  <c r="AK36" i="9"/>
  <c r="AK41" i="9"/>
  <c r="AM46" i="9"/>
  <c r="AN46" i="9" s="1"/>
  <c r="AM51" i="9"/>
  <c r="AN51" i="9" s="1"/>
  <c r="AJ62" i="9"/>
  <c r="AJ77" i="9"/>
  <c r="AM82" i="9"/>
  <c r="AN82" i="9" s="1"/>
  <c r="AK93" i="9"/>
  <c r="AM97" i="9"/>
  <c r="AN97" i="9" s="1"/>
  <c r="AK108" i="9"/>
  <c r="AK128" i="9"/>
  <c r="AK142" i="9"/>
  <c r="AK156" i="9"/>
  <c r="AK170" i="9"/>
  <c r="AK184" i="9"/>
  <c r="AK198" i="9"/>
  <c r="AM215" i="9"/>
  <c r="AN215" i="9" s="1"/>
  <c r="AM219" i="9"/>
  <c r="AN219" i="9" s="1"/>
  <c r="AK231" i="9"/>
  <c r="AK239" i="9"/>
  <c r="AK243" i="9"/>
  <c r="AK247" i="9"/>
  <c r="AJ251" i="9"/>
  <c r="AJ255" i="9"/>
  <c r="AM258" i="9"/>
  <c r="AN258" i="9" s="1"/>
  <c r="AM262" i="9"/>
  <c r="AN262" i="9" s="1"/>
  <c r="AM270" i="9"/>
  <c r="AN270" i="9" s="1"/>
  <c r="AK286" i="9"/>
  <c r="AK290" i="9"/>
  <c r="AJ294" i="9"/>
  <c r="AK298" i="9"/>
  <c r="AM301" i="9"/>
  <c r="AN301" i="9" s="1"/>
  <c r="AJ306" i="9"/>
  <c r="AM309" i="9"/>
  <c r="AN309" i="9" s="1"/>
  <c r="AM313" i="9"/>
  <c r="AN313" i="9" s="1"/>
  <c r="AM317" i="9"/>
  <c r="AN317" i="9" s="1"/>
  <c r="AK329" i="9"/>
  <c r="AK337" i="9"/>
  <c r="AK341" i="9"/>
  <c r="R42" i="15"/>
  <c r="S42" i="15" s="1"/>
  <c r="O34" i="15"/>
  <c r="R24" i="15"/>
  <c r="S24" i="15" s="1"/>
  <c r="R14" i="15"/>
  <c r="S14" i="15" s="1"/>
  <c r="AM271" i="9"/>
  <c r="AN271" i="9" s="1"/>
  <c r="AK295" i="9"/>
  <c r="AJ307" i="9"/>
  <c r="AM326" i="9"/>
  <c r="AN326" i="9" s="1"/>
  <c r="O31" i="15"/>
  <c r="AM11" i="9"/>
  <c r="AN11" i="9" s="1"/>
  <c r="AM53" i="9"/>
  <c r="AN53" i="9" s="1"/>
  <c r="AJ84" i="9"/>
  <c r="AK115" i="9"/>
  <c r="AK134" i="9"/>
  <c r="AK16" i="9"/>
  <c r="AM20" i="9"/>
  <c r="AN20" i="9" s="1"/>
  <c r="AK31" i="9"/>
  <c r="AJ47" i="9"/>
  <c r="AJ52" i="9"/>
  <c r="AK57" i="9"/>
  <c r="AK62" i="9"/>
  <c r="AM67" i="9"/>
  <c r="AN67" i="9" s="1"/>
  <c r="AM72" i="9"/>
  <c r="AN72" i="9" s="1"/>
  <c r="AJ83" i="9"/>
  <c r="AJ98" i="9"/>
  <c r="AM103" i="9"/>
  <c r="AN103" i="9" s="1"/>
  <c r="AK114" i="9"/>
  <c r="AM118" i="9"/>
  <c r="AN118" i="9" s="1"/>
  <c r="AM123" i="9"/>
  <c r="AN123" i="9" s="1"/>
  <c r="AM132" i="9"/>
  <c r="AN132" i="9" s="1"/>
  <c r="AM137" i="9"/>
  <c r="AN137" i="9" s="1"/>
  <c r="AM146" i="9"/>
  <c r="AN146" i="9" s="1"/>
  <c r="AM151" i="9"/>
  <c r="AN151" i="9" s="1"/>
  <c r="AM160" i="9"/>
  <c r="AN160" i="9" s="1"/>
  <c r="AM165" i="9"/>
  <c r="AN165" i="9" s="1"/>
  <c r="AM174" i="9"/>
  <c r="AN174" i="9" s="1"/>
  <c r="AM179" i="9"/>
  <c r="AN179" i="9" s="1"/>
  <c r="AM188" i="9"/>
  <c r="AN188" i="9" s="1"/>
  <c r="AM193" i="9"/>
  <c r="AN193" i="9" s="1"/>
  <c r="AM202" i="9"/>
  <c r="AN202" i="9" s="1"/>
  <c r="AM207" i="9"/>
  <c r="AN207" i="9" s="1"/>
  <c r="AK212" i="9"/>
  <c r="AJ216" i="9"/>
  <c r="AJ220" i="9"/>
  <c r="AM223" i="9"/>
  <c r="AN223" i="9" s="1"/>
  <c r="AM227" i="9"/>
  <c r="AN227" i="9" s="1"/>
  <c r="AM235" i="9"/>
  <c r="AN235" i="9" s="1"/>
  <c r="AK251" i="9"/>
  <c r="AK255" i="9"/>
  <c r="AJ259" i="9"/>
  <c r="AK263" i="9"/>
  <c r="AM266" i="9"/>
  <c r="AN266" i="9" s="1"/>
  <c r="AJ271" i="9"/>
  <c r="AM274" i="9"/>
  <c r="AN274" i="9" s="1"/>
  <c r="AM278" i="9"/>
  <c r="AN278" i="9" s="1"/>
  <c r="AM282" i="9"/>
  <c r="AN282" i="9" s="1"/>
  <c r="AK294" i="9"/>
  <c r="AK302" i="9"/>
  <c r="AK306" i="9"/>
  <c r="AK310" i="9"/>
  <c r="AJ314" i="9"/>
  <c r="AJ318" i="9"/>
  <c r="AM321" i="9"/>
  <c r="AN321" i="9" s="1"/>
  <c r="AM325" i="9"/>
  <c r="AN325" i="9" s="1"/>
  <c r="AM333" i="9"/>
  <c r="AN333" i="9" s="1"/>
  <c r="O42" i="15"/>
  <c r="O33" i="15"/>
  <c r="O24" i="15"/>
  <c r="O14" i="15"/>
  <c r="AK248" i="9"/>
  <c r="AM267" i="9"/>
  <c r="AN267" i="9" s="1"/>
  <c r="AK303" i="9"/>
  <c r="AM318" i="9"/>
  <c r="AN318" i="9" s="1"/>
  <c r="AK342" i="9"/>
  <c r="R12" i="15"/>
  <c r="S12" i="15" s="1"/>
  <c r="AK48" i="9"/>
  <c r="AM89" i="9"/>
  <c r="AN89" i="9" s="1"/>
  <c r="AM104" i="9"/>
  <c r="AN104" i="9" s="1"/>
  <c r="AJ125" i="9"/>
  <c r="AK148" i="9"/>
  <c r="AJ21" i="9"/>
  <c r="AM26" i="9"/>
  <c r="AN26" i="9" s="1"/>
  <c r="AK37" i="9"/>
  <c r="AM41" i="9"/>
  <c r="AN41" i="9" s="1"/>
  <c r="AK52" i="9"/>
  <c r="AJ68" i="9"/>
  <c r="AJ73" i="9"/>
  <c r="AK78" i="9"/>
  <c r="AK83" i="9"/>
  <c r="AM88" i="9"/>
  <c r="AN88" i="9" s="1"/>
  <c r="AM93" i="9"/>
  <c r="AN93" i="9" s="1"/>
  <c r="AJ104" i="9"/>
  <c r="AJ119" i="9"/>
  <c r="AJ124" i="9"/>
  <c r="AM128" i="9"/>
  <c r="AN128" i="9" s="1"/>
  <c r="AJ133" i="9"/>
  <c r="AJ138" i="9"/>
  <c r="AM142" i="9"/>
  <c r="AN142" i="9" s="1"/>
  <c r="AJ147" i="9"/>
  <c r="AJ152" i="9"/>
  <c r="AM156" i="9"/>
  <c r="AN156" i="9" s="1"/>
  <c r="AJ161" i="9"/>
  <c r="AJ166" i="9"/>
  <c r="AM170" i="9"/>
  <c r="AN170" i="9" s="1"/>
  <c r="AJ175" i="9"/>
  <c r="AJ180" i="9"/>
  <c r="AM184" i="9"/>
  <c r="AN184" i="9" s="1"/>
  <c r="AJ189" i="9"/>
  <c r="AJ194" i="9"/>
  <c r="AM198" i="9"/>
  <c r="AN198" i="9" s="1"/>
  <c r="AJ203" i="9"/>
  <c r="AJ208" i="9"/>
  <c r="AK216" i="9"/>
  <c r="AK220" i="9"/>
  <c r="AJ224" i="9"/>
  <c r="AK228" i="9"/>
  <c r="AM231" i="9"/>
  <c r="AN231" i="9" s="1"/>
  <c r="AJ236" i="9"/>
  <c r="AM239" i="9"/>
  <c r="AN239" i="9" s="1"/>
  <c r="AM243" i="9"/>
  <c r="AN243" i="9" s="1"/>
  <c r="AM247" i="9"/>
  <c r="AN247" i="9" s="1"/>
  <c r="AK259" i="9"/>
  <c r="AK267" i="9"/>
  <c r="AK271" i="9"/>
  <c r="AK275" i="9"/>
  <c r="AJ279" i="9"/>
  <c r="AJ283" i="9"/>
  <c r="AM286" i="9"/>
  <c r="AN286" i="9" s="1"/>
  <c r="AM290" i="9"/>
  <c r="AN290" i="9" s="1"/>
  <c r="AM298" i="9"/>
  <c r="AN298" i="9" s="1"/>
  <c r="AK314" i="9"/>
  <c r="AK318" i="9"/>
  <c r="AJ322" i="9"/>
  <c r="AK326" i="9"/>
  <c r="AM329" i="9"/>
  <c r="AN329" i="9" s="1"/>
  <c r="AJ334" i="9"/>
  <c r="AM337" i="9"/>
  <c r="AN337" i="9" s="1"/>
  <c r="AM341" i="9"/>
  <c r="AN341" i="9" s="1"/>
  <c r="R41" i="15"/>
  <c r="S41" i="15" s="1"/>
  <c r="O32" i="15"/>
  <c r="O23" i="15"/>
  <c r="R13" i="15"/>
  <c r="S13" i="15" s="1"/>
  <c r="AM16" i="9"/>
  <c r="AN16" i="9" s="1"/>
  <c r="AJ27" i="9"/>
  <c r="AJ42" i="9"/>
  <c r="AM47" i="9"/>
  <c r="AN47" i="9" s="1"/>
  <c r="AK58" i="9"/>
  <c r="AM62" i="9"/>
  <c r="AN62" i="9" s="1"/>
  <c r="AK73" i="9"/>
  <c r="AJ89" i="9"/>
  <c r="AJ94" i="9"/>
  <c r="AK99" i="9"/>
  <c r="AK104" i="9"/>
  <c r="AM109" i="9"/>
  <c r="AN109" i="9" s="1"/>
  <c r="AM114" i="9"/>
  <c r="AN114" i="9" s="1"/>
  <c r="AJ129" i="9"/>
  <c r="AJ143" i="9"/>
  <c r="AJ157" i="9"/>
  <c r="AJ171" i="9"/>
  <c r="AJ185" i="9"/>
  <c r="AJ199" i="9"/>
  <c r="AM212" i="9"/>
  <c r="AN212" i="9" s="1"/>
  <c r="AK224" i="9"/>
  <c r="AK232" i="9"/>
  <c r="AK236" i="9"/>
  <c r="AK240" i="9"/>
  <c r="AJ244" i="9"/>
  <c r="AJ248" i="9"/>
  <c r="AM251" i="9"/>
  <c r="AN251" i="9" s="1"/>
  <c r="AM255" i="9"/>
  <c r="AN255" i="9" s="1"/>
  <c r="AM263" i="9"/>
  <c r="AN263" i="9" s="1"/>
  <c r="AK279" i="9"/>
  <c r="AK283" i="9"/>
  <c r="AJ287" i="9"/>
  <c r="AK291" i="9"/>
  <c r="AM294" i="9"/>
  <c r="AN294" i="9" s="1"/>
  <c r="AJ299" i="9"/>
  <c r="AM302" i="9"/>
  <c r="AN302" i="9" s="1"/>
  <c r="AM306" i="9"/>
  <c r="AN306" i="9" s="1"/>
  <c r="AM310" i="9"/>
  <c r="AN310" i="9" s="1"/>
  <c r="AK322" i="9"/>
  <c r="AK330" i="9"/>
  <c r="AK334" i="9"/>
  <c r="AK338" i="9"/>
  <c r="AJ342" i="9"/>
  <c r="O41" i="15"/>
  <c r="R31" i="15"/>
  <c r="S31" i="15" s="1"/>
  <c r="R22" i="15"/>
  <c r="S22" i="15" s="1"/>
  <c r="O13" i="15"/>
  <c r="AJ17" i="9"/>
  <c r="AK22" i="9"/>
  <c r="AK27" i="9"/>
  <c r="AM32" i="9"/>
  <c r="AN32" i="9" s="1"/>
  <c r="AM37" i="9"/>
  <c r="AN37" i="9" s="1"/>
  <c r="AJ48" i="9"/>
  <c r="AJ63" i="9"/>
  <c r="AM68" i="9"/>
  <c r="AN68" i="9" s="1"/>
  <c r="AK79" i="9"/>
  <c r="AM83" i="9"/>
  <c r="AN83" i="9" s="1"/>
  <c r="AK94" i="9"/>
  <c r="AJ110" i="9"/>
  <c r="AJ115" i="9"/>
  <c r="AM119" i="9"/>
  <c r="AN119" i="9" s="1"/>
  <c r="AM124" i="9"/>
  <c r="AN124" i="9" s="1"/>
  <c r="AK129" i="9"/>
  <c r="AM133" i="9"/>
  <c r="AN133" i="9" s="1"/>
  <c r="AM138" i="9"/>
  <c r="AN138" i="9" s="1"/>
  <c r="AK143" i="9"/>
  <c r="AM147" i="9"/>
  <c r="AN147" i="9" s="1"/>
  <c r="AM152" i="9"/>
  <c r="AN152" i="9" s="1"/>
  <c r="AK157" i="9"/>
  <c r="AM161" i="9"/>
  <c r="AN161" i="9" s="1"/>
  <c r="AM166" i="9"/>
  <c r="AN166" i="9" s="1"/>
  <c r="AK171" i="9"/>
  <c r="AM175" i="9"/>
  <c r="AN175" i="9" s="1"/>
  <c r="AM180" i="9"/>
  <c r="AN180" i="9" s="1"/>
  <c r="AK185" i="9"/>
  <c r="AM189" i="9"/>
  <c r="AN189" i="9" s="1"/>
  <c r="AM194" i="9"/>
  <c r="AN194" i="9" s="1"/>
  <c r="AK199" i="9"/>
  <c r="AM203" i="9"/>
  <c r="AN203" i="9" s="1"/>
  <c r="AM208" i="9"/>
  <c r="AN208" i="9" s="1"/>
  <c r="AJ213" i="9"/>
  <c r="AM216" i="9"/>
  <c r="AN216" i="9" s="1"/>
  <c r="AM220" i="9"/>
  <c r="AN220" i="9" s="1"/>
  <c r="AM228" i="9"/>
  <c r="AN228" i="9" s="1"/>
  <c r="AK244" i="9"/>
  <c r="AJ252" i="9"/>
  <c r="AK256" i="9"/>
  <c r="AM259" i="9"/>
  <c r="AN259" i="9" s="1"/>
  <c r="AJ264" i="9"/>
  <c r="AM275" i="9"/>
  <c r="AN275" i="9" s="1"/>
  <c r="AK287" i="9"/>
  <c r="AK299" i="9"/>
  <c r="AJ311" i="9"/>
  <c r="AM314" i="9"/>
  <c r="AN314" i="9" s="1"/>
  <c r="O40" i="15"/>
  <c r="O22" i="15"/>
  <c r="AK17" i="9"/>
  <c r="AJ33" i="9"/>
  <c r="AJ38" i="9"/>
  <c r="AK43" i="9"/>
  <c r="AM58" i="9"/>
  <c r="AN58" i="9" s="1"/>
  <c r="AJ69" i="9"/>
  <c r="AK100" i="9"/>
  <c r="AK120" i="9"/>
  <c r="AJ139" i="9"/>
  <c r="AJ153" i="9"/>
  <c r="AJ14" i="9"/>
  <c r="AM19" i="9"/>
  <c r="AN19" i="9" s="1"/>
  <c r="AK30" i="9"/>
  <c r="AM34" i="9"/>
  <c r="AN34" i="9" s="1"/>
  <c r="AK45" i="9"/>
  <c r="AJ61" i="9"/>
  <c r="AJ66" i="9"/>
  <c r="AK71" i="9"/>
  <c r="AM81" i="9"/>
  <c r="AN81" i="9" s="1"/>
  <c r="AM86" i="9"/>
  <c r="AN86" i="9" s="1"/>
  <c r="AJ97" i="9"/>
  <c r="AJ112" i="9"/>
  <c r="AM117" i="9"/>
  <c r="AN117" i="9" s="1"/>
  <c r="AK122" i="9"/>
  <c r="AM126" i="9"/>
  <c r="AN126" i="9" s="1"/>
  <c r="AM131" i="9"/>
  <c r="AN131" i="9" s="1"/>
  <c r="AK136" i="9"/>
  <c r="AM140" i="9"/>
  <c r="AN140" i="9" s="1"/>
  <c r="AM145" i="9"/>
  <c r="AN145" i="9" s="1"/>
  <c r="AK150" i="9"/>
  <c r="AM154" i="9"/>
  <c r="AN154" i="9" s="1"/>
  <c r="AM159" i="9"/>
  <c r="AN159" i="9" s="1"/>
  <c r="AK164" i="9"/>
  <c r="AM168" i="9"/>
  <c r="AN168" i="9" s="1"/>
  <c r="AM173" i="9"/>
  <c r="AN173" i="9" s="1"/>
  <c r="AK178" i="9"/>
  <c r="AM182" i="9"/>
  <c r="AN182" i="9" s="1"/>
  <c r="AM187" i="9"/>
  <c r="AN187" i="9" s="1"/>
  <c r="AK192" i="9"/>
  <c r="AM196" i="9"/>
  <c r="AN196" i="9" s="1"/>
  <c r="AM201" i="9"/>
  <c r="AN201" i="9" s="1"/>
  <c r="AK206" i="9"/>
  <c r="AJ215" i="9"/>
  <c r="AM218" i="9"/>
  <c r="AN218" i="9" s="1"/>
  <c r="AM222" i="9"/>
  <c r="AN222" i="9" s="1"/>
  <c r="AM226" i="9"/>
  <c r="AN226" i="9" s="1"/>
  <c r="AK238" i="9"/>
  <c r="AK246" i="9"/>
  <c r="AK250" i="9"/>
  <c r="AK254" i="9"/>
  <c r="AJ258" i="9"/>
  <c r="AJ262" i="9"/>
  <c r="AM265" i="9"/>
  <c r="AN265" i="9" s="1"/>
  <c r="AM269" i="9"/>
  <c r="AN269" i="9" s="1"/>
  <c r="AM277" i="9"/>
  <c r="AN277" i="9" s="1"/>
  <c r="AK293" i="9"/>
  <c r="AK297" i="9"/>
  <c r="AJ301" i="9"/>
  <c r="AK305" i="9"/>
  <c r="AM308" i="9"/>
  <c r="AN308" i="9" s="1"/>
  <c r="AJ313" i="9"/>
  <c r="AM316" i="9"/>
  <c r="AN316" i="9" s="1"/>
  <c r="AM320" i="9"/>
  <c r="AN320" i="9" s="1"/>
  <c r="AM324" i="9"/>
  <c r="AN324" i="9" s="1"/>
  <c r="AK336" i="9"/>
  <c r="O44" i="15"/>
  <c r="R35" i="15"/>
  <c r="S35" i="15" s="1"/>
  <c r="O27" i="15"/>
  <c r="R16" i="15"/>
  <c r="S16" i="15" s="1"/>
  <c r="R7" i="15"/>
  <c r="AK24" i="9"/>
  <c r="AJ40" i="9"/>
  <c r="AK55" i="9"/>
  <c r="AJ70" i="9"/>
  <c r="AK86" i="9"/>
  <c r="AJ101" i="9"/>
  <c r="AM107" i="9"/>
  <c r="AN107" i="9" s="1"/>
  <c r="AK137" i="9"/>
  <c r="AM144" i="9"/>
  <c r="AN144" i="9" s="1"/>
  <c r="AJ159" i="9"/>
  <c r="AM172" i="9"/>
  <c r="AN172" i="9" s="1"/>
  <c r="AK179" i="9"/>
  <c r="AK200" i="9"/>
  <c r="AJ206" i="9"/>
  <c r="AM217" i="9"/>
  <c r="AN217" i="9" s="1"/>
  <c r="AK234" i="9"/>
  <c r="AJ245" i="9"/>
  <c r="AM250" i="9"/>
  <c r="AN250" i="9" s="1"/>
  <c r="AK257" i="9"/>
  <c r="AJ269" i="9"/>
  <c r="AK274" i="9"/>
  <c r="AJ280" i="9"/>
  <c r="AJ285" i="9"/>
  <c r="AJ290" i="9"/>
  <c r="AK296" i="9"/>
  <c r="AJ308" i="9"/>
  <c r="AK320" i="9"/>
  <c r="AK331" i="9"/>
  <c r="AM335" i="9"/>
  <c r="AN335" i="9" s="1"/>
  <c r="AJ341" i="9"/>
  <c r="O29" i="15"/>
  <c r="O12" i="15"/>
  <c r="R28" i="15"/>
  <c r="S28" i="15" s="1"/>
  <c r="O11" i="15"/>
  <c r="R38" i="15"/>
  <c r="S38" i="15" s="1"/>
  <c r="AK20" i="9"/>
  <c r="AK118" i="9"/>
  <c r="AJ168" i="9"/>
  <c r="AM236" i="9"/>
  <c r="AN236" i="9" s="1"/>
  <c r="AJ272" i="9"/>
  <c r="AK311" i="9"/>
  <c r="AM332" i="9"/>
  <c r="AN332" i="9" s="1"/>
  <c r="O7" i="15"/>
  <c r="AK13" i="9"/>
  <c r="AK66" i="9"/>
  <c r="AJ182" i="9"/>
  <c r="AM304" i="9"/>
  <c r="AN304" i="9" s="1"/>
  <c r="AK333" i="9"/>
  <c r="AK90" i="9"/>
  <c r="AK141" i="9"/>
  <c r="AM221" i="9"/>
  <c r="AN221" i="9" s="1"/>
  <c r="AM311" i="9"/>
  <c r="AN311" i="9" s="1"/>
  <c r="AK29" i="9"/>
  <c r="AK127" i="9"/>
  <c r="AK204" i="9"/>
  <c r="AM242" i="9"/>
  <c r="AN242" i="9" s="1"/>
  <c r="O36" i="15"/>
  <c r="AK222" i="9"/>
  <c r="AK278" i="9"/>
  <c r="AK319" i="9"/>
  <c r="O35" i="15"/>
  <c r="AM48" i="9"/>
  <c r="AN48" i="9" s="1"/>
  <c r="AK101" i="9"/>
  <c r="AJ108" i="9"/>
  <c r="AK123" i="9"/>
  <c r="AM130" i="9"/>
  <c r="AN130" i="9" s="1"/>
  <c r="AJ145" i="9"/>
  <c r="AJ173" i="9"/>
  <c r="AM186" i="9"/>
  <c r="AN186" i="9" s="1"/>
  <c r="AK193" i="9"/>
  <c r="AK218" i="9"/>
  <c r="AM229" i="9"/>
  <c r="AN229" i="9" s="1"/>
  <c r="AK245" i="9"/>
  <c r="AK264" i="9"/>
  <c r="AK269" i="9"/>
  <c r="AK280" i="9"/>
  <c r="AK285" i="9"/>
  <c r="AK308" i="9"/>
  <c r="AJ315" i="9"/>
  <c r="AJ336" i="9"/>
  <c r="AK51" i="9"/>
  <c r="AK202" i="9"/>
  <c r="AM241" i="9"/>
  <c r="AN241" i="9" s="1"/>
  <c r="AM276" i="9"/>
  <c r="AN276" i="9" s="1"/>
  <c r="O38" i="15"/>
  <c r="AJ28" i="9"/>
  <c r="AM74" i="9"/>
  <c r="AN74" i="9" s="1"/>
  <c r="AK242" i="9"/>
  <c r="AK272" i="9"/>
  <c r="AM343" i="9"/>
  <c r="AN343" i="9" s="1"/>
  <c r="AJ75" i="9"/>
  <c r="AJ196" i="9"/>
  <c r="AM248" i="9"/>
  <c r="AN248" i="9" s="1"/>
  <c r="AJ222" i="9"/>
  <c r="AK249" i="9"/>
  <c r="AM328" i="9"/>
  <c r="AN328" i="9" s="1"/>
  <c r="AK38" i="9"/>
  <c r="AK191" i="9"/>
  <c r="AM237" i="9"/>
  <c r="AN237" i="9" s="1"/>
  <c r="AM283" i="9"/>
  <c r="AN283" i="9" s="1"/>
  <c r="AK324" i="9"/>
  <c r="R34" i="15"/>
  <c r="S34" i="15" s="1"/>
  <c r="AM18" i="9"/>
  <c r="AN18" i="9" s="1"/>
  <c r="AM33" i="9"/>
  <c r="AN33" i="9" s="1"/>
  <c r="AM40" i="9"/>
  <c r="AN40" i="9" s="1"/>
  <c r="AJ49" i="9"/>
  <c r="AM55" i="9"/>
  <c r="AN55" i="9" s="1"/>
  <c r="AK64" i="9"/>
  <c r="AJ87" i="9"/>
  <c r="AM116" i="9"/>
  <c r="AN116" i="9" s="1"/>
  <c r="AJ131" i="9"/>
  <c r="AK153" i="9"/>
  <c r="AJ160" i="9"/>
  <c r="AJ167" i="9"/>
  <c r="AJ187" i="9"/>
  <c r="AM200" i="9"/>
  <c r="AN200" i="9" s="1"/>
  <c r="AK207" i="9"/>
  <c r="AK213" i="9"/>
  <c r="AM224" i="9"/>
  <c r="AN224" i="9" s="1"/>
  <c r="AJ230" i="9"/>
  <c r="AM234" i="9"/>
  <c r="AN234" i="9" s="1"/>
  <c r="AM240" i="9"/>
  <c r="AN240" i="9" s="1"/>
  <c r="AK252" i="9"/>
  <c r="AM257" i="9"/>
  <c r="AN257" i="9" s="1"/>
  <c r="AM296" i="9"/>
  <c r="AN296" i="9" s="1"/>
  <c r="AK315" i="9"/>
  <c r="AJ321" i="9"/>
  <c r="AJ327" i="9"/>
  <c r="AM331" i="9"/>
  <c r="AN331" i="9" s="1"/>
  <c r="R43" i="15"/>
  <c r="S43" i="15" s="1"/>
  <c r="O28" i="15"/>
  <c r="O10" i="15"/>
  <c r="AJ19" i="9"/>
  <c r="AM25" i="9"/>
  <c r="AN25" i="9" s="1"/>
  <c r="AJ34" i="9"/>
  <c r="AJ41" i="9"/>
  <c r="AJ56" i="9"/>
  <c r="AK72" i="9"/>
  <c r="AM79" i="9"/>
  <c r="AN79" i="9" s="1"/>
  <c r="AK87" i="9"/>
  <c r="AJ117" i="9"/>
  <c r="AK139" i="9"/>
  <c r="AJ146" i="9"/>
  <c r="AK160" i="9"/>
  <c r="AK167" i="9"/>
  <c r="AJ174" i="9"/>
  <c r="AJ181" i="9"/>
  <c r="AJ201" i="9"/>
  <c r="AK219" i="9"/>
  <c r="AK225" i="9"/>
  <c r="AK230" i="9"/>
  <c r="AK235" i="9"/>
  <c r="AJ241" i="9"/>
  <c r="AM245" i="9"/>
  <c r="AN245" i="9" s="1"/>
  <c r="AK258" i="9"/>
  <c r="AM264" i="9"/>
  <c r="AN264" i="9" s="1"/>
  <c r="AK270" i="9"/>
  <c r="AJ276" i="9"/>
  <c r="AM280" i="9"/>
  <c r="AN280" i="9" s="1"/>
  <c r="AM285" i="9"/>
  <c r="AN285" i="9" s="1"/>
  <c r="AM291" i="9"/>
  <c r="AN291" i="9" s="1"/>
  <c r="AJ297" i="9"/>
  <c r="AM303" i="9"/>
  <c r="AN303" i="9" s="1"/>
  <c r="AK309" i="9"/>
  <c r="AK321" i="9"/>
  <c r="AK327" i="9"/>
  <c r="AJ332" i="9"/>
  <c r="AM336" i="9"/>
  <c r="AN336" i="9" s="1"/>
  <c r="AM342" i="9"/>
  <c r="AN342" i="9" s="1"/>
  <c r="O43" i="15"/>
  <c r="R27" i="15"/>
  <c r="S27" i="15" s="1"/>
  <c r="R9" i="15"/>
  <c r="S9" i="15" s="1"/>
  <c r="AK34" i="9"/>
  <c r="AK50" i="9"/>
  <c r="AK65" i="9"/>
  <c r="AJ80" i="9"/>
  <c r="AM95" i="9"/>
  <c r="AN95" i="9" s="1"/>
  <c r="AM102" i="9"/>
  <c r="AN102" i="9" s="1"/>
  <c r="AK125" i="9"/>
  <c r="AJ132" i="9"/>
  <c r="AK146" i="9"/>
  <c r="AM153" i="9"/>
  <c r="AN153" i="9" s="1"/>
  <c r="AK174" i="9"/>
  <c r="AK181" i="9"/>
  <c r="AJ188" i="9"/>
  <c r="AJ195" i="9"/>
  <c r="AM213" i="9"/>
  <c r="AN213" i="9" s="1"/>
  <c r="AK241" i="9"/>
  <c r="AM252" i="9"/>
  <c r="AN252" i="9" s="1"/>
  <c r="AJ265" i="9"/>
  <c r="AK276" i="9"/>
  <c r="AK281" i="9"/>
  <c r="AJ286" i="9"/>
  <c r="AJ292" i="9"/>
  <c r="AJ304" i="9"/>
  <c r="AM315" i="9"/>
  <c r="AN315" i="9" s="1"/>
  <c r="AK332" i="9"/>
  <c r="AJ343" i="9"/>
  <c r="O39" i="15"/>
  <c r="O26" i="15"/>
  <c r="O9" i="15"/>
  <c r="AJ20" i="9"/>
  <c r="AK80" i="9"/>
  <c r="AJ96" i="9"/>
  <c r="AJ103" i="9"/>
  <c r="AM110" i="9"/>
  <c r="AN110" i="9" s="1"/>
  <c r="AJ118" i="9"/>
  <c r="AK132" i="9"/>
  <c r="AM139" i="9"/>
  <c r="AN139" i="9" s="1"/>
  <c r="AJ154" i="9"/>
  <c r="AM167" i="9"/>
  <c r="AN167" i="9" s="1"/>
  <c r="AK188" i="9"/>
  <c r="AK195" i="9"/>
  <c r="AJ202" i="9"/>
  <c r="AJ209" i="9"/>
  <c r="AK214" i="9"/>
  <c r="AM225" i="9"/>
  <c r="AN225" i="9" s="1"/>
  <c r="AM230" i="9"/>
  <c r="AN230" i="9" s="1"/>
  <c r="AM246" i="9"/>
  <c r="AN246" i="9" s="1"/>
  <c r="AK253" i="9"/>
  <c r="AK265" i="9"/>
  <c r="AK292" i="9"/>
  <c r="AM297" i="9"/>
  <c r="AN297" i="9" s="1"/>
  <c r="AK304" i="9"/>
  <c r="AK316" i="9"/>
  <c r="AM327" i="9"/>
  <c r="AN327" i="9" s="1"/>
  <c r="AK343" i="9"/>
  <c r="O25" i="15"/>
  <c r="O8" i="15"/>
  <c r="AM12" i="9"/>
  <c r="AN12" i="9" s="1"/>
  <c r="AM27" i="9"/>
  <c r="AN27" i="9" s="1"/>
  <c r="AJ35" i="9"/>
  <c r="AM65" i="9"/>
  <c r="AN65" i="9" s="1"/>
  <c r="AJ111" i="9"/>
  <c r="AM125" i="9"/>
  <c r="AN125" i="9" s="1"/>
  <c r="AJ140" i="9"/>
  <c r="AK162" i="9"/>
  <c r="AM181" i="9"/>
  <c r="AN181" i="9" s="1"/>
  <c r="AK209" i="9"/>
  <c r="AK221" i="9"/>
  <c r="AK226" i="9"/>
  <c r="AJ231" i="9"/>
  <c r="AK260" i="9"/>
  <c r="AM281" i="9"/>
  <c r="AN281" i="9" s="1"/>
  <c r="AM322" i="9"/>
  <c r="AN322" i="9" s="1"/>
  <c r="AJ328" i="9"/>
  <c r="AM338" i="9"/>
  <c r="AN338" i="9" s="1"/>
  <c r="R21" i="15"/>
  <c r="S21" i="15" s="1"/>
  <c r="AK44" i="9"/>
  <c r="AJ59" i="9"/>
  <c r="AJ90" i="9"/>
  <c r="AK111" i="9"/>
  <c r="AJ126" i="9"/>
  <c r="AK155" i="9"/>
  <c r="AK176" i="9"/>
  <c r="AM195" i="9"/>
  <c r="AN195" i="9" s="1"/>
  <c r="AJ237" i="9"/>
  <c r="AJ266" i="9"/>
  <c r="AK277" i="9"/>
  <c r="AM287" i="9"/>
  <c r="AN287" i="9" s="1"/>
  <c r="AM292" i="9"/>
  <c r="AN292" i="9" s="1"/>
  <c r="AK317" i="9"/>
  <c r="AK328" i="9"/>
  <c r="AJ339" i="9"/>
  <c r="O37" i="15"/>
  <c r="AK59" i="9"/>
  <c r="AJ82" i="9"/>
  <c r="AK97" i="9"/>
  <c r="AK149" i="9"/>
  <c r="AK169" i="9"/>
  <c r="AK190" i="9"/>
  <c r="AK215" i="9"/>
  <c r="AJ227" i="9"/>
  <c r="AK237" i="9"/>
  <c r="AM260" i="9"/>
  <c r="AN260" i="9" s="1"/>
  <c r="AK266" i="9"/>
  <c r="AK288" i="9"/>
  <c r="AM299" i="9"/>
  <c r="AN299" i="9" s="1"/>
  <c r="R36" i="15"/>
  <c r="S36" i="15" s="1"/>
  <c r="R19" i="15"/>
  <c r="S19" i="15" s="1"/>
  <c r="AM13" i="9"/>
  <c r="AN13" i="9" s="1"/>
  <c r="AM44" i="9"/>
  <c r="AN44" i="9" s="1"/>
  <c r="AM111" i="9"/>
  <c r="AN111" i="9" s="1"/>
  <c r="AK177" i="9"/>
  <c r="AJ210" i="9"/>
  <c r="AK227" i="9"/>
  <c r="AM254" i="9"/>
  <c r="AN254" i="9" s="1"/>
  <c r="AM272" i="9"/>
  <c r="AN272" i="9" s="1"/>
  <c r="AJ278" i="9"/>
  <c r="AM305" i="9"/>
  <c r="AN305" i="9" s="1"/>
  <c r="AK312" i="9"/>
  <c r="O19" i="15"/>
  <c r="AJ45" i="9"/>
  <c r="AJ54" i="9"/>
  <c r="AM75" i="9"/>
  <c r="AN75" i="9" s="1"/>
  <c r="AM90" i="9"/>
  <c r="AN90" i="9" s="1"/>
  <c r="AK106" i="9"/>
  <c r="AM149" i="9"/>
  <c r="AN149" i="9" s="1"/>
  <c r="AK197" i="9"/>
  <c r="AK233" i="9"/>
  <c r="AJ243" i="9"/>
  <c r="AM288" i="9"/>
  <c r="AN288" i="9" s="1"/>
  <c r="AM293" i="9"/>
  <c r="AN293" i="9" s="1"/>
  <c r="AJ329" i="9"/>
  <c r="AM334" i="9"/>
  <c r="AN334" i="9" s="1"/>
  <c r="O18" i="15"/>
  <c r="O17" i="15"/>
  <c r="AK15" i="9"/>
  <c r="AM60" i="9"/>
  <c r="AN60" i="9" s="1"/>
  <c r="AK69" i="9"/>
  <c r="AJ76" i="9"/>
  <c r="AJ91" i="9"/>
  <c r="AK113" i="9"/>
  <c r="AM135" i="9"/>
  <c r="AN135" i="9" s="1"/>
  <c r="AJ150" i="9"/>
  <c r="AK158" i="9"/>
  <c r="AJ164" i="9"/>
  <c r="AM177" i="9"/>
  <c r="AN177" i="9" s="1"/>
  <c r="AK205" i="9"/>
  <c r="AJ217" i="9"/>
  <c r="AJ238" i="9"/>
  <c r="AM249" i="9"/>
  <c r="AN249" i="9" s="1"/>
  <c r="AM261" i="9"/>
  <c r="AN261" i="9" s="1"/>
  <c r="AK268" i="9"/>
  <c r="AK273" i="9"/>
  <c r="AK284" i="9"/>
  <c r="AK289" i="9"/>
  <c r="AK307" i="9"/>
  <c r="AM312" i="9"/>
  <c r="AN312" i="9" s="1"/>
  <c r="AJ335" i="9"/>
  <c r="AK340" i="9"/>
  <c r="AM23" i="9"/>
  <c r="AN23" i="9" s="1"/>
  <c r="AM30" i="9"/>
  <c r="AN30" i="9" s="1"/>
  <c r="AM54" i="9"/>
  <c r="AN54" i="9" s="1"/>
  <c r="AK85" i="9"/>
  <c r="AK107" i="9"/>
  <c r="AM121" i="9"/>
  <c r="AN121" i="9" s="1"/>
  <c r="AJ136" i="9"/>
  <c r="AK144" i="9"/>
  <c r="AK172" i="9"/>
  <c r="AJ178" i="9"/>
  <c r="AM191" i="9"/>
  <c r="AN191" i="9" s="1"/>
  <c r="AM210" i="9"/>
  <c r="AN210" i="9" s="1"/>
  <c r="AK217" i="9"/>
  <c r="AJ223" i="9"/>
  <c r="AJ229" i="9"/>
  <c r="AM233" i="9"/>
  <c r="AN233" i="9" s="1"/>
  <c r="AJ250" i="9"/>
  <c r="AM256" i="9"/>
  <c r="AN256" i="9" s="1"/>
  <c r="AK262" i="9"/>
  <c r="AM300" i="9"/>
  <c r="AN300" i="9" s="1"/>
  <c r="AK313" i="9"/>
  <c r="AM319" i="9"/>
  <c r="AN319" i="9" s="1"/>
  <c r="AJ325" i="9"/>
  <c r="AK335" i="9"/>
  <c r="P20" i="15"/>
  <c r="O30" i="15"/>
  <c r="O16" i="15"/>
  <c r="R29" i="15"/>
  <c r="S29" i="15" s="1"/>
  <c r="O15" i="15"/>
  <c r="AM96" i="9"/>
  <c r="AN96" i="9" s="1"/>
  <c r="AM214" i="9"/>
  <c r="AN214" i="9" s="1"/>
  <c r="AM253" i="9"/>
  <c r="AN253" i="9" s="1"/>
  <c r="AK282" i="9"/>
  <c r="AK323" i="9"/>
  <c r="O21" i="15"/>
  <c r="AJ105" i="9"/>
  <c r="AK163" i="9"/>
  <c r="AM209" i="9"/>
  <c r="AN209" i="9" s="1"/>
  <c r="AJ293" i="9"/>
  <c r="AK339" i="9"/>
  <c r="AK135" i="9"/>
  <c r="AK183" i="9"/>
  <c r="AM232" i="9"/>
  <c r="AN232" i="9" s="1"/>
  <c r="AK261" i="9"/>
  <c r="AJ300" i="9"/>
  <c r="AM323" i="9"/>
  <c r="AN323" i="9" s="1"/>
  <c r="AK23" i="9"/>
  <c r="AK121" i="9"/>
  <c r="AM163" i="9"/>
  <c r="AN163" i="9" s="1"/>
  <c r="AK210" i="9"/>
  <c r="AJ273" i="9"/>
  <c r="AK300" i="9"/>
  <c r="AM339" i="9"/>
  <c r="AN339" i="9" s="1"/>
  <c r="AJ24" i="9"/>
  <c r="AM39" i="9"/>
  <c r="AN39" i="9" s="1"/>
  <c r="AJ55" i="9"/>
  <c r="AM61" i="9"/>
  <c r="AN61" i="9" s="1"/>
  <c r="AM69" i="9"/>
  <c r="AN69" i="9" s="1"/>
  <c r="AM76" i="9"/>
  <c r="AN76" i="9" s="1"/>
  <c r="AK92" i="9"/>
  <c r="AM100" i="9"/>
  <c r="AN100" i="9" s="1"/>
  <c r="AJ122" i="9"/>
  <c r="AK130" i="9"/>
  <c r="AK151" i="9"/>
  <c r="AM158" i="9"/>
  <c r="AN158" i="9" s="1"/>
  <c r="AK165" i="9"/>
  <c r="AK186" i="9"/>
  <c r="AJ192" i="9"/>
  <c r="AM205" i="9"/>
  <c r="AN205" i="9" s="1"/>
  <c r="AK211" i="9"/>
  <c r="AK223" i="9"/>
  <c r="AK229" i="9"/>
  <c r="AJ234" i="9"/>
  <c r="AM238" i="9"/>
  <c r="AN238" i="9" s="1"/>
  <c r="AM244" i="9"/>
  <c r="AN244" i="9" s="1"/>
  <c r="AJ257" i="9"/>
  <c r="AM268" i="9"/>
  <c r="AN268" i="9" s="1"/>
  <c r="AM273" i="9"/>
  <c r="AN273" i="9" s="1"/>
  <c r="AM279" i="9"/>
  <c r="AN279" i="9" s="1"/>
  <c r="AM284" i="9"/>
  <c r="AN284" i="9" s="1"/>
  <c r="AM289" i="9"/>
  <c r="AN289" i="9" s="1"/>
  <c r="AM295" i="9"/>
  <c r="AN295" i="9" s="1"/>
  <c r="AK301" i="9"/>
  <c r="AM307" i="9"/>
  <c r="AN307" i="9" s="1"/>
  <c r="AJ320" i="9"/>
  <c r="AK325" i="9"/>
  <c r="AM330" i="9"/>
  <c r="AN330" i="9" s="1"/>
  <c r="AM340" i="9"/>
  <c r="AN340" i="9" s="1"/>
  <c r="AH54" i="7"/>
  <c r="AI46" i="7"/>
  <c r="AI39" i="7"/>
  <c r="AI24" i="7"/>
  <c r="AI16" i="7"/>
  <c r="AO165" i="8"/>
  <c r="AO158" i="8"/>
  <c r="AO151" i="8"/>
  <c r="AO130" i="8"/>
  <c r="AO123" i="8"/>
  <c r="AO116" i="8"/>
  <c r="AR112" i="8"/>
  <c r="AT112" i="8" s="1"/>
  <c r="AR108" i="8"/>
  <c r="AT108" i="8" s="1"/>
  <c r="AR94" i="8"/>
  <c r="AT94" i="8" s="1"/>
  <c r="AR85" i="8"/>
  <c r="AT85" i="8" s="1"/>
  <c r="AR76" i="8"/>
  <c r="AT76" i="8" s="1"/>
  <c r="AR62" i="8"/>
  <c r="AT62" i="8" s="1"/>
  <c r="AO53" i="8"/>
  <c r="AR48" i="8"/>
  <c r="AT48" i="8" s="1"/>
  <c r="AO23" i="8"/>
  <c r="AR12" i="8"/>
  <c r="AT12" i="8" s="1"/>
  <c r="P37" i="15"/>
  <c r="P16" i="15"/>
  <c r="P10" i="15"/>
  <c r="AI53" i="7"/>
  <c r="AH46" i="7"/>
  <c r="AH39" i="7"/>
  <c r="AH31" i="7"/>
  <c r="AH24" i="7"/>
  <c r="AH16" i="7"/>
  <c r="AI8" i="7"/>
  <c r="AR168" i="8"/>
  <c r="AT168" i="8" s="1"/>
  <c r="AR161" i="8"/>
  <c r="AT161" i="8" s="1"/>
  <c r="AR154" i="8"/>
  <c r="AT154" i="8" s="1"/>
  <c r="AR147" i="8"/>
  <c r="AT147" i="8" s="1"/>
  <c r="AR140" i="8"/>
  <c r="AT140" i="8" s="1"/>
  <c r="AR133" i="8"/>
  <c r="AT133" i="8" s="1"/>
  <c r="AR126" i="8"/>
  <c r="AT126" i="8" s="1"/>
  <c r="AR119" i="8"/>
  <c r="AT119" i="8" s="1"/>
  <c r="AO112" i="8"/>
  <c r="AO108" i="8"/>
  <c r="AO101" i="8"/>
  <c r="AO94" i="8"/>
  <c r="AO85" i="8"/>
  <c r="AO76" i="8"/>
  <c r="AR71" i="8"/>
  <c r="AT71" i="8" s="1"/>
  <c r="AO62" i="8"/>
  <c r="AR57" i="8"/>
  <c r="AT57" i="8" s="1"/>
  <c r="AO48" i="8"/>
  <c r="AR44" i="8"/>
  <c r="AT44" i="8" s="1"/>
  <c r="AR40" i="8"/>
  <c r="AT40" i="8" s="1"/>
  <c r="AR36" i="8"/>
  <c r="AT36" i="8" s="1"/>
  <c r="AR26" i="8"/>
  <c r="AT26" i="8" s="1"/>
  <c r="AR19" i="8"/>
  <c r="AT19" i="8" s="1"/>
  <c r="AO12" i="8"/>
  <c r="AR8" i="8"/>
  <c r="AT8" i="8" s="1"/>
  <c r="P42" i="15"/>
  <c r="P28" i="15"/>
  <c r="P31" i="15"/>
  <c r="P39" i="15"/>
  <c r="P22" i="15"/>
  <c r="P8" i="15"/>
  <c r="AH9" i="7"/>
  <c r="AO144" i="8"/>
  <c r="AO90" i="8"/>
  <c r="AH53" i="7"/>
  <c r="AI45" i="7"/>
  <c r="AI38" i="7"/>
  <c r="AI30" i="7"/>
  <c r="AI23" i="7"/>
  <c r="AI15" i="7"/>
  <c r="AH8" i="7"/>
  <c r="AO168" i="8"/>
  <c r="AO161" i="8"/>
  <c r="AO154" i="8"/>
  <c r="AO147" i="8"/>
  <c r="AO140" i="8"/>
  <c r="AO133" i="8"/>
  <c r="AO126" i="8"/>
  <c r="AO119" i="8"/>
  <c r="AR115" i="8"/>
  <c r="AT115" i="8" s="1"/>
  <c r="AR104" i="8"/>
  <c r="AT104" i="8" s="1"/>
  <c r="AR97" i="8"/>
  <c r="AT97" i="8" s="1"/>
  <c r="AR89" i="8"/>
  <c r="AT89" i="8" s="1"/>
  <c r="AR80" i="8"/>
  <c r="AT80" i="8" s="1"/>
  <c r="AO71" i="8"/>
  <c r="AR66" i="8"/>
  <c r="AT66" i="8" s="1"/>
  <c r="AO57" i="8"/>
  <c r="AR52" i="8"/>
  <c r="AT52" i="8" s="1"/>
  <c r="AO44" i="8"/>
  <c r="AO40" i="8"/>
  <c r="AO36" i="8"/>
  <c r="AO26" i="8"/>
  <c r="AO19" i="8"/>
  <c r="AR15" i="8"/>
  <c r="AT15" i="8" s="1"/>
  <c r="AO8" i="8"/>
  <c r="P12" i="15"/>
  <c r="P26" i="15"/>
  <c r="AI31" i="7"/>
  <c r="AO172" i="8"/>
  <c r="AO137" i="8"/>
  <c r="AR101" i="8"/>
  <c r="AT101" i="8" s="1"/>
  <c r="AO67" i="8"/>
  <c r="AO33" i="8"/>
  <c r="AO16" i="8"/>
  <c r="AI52" i="7"/>
  <c r="AH45" i="7"/>
  <c r="AH38" i="7"/>
  <c r="AH30" i="7"/>
  <c r="AH23" i="7"/>
  <c r="AH15" i="7"/>
  <c r="AI7" i="7"/>
  <c r="E16" i="2" s="1"/>
  <c r="K16" i="2" s="1"/>
  <c r="AR171" i="8"/>
  <c r="AT171" i="8" s="1"/>
  <c r="AR164" i="8"/>
  <c r="AT164" i="8" s="1"/>
  <c r="AR157" i="8"/>
  <c r="AT157" i="8" s="1"/>
  <c r="AR150" i="8"/>
  <c r="AT150" i="8" s="1"/>
  <c r="AR143" i="8"/>
  <c r="AT143" i="8" s="1"/>
  <c r="AR136" i="8"/>
  <c r="AT136" i="8" s="1"/>
  <c r="AR129" i="8"/>
  <c r="AT129" i="8" s="1"/>
  <c r="AR122" i="8"/>
  <c r="AT122" i="8" s="1"/>
  <c r="AO115" i="8"/>
  <c r="AR111" i="8"/>
  <c r="AT111" i="8" s="1"/>
  <c r="AO104" i="8"/>
  <c r="AO97" i="8"/>
  <c r="AR93" i="8"/>
  <c r="AT93" i="8" s="1"/>
  <c r="AO89" i="8"/>
  <c r="AR84" i="8"/>
  <c r="AT84" i="8" s="1"/>
  <c r="AO80" i="8"/>
  <c r="AR75" i="8"/>
  <c r="AT75" i="8" s="1"/>
  <c r="AO66" i="8"/>
  <c r="AR61" i="8"/>
  <c r="AT61" i="8" s="1"/>
  <c r="AO52" i="8"/>
  <c r="AR32" i="8"/>
  <c r="AT32" i="8" s="1"/>
  <c r="AR29" i="8"/>
  <c r="AT29" i="8" s="1"/>
  <c r="AO15" i="8"/>
  <c r="AR11" i="8"/>
  <c r="AT11" i="8" s="1"/>
  <c r="P5" i="10"/>
  <c r="AH378" i="11"/>
  <c r="AH363" i="11"/>
  <c r="AH354" i="11"/>
  <c r="AH346" i="11"/>
  <c r="AH337" i="11"/>
  <c r="AH327" i="11"/>
  <c r="AH319" i="11"/>
  <c r="AH311" i="11"/>
  <c r="AH301" i="11"/>
  <c r="AH277" i="11"/>
  <c r="AH269" i="11"/>
  <c r="AH212" i="11"/>
  <c r="AH211" i="11"/>
  <c r="AH210" i="11"/>
  <c r="AH202" i="11"/>
  <c r="AH194" i="11"/>
  <c r="AH186" i="11"/>
  <c r="AH185" i="11"/>
  <c r="AH177" i="11"/>
  <c r="AH169" i="11"/>
  <c r="AH494" i="11"/>
  <c r="AH472" i="11"/>
  <c r="AH464" i="11"/>
  <c r="AH453" i="11"/>
  <c r="AH444" i="11"/>
  <c r="AH436" i="11"/>
  <c r="AH428" i="11"/>
  <c r="AH420" i="11"/>
  <c r="AH410" i="11"/>
  <c r="AH402" i="11"/>
  <c r="AH394" i="11"/>
  <c r="AH386" i="11"/>
  <c r="AH249" i="11"/>
  <c r="AH241" i="11"/>
  <c r="AH233" i="11"/>
  <c r="AH225" i="11"/>
  <c r="AH217" i="11"/>
  <c r="AH216" i="11"/>
  <c r="AH215" i="11"/>
  <c r="AH214" i="11"/>
  <c r="AH213" i="11"/>
  <c r="AH142" i="11"/>
  <c r="AH141" i="11"/>
  <c r="AH130" i="11"/>
  <c r="AH120" i="11"/>
  <c r="AH112" i="11"/>
  <c r="AH104" i="11"/>
  <c r="AH96" i="11"/>
  <c r="AH88" i="11"/>
  <c r="AH79" i="11"/>
  <c r="AH71" i="11"/>
  <c r="AH63" i="11"/>
  <c r="AH53" i="11"/>
  <c r="AH52" i="11"/>
  <c r="AH51" i="11"/>
  <c r="AH39" i="11"/>
  <c r="AH31" i="11"/>
  <c r="AH23" i="11"/>
  <c r="AH15" i="11"/>
  <c r="AH7" i="11"/>
  <c r="AH6" i="11"/>
  <c r="AH306" i="11"/>
  <c r="AH280" i="11"/>
  <c r="AH272" i="11"/>
  <c r="AH264" i="11"/>
  <c r="AH244" i="11"/>
  <c r="AH236" i="11"/>
  <c r="AH228" i="11"/>
  <c r="AH220" i="11"/>
  <c r="AH205" i="11"/>
  <c r="AH197" i="11"/>
  <c r="AH189" i="11"/>
  <c r="AH180" i="11"/>
  <c r="AH172" i="11"/>
  <c r="AH145" i="11"/>
  <c r="AH134" i="11"/>
  <c r="AH123" i="11"/>
  <c r="AH495" i="11"/>
  <c r="AH477" i="11"/>
  <c r="AH469" i="11"/>
  <c r="AH461" i="11"/>
  <c r="AH450" i="11"/>
  <c r="AH441" i="11"/>
  <c r="AH433" i="11"/>
  <c r="AH425" i="11"/>
  <c r="AH417" i="11"/>
  <c r="AH407" i="11"/>
  <c r="AH399" i="11"/>
  <c r="AH391" i="11"/>
  <c r="AH383" i="11"/>
  <c r="AH368" i="11"/>
  <c r="AH359" i="11"/>
  <c r="AH351" i="11"/>
  <c r="AH343" i="11"/>
  <c r="AH334" i="11"/>
  <c r="AH324" i="11"/>
  <c r="AH316" i="11"/>
  <c r="AH308" i="11"/>
  <c r="AH293" i="11"/>
  <c r="AH292" i="11"/>
  <c r="AH291" i="11"/>
  <c r="AH290" i="11"/>
  <c r="AH289" i="11"/>
  <c r="AH288" i="11"/>
  <c r="AH287" i="11"/>
  <c r="AH286" i="11"/>
  <c r="AH285" i="11"/>
  <c r="AH284" i="11"/>
  <c r="AH283" i="11"/>
  <c r="AH282" i="11"/>
  <c r="AH274" i="11"/>
  <c r="AH266" i="11"/>
  <c r="AH246" i="11"/>
  <c r="AH238" i="11"/>
  <c r="AH230" i="11"/>
  <c r="AH222" i="11"/>
  <c r="AH207" i="11"/>
  <c r="AH199" i="11"/>
  <c r="AH191" i="11"/>
  <c r="AH182" i="11"/>
  <c r="AH174" i="11"/>
  <c r="AH162" i="11"/>
  <c r="AH136" i="11"/>
  <c r="AH127" i="11"/>
  <c r="AH126" i="11"/>
  <c r="AH125" i="11"/>
  <c r="AH117" i="11"/>
  <c r="AH109" i="11"/>
  <c r="AH101" i="11"/>
  <c r="AH93" i="11"/>
  <c r="AH85" i="11"/>
  <c r="AH60" i="11"/>
  <c r="AH490" i="11"/>
  <c r="AH476" i="11"/>
  <c r="AH468" i="11"/>
  <c r="AH460" i="11"/>
  <c r="AH449" i="11"/>
  <c r="AH440" i="11"/>
  <c r="AH432" i="11"/>
  <c r="AH424" i="11"/>
  <c r="AH416" i="11"/>
  <c r="AH406" i="11"/>
  <c r="AH398" i="11"/>
  <c r="AH390" i="11"/>
  <c r="AH382" i="11"/>
  <c r="AH367" i="11"/>
  <c r="AH358" i="11"/>
  <c r="AH350" i="11"/>
  <c r="AH342" i="11"/>
  <c r="AH333" i="11"/>
  <c r="AH50" i="11"/>
  <c r="AH22" i="11"/>
  <c r="AH14" i="11"/>
  <c r="AH491" i="11"/>
  <c r="AH473" i="11"/>
  <c r="AH465" i="11"/>
  <c r="AH457" i="11"/>
  <c r="AH456" i="11"/>
  <c r="AH455" i="11"/>
  <c r="AH454" i="11"/>
  <c r="AH445" i="11"/>
  <c r="AH437" i="11"/>
  <c r="AH429" i="11"/>
  <c r="AH421" i="11"/>
  <c r="AH411" i="11"/>
  <c r="AH403" i="11"/>
  <c r="AH395" i="11"/>
  <c r="AH387" i="11"/>
  <c r="AH379" i="11"/>
  <c r="AH364" i="11"/>
  <c r="AH355" i="11"/>
  <c r="AH347" i="11"/>
  <c r="AH338" i="11"/>
  <c r="AH328" i="11"/>
  <c r="AH320" i="11"/>
  <c r="AH312" i="11"/>
  <c r="AH304" i="11"/>
  <c r="AH303" i="11"/>
  <c r="AH302" i="11"/>
  <c r="AH278" i="11"/>
  <c r="AH270" i="11"/>
  <c r="AH253" i="11"/>
  <c r="AH252" i="11"/>
  <c r="AH251" i="11"/>
  <c r="AH250" i="11"/>
  <c r="AH242" i="11"/>
  <c r="AH234" i="11"/>
  <c r="AH226" i="11"/>
  <c r="AH218" i="11"/>
  <c r="AH203" i="11"/>
  <c r="AH195" i="11"/>
  <c r="AH187" i="11"/>
  <c r="AH178" i="11"/>
  <c r="AH170" i="11"/>
  <c r="AH143" i="11"/>
  <c r="AH132" i="11"/>
  <c r="AH131" i="11"/>
  <c r="AH121" i="11"/>
  <c r="AH113" i="11"/>
  <c r="AH105" i="11"/>
  <c r="AH97" i="11"/>
  <c r="AH89" i="11"/>
  <c r="AH80" i="11"/>
  <c r="AH72" i="11"/>
  <c r="AH64" i="11"/>
  <c r="AH54" i="11"/>
  <c r="AH42" i="11"/>
  <c r="AH41" i="11"/>
  <c r="AH40" i="11"/>
  <c r="AH32" i="11"/>
  <c r="AH24" i="11"/>
  <c r="AH16" i="11"/>
  <c r="AH8" i="11"/>
  <c r="AH496" i="11"/>
  <c r="AH474" i="11"/>
  <c r="AH466" i="11"/>
  <c r="AH458" i="11"/>
  <c r="AH446" i="11"/>
  <c r="AH438" i="11"/>
  <c r="AH430" i="11"/>
  <c r="AH422" i="11"/>
  <c r="AH412" i="11"/>
  <c r="AH404" i="11"/>
  <c r="AH396" i="11"/>
  <c r="AH388" i="11"/>
  <c r="AH380" i="11"/>
  <c r="AH365" i="11"/>
  <c r="AH356" i="11"/>
  <c r="AH348" i="11"/>
  <c r="AH339" i="11"/>
  <c r="AH331" i="11"/>
  <c r="AH330" i="11"/>
  <c r="AH329" i="11"/>
  <c r="AH321" i="11"/>
  <c r="AH313" i="11"/>
  <c r="AH305" i="11"/>
  <c r="AH279" i="11"/>
  <c r="AH271" i="11"/>
  <c r="AH263" i="11"/>
  <c r="AH262" i="11"/>
  <c r="AH261" i="11"/>
  <c r="AH260" i="11"/>
  <c r="AH259" i="11"/>
  <c r="AH258" i="11"/>
  <c r="AH257" i="11"/>
  <c r="AH256" i="11"/>
  <c r="AH255" i="11"/>
  <c r="AH254" i="11"/>
  <c r="AH243" i="11"/>
  <c r="AH235" i="11"/>
  <c r="AH227" i="11"/>
  <c r="AH219" i="11"/>
  <c r="AH204" i="11"/>
  <c r="AH196" i="11"/>
  <c r="AH188" i="11"/>
  <c r="AH179" i="11"/>
  <c r="AH171" i="11"/>
  <c r="AH144" i="11"/>
  <c r="AH133" i="11"/>
  <c r="AH122" i="11"/>
  <c r="AH114" i="11"/>
  <c r="AH106" i="11"/>
  <c r="AH98" i="11"/>
  <c r="AH90" i="11"/>
  <c r="AH81" i="11"/>
  <c r="AH73" i="11"/>
  <c r="AH65" i="11"/>
  <c r="AH57" i="11"/>
  <c r="AH56" i="11"/>
  <c r="AH55" i="11"/>
  <c r="AH43" i="11"/>
  <c r="AH33" i="11"/>
  <c r="AH25" i="11"/>
  <c r="AH17" i="11"/>
  <c r="AH9" i="11"/>
  <c r="AH493" i="11"/>
  <c r="AH475" i="11"/>
  <c r="AH467" i="11"/>
  <c r="AH459" i="11"/>
  <c r="AH448" i="11"/>
  <c r="AH447" i="11"/>
  <c r="AH439" i="11"/>
  <c r="AH431" i="11"/>
  <c r="AH423" i="11"/>
  <c r="AH415" i="11"/>
  <c r="AH414" i="11"/>
  <c r="AH413" i="11"/>
  <c r="AH405" i="11"/>
  <c r="AH397" i="11"/>
  <c r="AH389" i="11"/>
  <c r="AH381" i="11"/>
  <c r="AH366" i="11"/>
  <c r="AH357" i="11"/>
  <c r="AH349" i="11"/>
  <c r="AH341" i="11"/>
  <c r="AH340" i="11"/>
  <c r="AH332" i="11"/>
  <c r="AH322" i="11"/>
  <c r="AH314" i="11"/>
  <c r="AH115" i="11"/>
  <c r="AH107" i="11"/>
  <c r="AH99" i="11"/>
  <c r="AH91" i="11"/>
  <c r="AH83" i="11"/>
  <c r="AH82" i="11"/>
  <c r="AH74" i="11"/>
  <c r="AH66" i="11"/>
  <c r="AH58" i="11"/>
  <c r="AH44" i="11"/>
  <c r="AH34" i="11"/>
  <c r="AH26" i="11"/>
  <c r="AH18" i="11"/>
  <c r="AH10" i="11"/>
  <c r="AH323" i="11"/>
  <c r="AH315" i="11"/>
  <c r="AH307" i="11"/>
  <c r="AH281" i="11"/>
  <c r="AH273" i="11"/>
  <c r="AH265" i="11"/>
  <c r="AH245" i="11"/>
  <c r="AH237" i="11"/>
  <c r="AH229" i="11"/>
  <c r="AH221" i="11"/>
  <c r="AH206" i="11"/>
  <c r="AH198" i="11"/>
  <c r="AH190" i="11"/>
  <c r="AH181" i="11"/>
  <c r="AH173" i="11"/>
  <c r="AH161" i="11"/>
  <c r="AH160" i="11"/>
  <c r="AH159" i="11"/>
  <c r="AH158" i="11"/>
  <c r="AH157" i="11"/>
  <c r="AH156" i="11"/>
  <c r="AH155" i="11"/>
  <c r="AH154" i="11"/>
  <c r="AH153" i="11"/>
  <c r="AH152" i="11"/>
  <c r="AH151" i="11"/>
  <c r="AH150" i="11"/>
  <c r="AH149" i="11"/>
  <c r="AH148" i="11"/>
  <c r="AH147" i="11"/>
  <c r="AH146" i="11"/>
  <c r="AH135" i="11"/>
  <c r="AH124" i="11"/>
  <c r="AH116" i="11"/>
  <c r="AH108" i="11"/>
  <c r="AH100" i="11"/>
  <c r="AH92" i="11"/>
  <c r="AH84" i="11"/>
  <c r="AH75" i="11"/>
  <c r="AH67" i="11"/>
  <c r="AH59" i="11"/>
  <c r="AH45" i="11"/>
  <c r="AH35" i="11"/>
  <c r="AH27" i="11"/>
  <c r="AH19" i="11"/>
  <c r="AH11" i="11"/>
  <c r="AH76" i="11"/>
  <c r="AH68" i="11"/>
  <c r="AH46" i="11"/>
  <c r="AH36" i="11"/>
  <c r="AH28" i="11"/>
  <c r="AH20" i="11"/>
  <c r="AH12" i="11"/>
  <c r="AH492" i="11"/>
  <c r="AH478" i="11"/>
  <c r="AH470" i="11"/>
  <c r="AH462" i="11"/>
  <c r="AH451" i="11"/>
  <c r="AH442" i="11"/>
  <c r="AH434" i="11"/>
  <c r="AH426" i="11"/>
  <c r="AH418" i="11"/>
  <c r="AH408" i="11"/>
  <c r="AH400" i="11"/>
  <c r="AH392" i="11"/>
  <c r="AH384" i="11"/>
  <c r="AH369" i="11"/>
  <c r="AH361" i="11"/>
  <c r="AH360" i="11"/>
  <c r="AH352" i="11"/>
  <c r="AH344" i="11"/>
  <c r="AH335" i="11"/>
  <c r="AH325" i="11"/>
  <c r="AH317" i="11"/>
  <c r="AH309" i="11"/>
  <c r="AH294" i="11"/>
  <c r="AH275" i="11"/>
  <c r="AH267" i="11"/>
  <c r="AH247" i="11"/>
  <c r="AH239" i="11"/>
  <c r="AH231" i="11"/>
  <c r="AH223" i="11"/>
  <c r="AH208" i="11"/>
  <c r="AH200" i="11"/>
  <c r="AH192" i="11"/>
  <c r="AH183" i="11"/>
  <c r="AH175" i="11"/>
  <c r="AH163" i="11"/>
  <c r="AH137" i="11"/>
  <c r="AH128" i="11"/>
  <c r="AH118" i="11"/>
  <c r="AH110" i="11"/>
  <c r="AH102" i="11"/>
  <c r="AH94" i="11"/>
  <c r="AH86" i="11"/>
  <c r="AH77" i="11"/>
  <c r="AH69" i="11"/>
  <c r="AH61" i="11"/>
  <c r="AH48" i="11"/>
  <c r="AH47" i="11"/>
  <c r="AH37" i="11"/>
  <c r="AH29" i="11"/>
  <c r="AH21" i="11"/>
  <c r="AH13" i="11"/>
  <c r="AH497" i="11"/>
  <c r="AH489" i="11"/>
  <c r="AH488" i="11"/>
  <c r="AH487" i="11"/>
  <c r="AH486" i="11"/>
  <c r="AH485" i="11"/>
  <c r="AH484" i="11"/>
  <c r="AH483" i="11"/>
  <c r="AH482" i="11"/>
  <c r="AH481" i="11"/>
  <c r="AH480" i="11"/>
  <c r="AH479" i="11"/>
  <c r="AH471" i="11"/>
  <c r="AH463" i="11"/>
  <c r="AH452" i="11"/>
  <c r="AH443" i="11"/>
  <c r="AH435" i="11"/>
  <c r="AH427" i="11"/>
  <c r="AH419" i="11"/>
  <c r="AH409" i="11"/>
  <c r="AH401" i="11"/>
  <c r="AH393" i="11"/>
  <c r="AH385" i="11"/>
  <c r="AH377" i="11"/>
  <c r="AH376" i="11"/>
  <c r="AH375" i="11"/>
  <c r="AH374" i="11"/>
  <c r="AH373" i="11"/>
  <c r="AH372" i="11"/>
  <c r="AH371" i="11"/>
  <c r="AH370" i="11"/>
  <c r="AH362" i="11"/>
  <c r="AH353" i="11"/>
  <c r="AH345" i="11"/>
  <c r="AH336" i="11"/>
  <c r="AH326" i="11"/>
  <c r="AH318" i="11"/>
  <c r="AH310" i="11"/>
  <c r="AH300" i="11"/>
  <c r="AH299" i="11"/>
  <c r="AH298" i="11"/>
  <c r="AH297" i="11"/>
  <c r="AH296" i="11"/>
  <c r="AH295" i="11"/>
  <c r="AH276" i="11"/>
  <c r="AH268" i="11"/>
  <c r="AH248" i="11"/>
  <c r="AH240" i="11"/>
  <c r="AH232" i="11"/>
  <c r="AH224" i="11"/>
  <c r="AH209" i="11"/>
  <c r="AH201" i="11"/>
  <c r="AH193" i="11"/>
  <c r="AH184" i="11"/>
  <c r="AH176" i="11"/>
  <c r="AH168" i="11"/>
  <c r="AH167" i="11"/>
  <c r="AH166" i="11"/>
  <c r="AH165" i="11"/>
  <c r="AH164" i="11"/>
  <c r="AH140" i="11"/>
  <c r="AH139" i="11"/>
  <c r="AH138" i="11"/>
  <c r="AH129" i="11"/>
  <c r="AH119" i="11"/>
  <c r="AH111" i="11"/>
  <c r="AH103" i="11"/>
  <c r="AH95" i="11"/>
  <c r="AH87" i="11"/>
  <c r="AH78" i="11"/>
  <c r="AH70" i="11"/>
  <c r="AH62" i="11"/>
  <c r="AH49" i="11"/>
  <c r="AH38" i="11"/>
  <c r="AH30" i="11"/>
  <c r="P11" i="15"/>
  <c r="P38" i="15"/>
  <c r="P19" i="15"/>
  <c r="P7" i="15"/>
  <c r="G3" i="1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H21" i="7"/>
  <c r="AH37" i="7"/>
  <c r="AH20" i="7"/>
  <c r="AH11" i="7"/>
  <c r="AT7" i="8"/>
  <c r="K18" i="2"/>
  <c r="D14" i="2"/>
  <c r="D20" i="2" s="1"/>
  <c r="A5" i="11"/>
  <c r="A4" i="11" s="1"/>
  <c r="X90" i="11"/>
  <c r="AK76" i="9" s="1"/>
  <c r="V4" i="11"/>
  <c r="J4" i="11"/>
  <c r="W4" i="11"/>
  <c r="N4" i="11"/>
  <c r="M4" i="11"/>
  <c r="F8" i="2"/>
  <c r="S7" i="15" l="1"/>
  <c r="R4" i="15"/>
  <c r="AR6" i="8"/>
  <c r="E15" i="2"/>
  <c r="K15" i="2" s="1"/>
  <c r="E19" i="2"/>
  <c r="K19" i="2" s="1"/>
  <c r="I6" i="2"/>
  <c r="F6" i="2"/>
  <c r="E14" i="2"/>
  <c r="X4" i="11"/>
  <c r="E20" i="2" l="1"/>
  <c r="H6" i="2"/>
  <c r="K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Thị Thùy Linh (Canal Plus)</author>
    <author>Tran Thi Phuong Linh</author>
    <author>Tran Nam</author>
    <author>Nguyen Thi Thuy Linh</author>
    <author>tc={E1E50BD5-DE6B-4166-99F8-A846477C6FAC}</author>
    <author>tc={66C52C94-AA8C-4147-94ED-89285B679099}</author>
    <author>tc={2C276946-9BDF-4E91-AE14-65BCCEAD9025}</author>
    <author>tc={A3BE5C38-2E18-4E79-8EF9-AC14888AAF4B}</author>
    <author>tc={290AF526-1814-4F5F-A42C-2DD49FF89B26}</author>
    <author>tc={C28B10FB-3218-4956-9C8F-FA2976DFC969}</author>
    <author>tc={3BAC4C20-2EF0-4A8B-B6EE-B9070B248100}</author>
    <author>tc={74485EFB-1307-4ABE-9D39-EE4DF0D17CB1}</author>
    <author>tc={2BBE5A8B-58DA-41CD-A594-8FD566C1C6BA}</author>
    <author>tc={C40A5A9D-325A-40C8-9189-C45AD987F1E5}</author>
    <author>tc={E1C9CDC7-ABDB-4DB0-83E6-934FE5D6E990}</author>
    <author>bnquynh</author>
    <author>tnam</author>
    <author>tc={D95D6430-70E8-48EA-8301-58D2CE6CDE46}</author>
    <author>tc={B45F6615-F076-4107-8EB7-0B132D0B9963}</author>
    <author>tc={EEF5A95F-DE18-4C16-9491-F412BF200E4D}</author>
    <author>tc={8033A9DF-D16A-4232-9559-C7EDF9DBB464}</author>
    <author>Admin</author>
    <author>tc={3B6EF28D-AB00-4153-9DBA-55AF329F6640}</author>
    <author>tc={6881A7D1-3015-4E77-847C-DD6B52191B50}</author>
    <author>tc={C7209036-9F3F-4485-A5EB-5E3E717A4BE6}</author>
    <author>tc={6A965B1C-F0E3-409F-9B24-BA89C7FDD8D7}</author>
    <author>Vu Thuy Trang</author>
    <author>nttlinh</author>
    <author>tc={FB7E1E64-470F-439D-A759-C6B769398450}</author>
    <author>tc={D891B22C-A363-4769-9417-9466A02A3C55}</author>
    <author>tc={D479C6FC-3952-4056-AA51-7DA9BC1C3B9C}</author>
    <author>tc={A1D6193A-5FDB-467A-B223-BCD729ED2B1D}</author>
    <author>dthung</author>
    <author>Tran Thi Minh Thuy</author>
  </authors>
  <commentList>
    <comment ref="AB7" authorId="0" shapeId="0" xr:uid="{2E670A0D-A9EB-4612-80C1-685A3D5073C4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8" authorId="1" shapeId="0" xr:uid="{95EEA80F-5370-4555-A284-30AAF5F8B0D4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9" authorId="1" shapeId="0" xr:uid="{193C8C06-96E5-4F93-9F16-A55105F5B3E3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0" authorId="1" shapeId="0" xr:uid="{64FA917A-0BAA-481E-B9B5-616E9D06FEBD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1" authorId="1" shapeId="0" xr:uid="{AE855174-5229-44EE-A921-C910244A9D5B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B12" authorId="2" shapeId="0" xr:uid="{0F695350-3A88-4F9F-93C0-DF7128A04E37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T16 chủ đề nội dung</t>
        </r>
      </text>
    </comment>
    <comment ref="AB12" authorId="0" shapeId="0" xr:uid="{50EC0050-F124-4C5C-A3D8-C42F87E4175E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3" authorId="1" shapeId="0" xr:uid="{EEC1B060-A2ED-42FA-ADE3-6CC53CAD88C9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4" authorId="1" shapeId="0" xr:uid="{839EAC16-167F-4A4F-B11D-FD2B624A6D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6" authorId="1" shapeId="0" xr:uid="{FE6FFBE6-2381-46E9-A561-D07A24D22F93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8" authorId="3" shapeId="0" xr:uid="{4A81B54E-6BB7-4909-8763-96ABD8E11323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9" authorId="4" shapeId="0" xr:uid="{E1E50BD5-DE6B-4166-99F8-A846477C6FAC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B22" authorId="2" shapeId="0" xr:uid="{503C2A91-C545-4A39-82DB-DC67613327F4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16 CĐ ND</t>
        </r>
      </text>
    </comment>
    <comment ref="AB23" authorId="5" shapeId="0" xr:uid="{66C52C94-AA8C-4147-94ED-89285B67909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24" authorId="6" shapeId="0" xr:uid="{2C276946-9BDF-4E91-AE14-65BCCEAD902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27" authorId="1" shapeId="0" xr:uid="{2848D4C7-7D28-4651-9E9F-E5D6140533AC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30" authorId="3" shapeId="0" xr:uid="{4C2826BF-1634-433D-A0C9-9A0955DA0859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31" authorId="1" shapeId="0" xr:uid="{7D4BC686-DEF8-4E38-B290-10EFE53CDD05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32" authorId="3" shapeId="0" xr:uid="{1F25EC63-382C-4C1F-9894-BF3D7AF99FD9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33" authorId="3" shapeId="0" xr:uid="{5239E99B-FBCF-429F-B024-C8EA87621521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34" authorId="3" shapeId="0" xr:uid="{51E6776C-DDE5-49E4-A9FB-C4804D3AE44C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35" authorId="3" shapeId="0" xr:uid="{05338A72-62A6-44D5-9632-6B74A93A824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39" authorId="1" shapeId="0" xr:uid="{3351D017-9ACB-49DF-A899-8F972DF69256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AB40" authorId="1" shapeId="0" xr:uid="{4BF91F75-236E-426F-A9A8-EF7C35D6C343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41" authorId="7" shapeId="0" xr:uid="{A3BE5C38-2E18-4E79-8EF9-AC14888AAF4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43" authorId="0" shapeId="0" xr:uid="{315E5B00-6424-4BC2-870E-79ABA25465E2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44" authorId="3" shapeId="0" xr:uid="{37B66827-2B1A-4149-9331-6BD865A279F2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45" authorId="1" shapeId="0" xr:uid="{142CEBF3-A71B-429B-9D69-28BE84B362B7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47" authorId="1" shapeId="0" xr:uid="{1103E199-CFD8-4625-85F9-39FCD636DB6A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49" authorId="3" shapeId="0" xr:uid="{80705052-B3F7-4678-95C4-2B9F7E13BC59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50" authorId="3" shapeId="0" xr:uid="{51FBA47A-E5DE-4FC3-ADDE-6547AE1E98C9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51" authorId="3" shapeId="0" xr:uid="{067021C1-B08E-43B3-A2A1-3A84E1BD9A5D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52" authorId="8" shapeId="0" xr:uid="{290AF526-1814-4F5F-A42C-2DD49FF89B2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56" authorId="9" shapeId="0" xr:uid="{C28B10FB-3218-4956-9C8F-FA2976DFC969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58" authorId="0" shapeId="0" xr:uid="{72872B85-8948-42D7-B448-69C7C5E9D913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B59" authorId="10" shapeId="0" xr:uid="{3BAC4C20-2EF0-4A8B-B6EE-B9070B2481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Phân loại G-All ages trên Mydramalist</t>
        </r>
      </text>
    </comment>
    <comment ref="AB59" authorId="11" shapeId="0" xr:uid="{74485EFB-1307-4ABE-9D39-EE4DF0D17CB1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60" authorId="0" shapeId="0" xr:uid="{84125CCE-C66F-4146-9EB2-80302678A66A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61" authorId="3" shapeId="0" xr:uid="{CC47548B-A840-45DE-994F-CAF2BD738229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63" authorId="3" shapeId="0" xr:uid="{0D10732E-4739-427F-9C41-C622F0C3C72F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65" authorId="0" shapeId="0" xr:uid="{1AD938B6-2CAF-4BD2-B96A-68A68F6B33EE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66" authorId="0" shapeId="0" xr:uid="{871F7395-49E7-43B4-86FC-333A480F1D4F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67" authorId="3" shapeId="0" xr:uid="{6A2A0EF0-D25B-4B1E-A1BD-94E6F3BF24E6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68" authorId="0" shapeId="0" xr:uid="{B25099E4-A955-4889-B8F9-CB7A15683E26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69" authorId="3" shapeId="0" xr:uid="{BF5F77B1-D845-462A-811B-735D1A472BC5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70" authorId="0" shapeId="0" xr:uid="{9DAA0E21-D03C-432D-9452-8C6A9B102636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73" authorId="12" shapeId="0" xr:uid="{2BBE5A8B-58DA-41CD-A594-8FD566C1C6B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74" authorId="3" shapeId="0" xr:uid="{0E84372D-DE44-42E5-B642-02856D934D1F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75" authorId="3" shapeId="0" xr:uid="{9158A40B-90B7-492B-A41C-D69079AF34F9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77" authorId="0" shapeId="0" xr:uid="{ECEBECE4-2665-4540-901F-7675A6710891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78" authorId="1" shapeId="0" xr:uid="{95D4714E-D548-419A-B775-7ED530F9DD43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79" authorId="0" shapeId="0" xr:uid="{1B56AB6F-0C13-4276-8380-0A5594CA89EC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81" authorId="3" shapeId="0" xr:uid="{3188E42D-0372-4D51-BF67-32E17803178F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82" authorId="3" shapeId="0" xr:uid="{AEC8509F-AAAA-4213-BC82-3131D708293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84" authorId="1" shapeId="0" xr:uid="{44D6973B-F11D-406B-959F-717F9F2D7555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AB86" authorId="0" shapeId="0" xr:uid="{2F822D09-1BDD-4D8C-A6C1-008844707F76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87" authorId="13" shapeId="0" xr:uid="{C40A5A9D-325A-40C8-9189-C45AD987F1E5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89" authorId="0" shapeId="0" xr:uid="{8C28FF84-F88C-4716-850F-C11C8F6A43D8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N91" authorId="2" shapeId="0" xr:uid="{99B4B507-48F0-4ECF-86D9-389F090BFCB0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phim này đã renew</t>
        </r>
      </text>
    </comment>
    <comment ref="AB92" authorId="14" shapeId="0" xr:uid="{E1C9CDC7-ABDB-4DB0-83E6-934FE5D6E99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93" authorId="3" shapeId="0" xr:uid="{023842F6-6B91-498B-8B9B-19EE5C231FBA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94" authorId="3" shapeId="0" xr:uid="{DE60AF24-11B7-4F4C-9F8B-1A2C2731359B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95" authorId="0" shapeId="0" xr:uid="{0E39A06F-6A45-467F-8433-AC74ECAF0BD2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97" authorId="3" shapeId="0" xr:uid="{3E5BE1AB-BDAB-4779-9F1E-71D3B82AF12B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98" authorId="0" shapeId="0" xr:uid="{8373B5C2-7AC6-4190-AA93-CD6643E5913D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99" authorId="15" shapeId="0" xr:uid="{94A6DA04-8F63-4023-A29A-929054717B10}">
      <text>
        <r>
          <rPr>
            <b/>
            <sz val="9"/>
            <color indexed="81"/>
            <rFont val="Tahoma"/>
            <family val="2"/>
          </rPr>
          <t>bnquynh:</t>
        </r>
        <r>
          <rPr>
            <sz val="9"/>
            <color indexed="81"/>
            <rFont val="Tahoma"/>
            <family val="2"/>
          </rPr>
          <t xml:space="preserve">
6 lần ps 1 năm trong đó mỗi lần ps bao gồm 1 lần phát đầu tiên và 5 lần phát lại trong vòng 1 tuần</t>
        </r>
      </text>
    </comment>
    <comment ref="AC99" authorId="16" shapeId="0" xr:uid="{6B451D07-716A-4081-9C14-A5849ED04A3C}">
      <text>
        <r>
          <rPr>
            <b/>
            <sz val="9"/>
            <color indexed="81"/>
            <rFont val="Tahoma"/>
            <family val="2"/>
          </rPr>
          <t>tnam:</t>
        </r>
        <r>
          <rPr>
            <sz val="9"/>
            <color indexed="81"/>
            <rFont val="Tahoma"/>
            <family val="2"/>
          </rPr>
          <t xml:space="preserve">
tính vòng mới 05/06/18</t>
        </r>
      </text>
    </comment>
    <comment ref="AB100" authorId="1" shapeId="0" xr:uid="{B1A5B1C9-0686-42C2-9CE3-7B8AD005A11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01" authorId="1" shapeId="0" xr:uid="{4401EC4F-28DC-4B75-A304-8F1D70651FB7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02" authorId="17" shapeId="0" xr:uid="{D95D6430-70E8-48EA-8301-58D2CE6CDE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103" authorId="18" shapeId="0" xr:uid="{B45F6615-F076-4107-8EB7-0B132D0B99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104" authorId="0" shapeId="0" xr:uid="{6D4EAF5A-53D0-4D0D-BF21-5523F262AFD3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05" authorId="0" shapeId="0" xr:uid="{46F88814-3B52-4120-88B3-AACD7409FE3E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06" authorId="0" shapeId="0" xr:uid="{CF55F1C9-097C-4EE3-B58C-C0FF48E58264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107" authorId="3" shapeId="0" xr:uid="{BEFCEE23-A433-4A84-90AB-3B1323400D1D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08" authorId="3" shapeId="0" xr:uid="{985F38A9-89E4-4882-989C-68FD22C5351F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09" authorId="0" shapeId="0" xr:uid="{035FC0FF-FE9B-4648-8995-8FD5F3A343B1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11" authorId="19" shapeId="0" xr:uid="{EEF5A95F-DE18-4C16-9491-F412BF200E4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112" authorId="1" shapeId="0" xr:uid="{1DD46A8F-4CEB-4494-8DEE-6E50C382E16C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14" authorId="0" shapeId="0" xr:uid="{5E831B4F-FC57-4C83-814C-130CD5B1C051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16" authorId="3" shapeId="0" xr:uid="{A75D666B-8EAA-4395-9156-35E63BBF6C36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17" authorId="20" shapeId="0" xr:uid="{8033A9DF-D16A-4232-9559-C7EDF9DBB46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118" authorId="3" shapeId="0" xr:uid="{0BC16EEB-18C5-4BB5-9189-810C932526D5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120" authorId="0" shapeId="0" xr:uid="{B142013E-8DA6-44CC-8EE9-937F28ED864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21" authorId="0" shapeId="0" xr:uid="{6BB94DC9-FC79-4198-8EFB-A2E10C7D7A34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D122" authorId="21" shapeId="0" xr:uid="{2196765A-5CCB-4D3B-A878-D523B06351C7}">
      <text>
        <r>
          <rPr>
            <b/>
            <sz val="9"/>
            <color indexed="81"/>
            <rFont val="Tahoma"/>
            <family val="2"/>
          </rPr>
          <t>Nam:</t>
        </r>
        <r>
          <rPr>
            <sz val="9"/>
            <color indexed="81"/>
            <rFont val="Tahoma"/>
            <family val="2"/>
          </rPr>
          <t xml:space="preserve">
THE SEASON OF LOVE SONG</t>
        </r>
      </text>
    </comment>
    <comment ref="N122" authorId="2" shapeId="0" xr:uid="{7624DF1B-1F45-4037-8997-615D8D93B43E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phim này đã renew</t>
        </r>
      </text>
    </comment>
    <comment ref="AB123" authorId="0" shapeId="0" xr:uid="{E18E73A5-4D1D-4EA0-935D-5F75C18452BA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24" authorId="0" shapeId="0" xr:uid="{225C2CF4-9294-4AC9-A858-586FD8EF7FD5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26" authorId="3" shapeId="0" xr:uid="{891F1A7A-0D41-4E98-A830-22D60F6766A3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29" authorId="0" shapeId="0" xr:uid="{17A44E8D-58C4-442D-BC21-D334C82D814A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31" authorId="3" shapeId="0" xr:uid="{8D2D2176-DD1A-48F6-B07B-272264CECB71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32" authorId="22" shapeId="0" xr:uid="{3B6EF28D-AB00-4153-9DBA-55AF329F664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136" authorId="3" shapeId="0" xr:uid="{F1B5721C-3FCB-4759-B262-1BDFF2219E47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B137" authorId="2" shapeId="0" xr:uid="{F4052BB8-E9D8-492D-8C93-DE9E522C452C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K chủ đề nội dung</t>
        </r>
      </text>
    </comment>
    <comment ref="AB137" authorId="0" shapeId="0" xr:uid="{99155BF4-E861-43B1-AACD-16B3E87C34AA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38" authorId="23" shapeId="0" xr:uid="{6881A7D1-3015-4E77-847C-DD6B52191B5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139" authorId="0" shapeId="0" xr:uid="{A50EDA21-4BC4-4EB0-AEB0-8B8A481D1CCC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40" authorId="0" shapeId="0" xr:uid="{60152972-7643-49A9-8CE5-6787A12FFF97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41" authorId="0" shapeId="0" xr:uid="{24BFF9C4-342D-423D-BEE7-E5CEF5F23CC8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43" authorId="1" shapeId="0" xr:uid="{F5E40395-A5E0-4CE0-B39B-A57455F35DCA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44" authorId="3" shapeId="0" xr:uid="{5D67BE9E-4E09-44A0-91A7-59F796E20905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147" authorId="0" shapeId="0" xr:uid="{EB2B6BD6-B094-4240-8152-3E85155EC1AC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48" authorId="1" shapeId="0" xr:uid="{7056D27F-D7C8-4D4C-AFC4-11EC8D374FE2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50" authorId="3" shapeId="0" xr:uid="{6F9B2904-3EBA-407D-B511-88944AE1B3AA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51" authorId="0" shapeId="0" xr:uid="{8DCC508C-1E07-4FF3-8F0B-9BBDFEACFA65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55" authorId="3" shapeId="0" xr:uid="{DEEBBF7A-6050-434C-989D-1F4CCB9D42D6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56" authorId="0" shapeId="0" xr:uid="{1E922C07-53C7-4616-9A48-CD7DCAE4844A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57" authorId="3" shapeId="0" xr:uid="{CA77558A-3A7C-4A39-83FE-B163F8E8EB86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B158" authorId="2" shapeId="0" xr:uid="{4DCBAAA0-1F27-4AD7-BA7D-9028A43B7166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T16 chủ đề nội dung</t>
        </r>
      </text>
    </comment>
    <comment ref="AB158" authorId="0" shapeId="0" xr:uid="{F2F406AB-7205-434B-B66C-70170369672F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59" authorId="0" shapeId="0" xr:uid="{9B1969B1-9B99-40CA-8B97-024B0683A1EB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60" authorId="3" shapeId="0" xr:uid="{D42091C7-48EF-43A8-AE82-5A81BBE5793B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61" authorId="3" shapeId="0" xr:uid="{479271C2-58E9-4993-9CB7-DFABF7FE2DD8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63" authorId="0" shapeId="0" xr:uid="{950A97CA-064F-49A1-95A5-52BE3BE02B7F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164" authorId="24" shapeId="0" xr:uid="{C7209036-9F3F-4485-A5EB-5E3E717A4BE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166" authorId="3" shapeId="0" xr:uid="{DB55FDF5-1CA4-4FA3-BA86-1822C2B0C33C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67" authorId="0" shapeId="0" xr:uid="{FD49D2B5-C216-4865-B46E-70C51F3648BE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70" authorId="0" shapeId="0" xr:uid="{05209950-2CEA-46B5-AC35-3B9FF24FCA8A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72" authorId="3" shapeId="0" xr:uid="{124D1A42-2045-468C-9551-F4F797C38F76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73" authorId="3" shapeId="0" xr:uid="{3191302A-3C8A-45E4-BEDA-B62154C9923D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75" authorId="0" shapeId="0" xr:uid="{81AEAAEC-904C-46C5-85B4-57FF6FE89EA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P176" authorId="0" shapeId="0" xr:uid="{96A44663-A210-4394-AE93-7347EC636C49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178" authorId="0" shapeId="0" xr:uid="{B2EC2EAA-37EF-4F99-9AA1-B286B0B2378A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79" authorId="0" shapeId="0" xr:uid="{55442C08-5095-44A7-951A-28B9DD881F0B}">
      <text>
        <r>
          <rPr>
            <sz val="11"/>
            <color theme="1"/>
            <rFont val="Calibri"/>
            <family val="2"/>
            <scheme val="minor"/>
          </rPr>
          <t>an aggregate maximum of six (6) Exhibition Days for TV rights/Unlimited run for SVOD right during LP</t>
        </r>
      </text>
    </comment>
    <comment ref="AB180" authorId="0" shapeId="0" xr:uid="{7FC41C9D-CCCF-4068-9572-FE2FBB028572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82" authorId="3" shapeId="0" xr:uid="{A2DB42D4-5B5F-4028-ADF7-259D01BD0171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184" authorId="3" shapeId="0" xr:uid="{514058B7-9FE0-4408-86C1-90DD08BACFA7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86" authorId="25" shapeId="0" xr:uid="{6A965B1C-F0E3-409F-9B24-BA89C7FDD8D7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188" authorId="0" shapeId="0" xr:uid="{475E8E0E-E3B8-426E-A9C5-9C3AB14BE868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89" authorId="0" shapeId="0" xr:uid="{420F986B-4E29-4B0B-8788-69607D96458B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90" authorId="0" shapeId="0" xr:uid="{B6078C98-C9C3-4241-80F6-10FB9480DD4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91" authorId="1" shapeId="0" xr:uid="{C160A907-096F-498B-A1C2-6F4995DB5B14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E192" authorId="26" shapeId="0" xr:uid="{4362BFB9-CB12-426B-AC02-182A951973C5}">
      <text>
        <r>
          <rPr>
            <b/>
            <sz val="9"/>
            <color indexed="81"/>
            <rFont val="Tahoma"/>
            <family val="2"/>
          </rPr>
          <t>Vu Thuy Trang:</t>
        </r>
        <r>
          <rPr>
            <sz val="9"/>
            <color indexed="81"/>
            <rFont val="Tahoma"/>
            <family val="2"/>
          </rPr>
          <t xml:space="preserve">
Phim hợp tác đầu tư</t>
        </r>
      </text>
    </comment>
    <comment ref="AB192" authorId="27" shapeId="0" xr:uid="{891B8751-5708-4A49-A4D3-AA8B2202BC64}">
      <text>
        <r>
          <rPr>
            <b/>
            <sz val="9"/>
            <color indexed="81"/>
            <rFont val="Tahoma"/>
            <family val="2"/>
          </rPr>
          <t>nttlinh:</t>
        </r>
        <r>
          <rPr>
            <sz val="9"/>
            <color indexed="81"/>
            <rFont val="Tahoma"/>
            <family val="2"/>
          </rPr>
          <t xml:space="preserve">
30/năm</t>
        </r>
      </text>
    </comment>
    <comment ref="AB193" authorId="0" shapeId="0" xr:uid="{99DF699B-CFFB-44AD-B8AE-6A9B6220491C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P194" authorId="0" shapeId="0" xr:uid="{F200F2DA-0F1F-4006-8BFB-B0AF03898E0D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B195" authorId="2" shapeId="0" xr:uid="{47DF22A6-CA61-4823-8224-632258334ACA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T13 chủ đề nội dung</t>
        </r>
      </text>
    </comment>
    <comment ref="AB195" authorId="0" shapeId="0" xr:uid="{845603CB-3A49-42C8-9621-45982EC3867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96" authorId="0" shapeId="0" xr:uid="{A1E67C7E-83D4-4987-8EBB-D3F17CD0D396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97" authorId="28" shapeId="0" xr:uid="{FB7E1E64-470F-439D-A759-C6B76939845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198" authorId="3" shapeId="0" xr:uid="{6A503A35-4621-4B05-8C61-897964CD8B56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99" authorId="29" shapeId="0" xr:uid="{D891B22C-A363-4769-9417-9466A02A3C5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30 runs/year</t>
        </r>
      </text>
    </comment>
    <comment ref="B200" authorId="2" shapeId="0" xr:uid="{77E832E7-CA5E-49EC-9CC8-F0C5E890B889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Yolo: T16, Chủ đề, nội dung</t>
        </r>
      </text>
    </comment>
    <comment ref="AB200" authorId="0" shapeId="0" xr:uid="{80209E90-3E86-4ECA-941C-87DDEA832CB5}">
      <text>
        <r>
          <rPr>
            <sz val="11"/>
            <color theme="1"/>
            <rFont val="Calibri"/>
            <family val="2"/>
            <scheme val="minor"/>
          </rPr>
          <t>an aggregate maximum of six (6) Exhibition Days for TV rights/Unlimited run for SVOD right during LP</t>
        </r>
      </text>
    </comment>
    <comment ref="AB201" authorId="3" shapeId="0" xr:uid="{2CF2B7C2-B9CC-4371-9C2C-2EA1E3BA38C4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02" authorId="3" shapeId="0" xr:uid="{9F203796-A8B8-4754-8E97-65E58BF46469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03" authorId="30" shapeId="0" xr:uid="{D479C6FC-3952-4056-AA51-7DA9BC1C3B9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205" authorId="0" shapeId="0" xr:uid="{BA2639E0-B833-4DBF-BD00-8EC33E98FE5D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06" authorId="0" shapeId="0" xr:uid="{C4CB8590-FF7C-46F7-AB5F-D17A4E7164C9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N208" authorId="2" shapeId="0" xr:uid="{AA416613-C3AC-449D-89D9-ACAE990E6BED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phim này đã renew</t>
        </r>
      </text>
    </comment>
    <comment ref="AB209" authorId="3" shapeId="0" xr:uid="{EFD29FFD-7DA5-4810-A321-059542A378EB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10" authorId="31" shapeId="0" xr:uid="{A1D6193A-5FDB-467A-B223-BCD729ED2B1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213" authorId="1" shapeId="0" xr:uid="{FF5D2A72-27FE-40CB-B056-B21004140A60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AB215" authorId="15" shapeId="0" xr:uid="{74B8CC2F-EF9C-4BBE-8585-62F7A4A345EB}">
      <text>
        <r>
          <rPr>
            <b/>
            <sz val="9"/>
            <color indexed="81"/>
            <rFont val="Tahoma"/>
            <family val="2"/>
          </rPr>
          <t>bnquynh:</t>
        </r>
        <r>
          <rPr>
            <sz val="9"/>
            <color indexed="81"/>
            <rFont val="Tahoma"/>
            <family val="2"/>
          </rPr>
          <t xml:space="preserve">
6 lần ps 1 năm trong đó mỗi lần ps bao gồm 1 lần phát đầu tiên và 5 lần phát lại trong vòng 1 tuần</t>
        </r>
      </text>
    </comment>
    <comment ref="AC215" authorId="32" shapeId="0" xr:uid="{7CFEF32B-4684-4F19-9530-21FF01AF7ACA}">
      <text>
        <r>
          <rPr>
            <b/>
            <sz val="9"/>
            <color indexed="81"/>
            <rFont val="Tahoma"/>
            <family val="2"/>
          </rPr>
          <t>dthung:
không tính 1 lần phát vào 14,15,16,17,20/10
Nam: tính vòng mới 18/05/18</t>
        </r>
      </text>
    </comment>
    <comment ref="N216" authorId="2" shapeId="0" xr:uid="{35BE4F40-13CD-4B1E-AB44-68F7059038C6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phim này đã renew</t>
        </r>
      </text>
    </comment>
    <comment ref="AB217" authorId="3" shapeId="0" xr:uid="{28B3C329-1D47-47BB-AE22-461C2A67148F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18" authorId="0" shapeId="0" xr:uid="{AC102CB9-6467-47FB-8F29-3B7958DE2B7C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D219" authorId="33" shapeId="0" xr:uid="{B514C067-FF23-4534-B713-9EFA3FACD0F7}">
      <text>
        <r>
          <rPr>
            <b/>
            <sz val="9"/>
            <color indexed="81"/>
            <rFont val="Tahoma"/>
            <family val="2"/>
          </rPr>
          <t>Tran Thi Minh Thuy:</t>
        </r>
        <r>
          <rPr>
            <sz val="9"/>
            <color indexed="81"/>
            <rFont val="Tahoma"/>
            <family val="2"/>
          </rPr>
          <t xml:space="preserve">
Phân bổ tới T9/25</t>
        </r>
      </text>
    </comment>
    <comment ref="AB220" authorId="3" shapeId="0" xr:uid="{B1E2A11C-0903-4086-B311-37C790619ACC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21" authorId="3" shapeId="0" xr:uid="{4FA3656A-D1C9-4BDB-BE07-987F64C8F58A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22" authorId="0" shapeId="0" xr:uid="{A4FD1623-49CA-4E43-96F2-81F96EB9973D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23" authorId="3" shapeId="0" xr:uid="{414D4DEE-BAF3-4C31-AE27-7799407BA2BE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24" authorId="15" shapeId="0" xr:uid="{942E50F1-748A-4F5D-8AE3-082982BB174C}">
      <text>
        <r>
          <rPr>
            <b/>
            <sz val="9"/>
            <color indexed="81"/>
            <rFont val="Tahoma"/>
            <family val="2"/>
          </rPr>
          <t>bnquynh:</t>
        </r>
        <r>
          <rPr>
            <sz val="9"/>
            <color indexed="81"/>
            <rFont val="Tahoma"/>
            <family val="2"/>
          </rPr>
          <t xml:space="preserve">
6 lần ps 1 năm trong đó mỗi lần ps bao gồm 1 lần phát đầu tiên và 5 lần phát lại trong vòng 1 tuần</t>
        </r>
      </text>
    </comment>
    <comment ref="AC224" authorId="16" shapeId="0" xr:uid="{ED500911-1551-4534-8A1A-BB993B6930F4}">
      <text>
        <r>
          <rPr>
            <b/>
            <sz val="9"/>
            <color indexed="81"/>
            <rFont val="Tahoma"/>
            <family val="2"/>
          </rPr>
          <t>tnam:</t>
        </r>
        <r>
          <rPr>
            <sz val="9"/>
            <color indexed="81"/>
            <rFont val="Tahoma"/>
            <family val="2"/>
          </rPr>
          <t xml:space="preserve">
đếm vòng mới từ 27/5/17
27/05/18
27/05/19</t>
        </r>
      </text>
    </comment>
    <comment ref="AB225" authorId="3" shapeId="0" xr:uid="{F472D70B-C519-4E11-8E3F-73D5D08189F6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26" authorId="3" shapeId="0" xr:uid="{6F56504B-9990-4E94-BEA5-48F9D992F9CB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27" authorId="1" shapeId="0" xr:uid="{07533359-B23A-45F8-93E6-C0B5D1A3F8C2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229" authorId="0" shapeId="0" xr:uid="{F6CEED27-7D86-49CE-B7F0-B282490BF3E4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P233" authorId="0" shapeId="0" xr:uid="{71EE5AB1-DEC8-4E01-AFDE-E19D970A6F3A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234" authorId="0" shapeId="0" xr:uid="{4EBF2AB3-EED7-4AB6-87F3-983013D8338A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235" authorId="0" shapeId="0" xr:uid="{BE84D01B-44D2-49DF-B691-E758382CD90E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37" authorId="0" shapeId="0" xr:uid="{1FAD7BDD-5CBE-4B6E-9224-49C9D994E106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39" authorId="15" shapeId="0" xr:uid="{5C1D2FD0-5178-4F18-B3C0-310FAF4D1076}">
      <text>
        <r>
          <rPr>
            <b/>
            <sz val="9"/>
            <color indexed="81"/>
            <rFont val="Tahoma"/>
            <family val="2"/>
          </rPr>
          <t>bnquynh:</t>
        </r>
        <r>
          <rPr>
            <sz val="9"/>
            <color indexed="81"/>
            <rFont val="Tahoma"/>
            <family val="2"/>
          </rPr>
          <t xml:space="preserve">
Sáu (06) lần phát sóng (multi-run) một năm, trong đó mỗi lần phát sóng bao gồm một (01) lần phát đầu tiên và năm (05) lần phát lại trong vòng một (01) tuần</t>
        </r>
      </text>
    </comment>
    <comment ref="AB240" authorId="0" shapeId="0" xr:uid="{0DE217D7-41F8-4638-AD8A-978F66AE13CF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41" authorId="3" shapeId="0" xr:uid="{4D3AAB0F-85CC-41D4-B59F-EA4E60A3669B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42" authorId="0" shapeId="0" xr:uid="{4659EF59-3C81-440F-A684-60708C60FBD3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43" authorId="3" shapeId="0" xr:uid="{A7375A8D-68CB-4D9D-95CA-C2981E3C5739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44" authorId="3" shapeId="0" xr:uid="{8245F7DD-7238-4913-8120-B79412D5C5D2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46" authorId="0" shapeId="0" xr:uid="{ABC4B845-1C77-427E-AB59-69471E29818A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47" authorId="15" shapeId="0" xr:uid="{9C9103BF-4078-4D10-9938-46A6204A21EC}">
      <text>
        <r>
          <rPr>
            <b/>
            <sz val="9"/>
            <color indexed="81"/>
            <rFont val="Tahoma"/>
            <family val="2"/>
          </rPr>
          <t>bnquynh:</t>
        </r>
        <r>
          <rPr>
            <sz val="9"/>
            <color indexed="81"/>
            <rFont val="Tahoma"/>
            <family val="2"/>
          </rPr>
          <t xml:space="preserve">
Sáu (06) lần phát sóng (multi-run) một năm, trong đó mỗi lần phát sóng bao gồm một (01) lần phát đầu tiên và năm (05) lần phát lại trong vòng một (01) tuần</t>
        </r>
      </text>
    </comment>
    <comment ref="AB249" authorId="1" shapeId="0" xr:uid="{0510B47A-01EE-423D-8247-85B1F8277FC7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250" authorId="0" shapeId="0" xr:uid="{B6C0AD07-40D4-4F0F-BC6C-9855C684CED3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P251" authorId="0" shapeId="0" xr:uid="{7199A27D-15AC-46BE-A80A-2C3CD3826D95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253" authorId="3" shapeId="0" xr:uid="{D58081DA-A123-459B-AA24-6F57B3DA2DE5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55" authorId="0" shapeId="0" xr:uid="{9755BC75-3867-4C45-BCA4-F9F5D71373D1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57" authorId="0" shapeId="0" xr:uid="{12C2081B-6270-4ED0-8EAB-C45A6373FF99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D262" authorId="33" shapeId="0" xr:uid="{E382BED5-115D-42B1-814F-7691349440C4}">
      <text>
        <r>
          <rPr>
            <b/>
            <sz val="9"/>
            <color indexed="81"/>
            <rFont val="Tahoma"/>
            <family val="2"/>
          </rPr>
          <t>Tran Thi Minh Thuy:</t>
        </r>
        <r>
          <rPr>
            <sz val="9"/>
            <color indexed="81"/>
            <rFont val="Tahoma"/>
            <family val="2"/>
          </rPr>
          <t xml:space="preserve">
Phân bổ tới T9/25</t>
        </r>
      </text>
    </comment>
    <comment ref="AB264" authorId="1" shapeId="0" xr:uid="{C56C167F-5272-44D8-9EA6-8064403FD463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N266" authorId="2" shapeId="0" xr:uid="{BB1FD258-4847-40BB-82F6-880641E9EE0A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phim này đã renew</t>
        </r>
      </text>
    </comment>
    <comment ref="P267" authorId="0" shapeId="0" xr:uid="{8E07371E-0515-4EF1-872F-2BA52B9E6F32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268" authorId="1" shapeId="0" xr:uid="{C0DD5B7D-5116-4919-A44A-CA0F95620153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N271" authorId="2" shapeId="0" xr:uid="{3DD91D35-B347-47E5-8694-93D85DB05099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phim này đã renew</t>
        </r>
      </text>
    </comment>
    <comment ref="N272" authorId="2" shapeId="0" xr:uid="{D358EE7C-5508-45B7-AA65-BAEB2B853088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phim này đã renew</t>
        </r>
      </text>
    </comment>
    <comment ref="AB274" authorId="1" shapeId="0" xr:uid="{3E692418-B5D2-44DF-BCA3-8A889E0337CC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E275" authorId="2" shapeId="0" xr:uid="{3FD3C340-79FA-4733-9848-27DA395FCC8F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ô này ban đầu là "Ballerina"</t>
        </r>
      </text>
    </comment>
    <comment ref="AB275" authorId="0" shapeId="0" xr:uid="{8E4E1927-BCCE-4654-8A41-8A140CDB32D9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76" authorId="0" shapeId="0" xr:uid="{6BFC924B-8E85-44DE-9D45-FAD1B4C21B23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77" authorId="0" shapeId="0" xr:uid="{9EC9D298-D458-4AE4-97CA-F0F5A84256FA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78" authorId="0" shapeId="0" xr:uid="{8ADF971A-EC22-49DA-B1AC-06A245DD089B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79" authorId="0" shapeId="0" xr:uid="{79F41728-E772-4AE3-BC55-DBEB1B3EE001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0" authorId="0" shapeId="0" xr:uid="{F90C7641-46F6-4F52-B9BC-B742F68DB0F5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1" authorId="0" shapeId="0" xr:uid="{52512D01-4557-4ED8-868A-D8DBDF5BE1F9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2" authorId="0" shapeId="0" xr:uid="{B54B21B0-CF51-4469-A3BE-5FC8DA806B9D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3" authorId="0" shapeId="0" xr:uid="{D4E098A8-5D3E-4CFE-AEAA-75D47DA1339D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4" authorId="0" shapeId="0" xr:uid="{8B8F1FD9-359B-4BF2-B5E9-88DD744BADC1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88" authorId="0" shapeId="0" xr:uid="{B73108E8-5135-43A7-9DBD-F383CB7FEF01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89" authorId="0" shapeId="0" xr:uid="{93CF84FF-8E76-4410-AC5A-DF57DFBE6B47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0" authorId="0" shapeId="0" xr:uid="{A4B6BD52-49AA-4983-92AC-CD0240375E5C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1" authorId="0" shapeId="0" xr:uid="{CE1C915F-9EE9-4B8E-B55A-C8EF9D02F974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2" authorId="0" shapeId="0" xr:uid="{7444AF3F-D81F-4795-ABF7-5CFD603618B3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3" authorId="0" shapeId="0" xr:uid="{94645E78-19D6-4360-99AA-D5F962BE1E0B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4" authorId="0" shapeId="0" xr:uid="{C3876AA2-2927-4AD6-9466-98D709132FED}">
      <text>
        <r>
          <rPr>
            <sz val="11"/>
            <color theme="1"/>
            <rFont val="Calibri"/>
            <family val="2"/>
            <scheme val="minor"/>
          </rPr>
          <t>an aggregate maximum of four (4) Exhibition Days for TV rights/Unlimited run for SVOD right during LP</t>
        </r>
      </text>
    </comment>
    <comment ref="AB295" authorId="0" shapeId="0" xr:uid="{B711B9BD-8071-47CA-8003-B674832F0315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6" authorId="0" shapeId="0" xr:uid="{14FEE709-15BD-464D-827F-0EBD2D46ADBB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7" authorId="0" shapeId="0" xr:uid="{39CFB74C-8036-435C-81A1-F9ED38E868C9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8" authorId="0" shapeId="0" xr:uid="{5DE67F52-E4A2-4F9C-A611-ACAC52A3F112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9" authorId="0" shapeId="0" xr:uid="{65B5AD9B-ED52-4EA0-9D94-0EEE0AAD486A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300" authorId="0" shapeId="0" xr:uid="{1061434C-3E5D-4BA7-9A97-7052154202EA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301" authorId="0" shapeId="0" xr:uid="{D83DDFF4-E330-46C1-8E4A-C054789A15E9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2" authorId="0" shapeId="0" xr:uid="{7D279E08-4565-42F0-B6C5-22DBF504CB5F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3" authorId="0" shapeId="0" xr:uid="{8FE491FD-08F3-4BF3-AC44-9B3BB6B9BF31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4" authorId="0" shapeId="0" xr:uid="{BDC980D5-8CCC-44AF-A08E-BCFE256BDBFF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5" authorId="0" shapeId="0" xr:uid="{DAC3079A-6CB1-431A-AB08-B837FB5B024A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6" authorId="0" shapeId="0" xr:uid="{3E409645-4593-4501-850B-0678F404DF2B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7" authorId="0" shapeId="0" xr:uid="{7B741931-2CD5-4798-8314-BA2C24576311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8" authorId="0" shapeId="0" xr:uid="{A67CFC8C-3625-45F2-99CC-04D7B8ABD5AD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9" authorId="0" shapeId="0" xr:uid="{2A575212-E1F0-4309-87C0-E92FE14C16AA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0" authorId="0" shapeId="0" xr:uid="{8DB66F1D-0E49-48B6-A955-6801F64EC3E3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1" authorId="0" shapeId="0" xr:uid="{D2B3D364-6BED-4181-88E5-B7670EF62AFF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2" authorId="0" shapeId="0" xr:uid="{036AC143-521D-4CF1-A3A2-EBEE458747BB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3" authorId="0" shapeId="0" xr:uid="{B35CB083-AC5E-4299-8336-6CBBA14EC341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4" authorId="0" shapeId="0" xr:uid="{9DA601C0-EAA4-43A8-950C-0C73509A2E62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5" authorId="0" shapeId="0" xr:uid="{A8BEE70D-2180-48E9-B8D7-BA7F3A8E9A7B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6" authorId="0" shapeId="0" xr:uid="{8582CAB1-EF02-400F-B00D-F11989883607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7" authorId="0" shapeId="0" xr:uid="{18C5AD78-3000-439E-AA5F-148D05EECC2F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8" authorId="0" shapeId="0" xr:uid="{52DE2B9D-DEBF-47D3-84A3-16DE682CF461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9" authorId="0" shapeId="0" xr:uid="{A1808CED-93F0-4029-AD21-B5D3E050DF24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20" authorId="0" shapeId="0" xr:uid="{E03453A4-2E5D-45FB-A58B-7409086CDAE5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21" authorId="0" shapeId="0" xr:uid="{FF1A4187-A76D-4193-B391-A13610B412F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2" authorId="0" shapeId="0" xr:uid="{D11A20BB-E00E-468C-B7BF-2E695854A68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3" authorId="0" shapeId="0" xr:uid="{56AE72DE-F80A-41A3-A86A-B5B52AF9A1C6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4" authorId="0" shapeId="0" xr:uid="{47D552D6-D1FE-472D-87B7-E17824EE1751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5" authorId="0" shapeId="0" xr:uid="{924C1098-4333-45B3-8272-D8C451A3994E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6" authorId="0" shapeId="0" xr:uid="{2E45EBB5-121F-4576-8939-B2C4F7FAD9C8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7" authorId="0" shapeId="0" xr:uid="{D4BD6253-5B20-46BF-B76C-E3A66521C60E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8" authorId="0" shapeId="0" xr:uid="{1FFE592B-B672-43F7-94FC-64E2EE0CB01A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9" authorId="0" shapeId="0" xr:uid="{4EF538E2-66AA-433F-B3F2-3220EF2B931C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0" authorId="0" shapeId="0" xr:uid="{4C3EE518-48C9-4179-A8FB-E53F8065746E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1" authorId="0" shapeId="0" xr:uid="{EB6E2A03-E5E6-47E0-BEE1-F068E8A48435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2" authorId="0" shapeId="0" xr:uid="{FE318DF7-DBCA-418A-A8FE-643C6CAD0FA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3" authorId="0" shapeId="0" xr:uid="{46DE8CF6-9765-48DE-9627-E2994917188B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4" authorId="0" shapeId="0" xr:uid="{FD6CE14D-39B6-4AE5-9368-05BEABC2D4AE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5" authorId="0" shapeId="0" xr:uid="{60B59A2C-34B3-4868-8C0A-87EF1EC6098F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6" authorId="0" shapeId="0" xr:uid="{3B957C23-D196-4011-9977-8E42B529EE57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7" authorId="0" shapeId="0" xr:uid="{C7300E33-0AE6-4DB2-A3A4-051E9A22E591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8" authorId="0" shapeId="0" xr:uid="{7A6A2745-B198-485E-A4E9-A4369E6432E3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9" authorId="0" shapeId="0" xr:uid="{EF4941FB-7AF7-46B6-ABA2-6D4A39ABBE5B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340" authorId="0" shapeId="0" xr:uid="{381C4767-937F-4526-9470-69D2F81D4DA6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P341" authorId="0" shapeId="0" xr:uid="{12FE5C57-5EE2-4A6E-9C42-1CA592E65A6D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342" authorId="0" shapeId="0" xr:uid="{CDCEC84D-1088-47E4-B5A4-277C51EFD168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43" authorId="0" shapeId="0" xr:uid="{A5AD9E38-0CF3-427B-A5F7-0C05F3C959A9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Nam</author>
  </authors>
  <commentList>
    <comment ref="B12" authorId="0" shapeId="0" xr:uid="{3F2C685E-6165-4133-9E08-E664ED9A568E}">
      <text>
        <r>
          <rPr>
            <b/>
            <sz val="9"/>
            <color indexed="81"/>
            <rFont val="Tahoma"/>
            <family val="2"/>
          </rPr>
          <t>Tran Nam:</t>
        </r>
        <r>
          <rPr>
            <sz val="9"/>
            <color indexed="81"/>
            <rFont val="Tahoma"/>
            <family val="2"/>
          </rPr>
          <t xml:space="preserve">
T16 chủ đề nội dung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tc={F1CE5225-C697-4244-B58C-9DB2ABCB6F26}</author>
    <author>tc={1D189A60-3D60-49EF-90D0-185CCBF626D1}</author>
    <author>Nguyen Thi Thuy Linh</author>
    <author>tc={5602D52A-39B9-402D-8CEB-20701CA36284}</author>
    <author>tc={637C139F-050B-43DD-9277-89FFACBC723B}</author>
    <author>tc={B3AFD47B-FFFB-428D-A4B1-3B23A0119C16}</author>
    <author>tc={69984C42-BC05-4868-B35E-D401911F6F45}</author>
    <author>tc={3382BC06-A455-47D1-A4FC-EFE380193FA9}</author>
    <author>tc={616C97BB-BA4A-44A8-973A-6C218F108BD2}</author>
    <author>tc={FCA77FC1-D5C0-43B4-8D78-019A5CA50C7B}</author>
    <author>tc={FA816EE5-DAE5-4E8D-8DBF-1C96C12FC6F2}</author>
    <author>tc={B2200B82-C64F-45E0-BBC8-EAABD9A44E1E}</author>
    <author>Admin</author>
    <author>tc={0EA5B840-1666-40E9-BDB3-BF24A320D2AF}</author>
    <author>tc={05A25329-D0EB-479C-B92B-46057D171AA7}</author>
  </authors>
  <commentList>
    <comment ref="AE11" authorId="0" shapeId="0" xr:uid="{F1CE5225-C697-4244-B58C-9DB2ABCB6F2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I16" authorId="1" shapeId="0" xr:uid="{1D189A60-3D60-49EF-90D0-185CCBF626D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K+ version = 5 eps x 45 mins</t>
        </r>
      </text>
    </comment>
    <comment ref="S22" authorId="2" shapeId="0" xr:uid="{7CCEA9DF-3933-416A-8B94-FB2C3CFD1CBB}">
      <text>
        <r>
          <rPr>
            <sz val="11"/>
            <color theme="1"/>
            <rFont val="Calibri"/>
            <family val="2"/>
            <scheme val="minor"/>
          </rPr>
          <t xml:space="preserve">Exclusive with Local Platform </t>
        </r>
      </text>
    </comment>
    <comment ref="AE23" authorId="3" shapeId="0" xr:uid="{5602D52A-39B9-402D-8CEB-20701CA3628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 episode. Each multi-run shall include 01 first run and 05 reruns within 7 days (with unlimited runs within 48 hours).</t>
        </r>
      </text>
    </comment>
    <comment ref="AE26" authorId="4" shapeId="0" xr:uid="{637C139F-050B-43DD-9277-89FFACBC723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29" authorId="5" shapeId="0" xr:uid="{B3AFD47B-FFFB-428D-A4B1-3B23A0119C1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30" authorId="6" shapeId="0" xr:uid="{69984C42-BC05-4868-B35E-D401911F6F4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 episode. Each multi-run shall include 01 first run and 05 reruns within 7 days (with unlimited runs within 48 hours).</t>
        </r>
      </text>
    </comment>
    <comment ref="AE40" authorId="7" shapeId="0" xr:uid="{3382BC06-A455-47D1-A4FC-EFE380193FA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45" authorId="2" shapeId="0" xr:uid="{C46538FE-CB12-441F-B809-7996D4E2434F}">
      <text>
        <r>
          <rPr>
            <sz val="11"/>
            <color theme="1"/>
            <rFont val="Calibri"/>
            <family val="2"/>
            <scheme val="minor"/>
          </rPr>
          <t xml:space="preserve">Tran Thi Phuong Linh:
each multi-run shall include one (01) first run and five (05) repeats within seven (7) days (with unlimited re-runs within 48 hours).
</t>
        </r>
      </text>
    </comment>
    <comment ref="I46" authorId="8" shapeId="0" xr:uid="{616C97BB-BA4A-44A8-973A-6C218F108BD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K+ version = 15 eps x 45 mins</t>
        </r>
      </text>
    </comment>
    <comment ref="AE50" authorId="9" shapeId="0" xr:uid="{FCA77FC1-D5C0-43B4-8D78-019A5CA50C7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80" authorId="2" shapeId="0" xr:uid="{EDCA5E0C-DEF0-46D9-8A21-B7A032B6A744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O85" authorId="10" shapeId="0" xr:uid="{FA816EE5-DAE5-4E8D-8DBF-1C96C12FC6F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AC85" authorId="11" shapeId="0" xr:uid="{B2200B82-C64F-45E0-BBC8-EAABD9A44E1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E87" authorId="12" shapeId="0" xr:uid="{E4D26D1F-1E57-48B6-A53E-EDE9B123CC94}">
      <text>
        <r>
          <rPr>
            <b/>
            <sz val="9"/>
            <color indexed="81"/>
            <rFont val="Tahoma"/>
            <family val="2"/>
          </rPr>
          <t>Nam:</t>
        </r>
        <r>
          <rPr>
            <sz val="9"/>
            <color indexed="81"/>
            <rFont val="Tahoma"/>
            <family val="2"/>
          </rPr>
          <t xml:space="preserve">
stock Aqui để trống ô này (Hạnh)</t>
        </r>
      </text>
    </comment>
    <comment ref="O95" authorId="13" shapeId="0" xr:uid="{0EA5B840-1666-40E9-BDB3-BF24A320D2A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AC95" authorId="14" shapeId="0" xr:uid="{05A25329-D0EB-479C-B92B-46057D171AA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E113" authorId="12" shapeId="0" xr:uid="{A7F39E21-FF73-4736-B65B-1FCB12144995}">
      <text>
        <r>
          <rPr>
            <b/>
            <sz val="9"/>
            <color indexed="81"/>
            <rFont val="Tahoma"/>
            <family val="2"/>
          </rPr>
          <t>Nam:</t>
        </r>
        <r>
          <rPr>
            <sz val="9"/>
            <color indexed="81"/>
            <rFont val="Tahoma"/>
            <family val="2"/>
          </rPr>
          <t xml:space="preserve">
stock Aqui để trống ô này (Hạnh)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Thuy Linh</author>
  </authors>
  <commentList>
    <comment ref="W37" authorId="0" shapeId="0" xr:uid="{05084A73-DF44-4F0B-8E6B-891CD99B518C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  <comment ref="Z37" authorId="0" shapeId="0" xr:uid="{97FD7EE0-793B-4E4E-96F7-D4D19571B55A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  <comment ref="W38" authorId="0" shapeId="0" xr:uid="{FCB49A3B-3471-4449-94F4-DFB4FCC7F9E1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  <comment ref="Z38" authorId="0" shapeId="0" xr:uid="{0FD3F7B2-3139-4725-8428-C65A3F1585ED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Thuy Trang</author>
  </authors>
  <commentList>
    <comment ref="S3" authorId="0" shapeId="0" xr:uid="{BD25A2F2-DDB2-4DEB-8472-0C67C2115962}">
      <text>
        <r>
          <rPr>
            <b/>
            <sz val="9"/>
            <color indexed="81"/>
            <rFont val="Tahoma"/>
            <family val="2"/>
          </rPr>
          <t>Vu Thuy Trang:</t>
        </r>
        <r>
          <rPr>
            <sz val="9"/>
            <color indexed="81"/>
            <rFont val="Tahoma"/>
            <family val="2"/>
          </rPr>
          <t xml:space="preserve">
Phim hợp tác đầu tư</t>
        </r>
      </text>
    </comment>
  </commentList>
</comments>
</file>

<file path=xl/sharedStrings.xml><?xml version="1.0" encoding="utf-8"?>
<sst xmlns="http://schemas.openxmlformats.org/spreadsheetml/2006/main" count="19306" uniqueCount="3345">
  <si>
    <t>A</t>
  </si>
  <si>
    <t>Giá trị</t>
  </si>
  <si>
    <t>Anex</t>
  </si>
  <si>
    <t>Total</t>
  </si>
  <si>
    <t>gồm 14 Docs free của Kênh DW + 3 Docs</t>
  </si>
  <si>
    <t>Titles</t>
  </si>
  <si>
    <t>Doc</t>
  </si>
  <si>
    <t>Đây là các show K+ thuê bên thứ 3 hoặc tự sản xuất, không theo dõi tồn kho, đã tính vào chi phí khi phát sóng shows</t>
  </si>
  <si>
    <t>Kids</t>
  </si>
  <si>
    <t>Gồm 331 phim trong sheet 15661 và 7 phim trong sheet 15666 Bản quyền phim tự SX</t>
  </si>
  <si>
    <t>Series</t>
  </si>
  <si>
    <t>Gồm 331 phim trong sheet 15661 và 6 phim trong sheet 242 bản quyền Phim hợp tác</t>
  </si>
  <si>
    <t>Movies</t>
  </si>
  <si>
    <t>TOTAL</t>
  </si>
  <si>
    <t>242. Bản quyền phim VOD</t>
  </si>
  <si>
    <t xml:space="preserve">Number </t>
  </si>
  <si>
    <t>Unit</t>
  </si>
  <si>
    <t>Phim còn hạn từ 2026</t>
  </si>
  <si>
    <t>Yes</t>
  </si>
  <si>
    <t>13/6/2025</t>
  </si>
  <si>
    <t>No</t>
  </si>
  <si>
    <t>FCCE</t>
  </si>
  <si>
    <t>Films and starts + Celebrity Scoop</t>
  </si>
  <si>
    <t>Vĩnh viễn</t>
  </si>
  <si>
    <t>Vietnam</t>
  </si>
  <si>
    <t>K+</t>
  </si>
  <si>
    <t>Bát phố</t>
  </si>
  <si>
    <t>A Bow of Hà Nội</t>
  </si>
  <si>
    <t>Những Bức Tường</t>
  </si>
  <si>
    <t>The walls</t>
  </si>
  <si>
    <t>22/06/2020</t>
  </si>
  <si>
    <t>DW</t>
  </si>
  <si>
    <t>Những sân bóng phủi</t>
  </si>
  <si>
    <t>Life is a pitch</t>
  </si>
  <si>
    <t>23/08/2088</t>
  </si>
  <si>
    <t>23/08/2024</t>
  </si>
  <si>
    <t>Tự làm</t>
  </si>
  <si>
    <t>DIY</t>
  </si>
  <si>
    <t>Mặc đẹp</t>
  </si>
  <si>
    <t>Dresscode</t>
  </si>
  <si>
    <t>Kỳ quan từ trên không</t>
  </si>
  <si>
    <t>Birdeyes</t>
  </si>
  <si>
    <t>Những Phong Tục Kì Lạ</t>
  </si>
  <si>
    <t>Quirky Customs</t>
  </si>
  <si>
    <t>Tái tạo năng lượng</t>
  </si>
  <si>
    <t>Recharged</t>
  </si>
  <si>
    <t>Robot Ngày Nay!</t>
  </si>
  <si>
    <t xml:space="preserve">Robots Now! </t>
  </si>
  <si>
    <t>Đời Sống Thể Thao</t>
  </si>
  <si>
    <t>Sports Life</t>
  </si>
  <si>
    <t>Thế Giới Kinh Tế</t>
  </si>
  <si>
    <t>The World of Economics Explained</t>
  </si>
  <si>
    <t>31/03/2027</t>
  </si>
  <si>
    <t>19/12/2024</t>
  </si>
  <si>
    <t>Tầm nhìn</t>
  </si>
  <si>
    <t>Visionaries</t>
  </si>
  <si>
    <t>Hành Trình Đỉnh Cao</t>
  </si>
  <si>
    <t>Top Travel</t>
  </si>
  <si>
    <t>Nơi Làm Việc</t>
  </si>
  <si>
    <t>Work Places</t>
  </si>
  <si>
    <t>18/12/2024</t>
  </si>
  <si>
    <t>Bạn Có Biết</t>
  </si>
  <si>
    <t>Now You Know</t>
  </si>
  <si>
    <t>DIY 2020</t>
  </si>
  <si>
    <t>Note</t>
  </si>
  <si>
    <t>Drive ( ổ cứng)</t>
  </si>
  <si>
    <t>LTO</t>
  </si>
  <si>
    <t>HD Censorship</t>
  </si>
  <si>
    <t>To (VOD)</t>
  </si>
  <si>
    <t>From (VOD)</t>
  </si>
  <si>
    <t>Internet 
Downloading</t>
  </si>
  <si>
    <t>Internet 
Streaming</t>
  </si>
  <si>
    <t>TVOD</t>
  </si>
  <si>
    <t>AVOD</t>
  </si>
  <si>
    <t>FVOD</t>
  </si>
  <si>
    <t>SVOD</t>
  </si>
  <si>
    <t>Sub-license</t>
  </si>
  <si>
    <t>Duration ( Hour)</t>
  </si>
  <si>
    <t>Duration
(minute)</t>
  </si>
  <si>
    <t>No. of eps</t>
  </si>
  <si>
    <t>Year of production</t>
  </si>
  <si>
    <t>Origin</t>
  </si>
  <si>
    <t>Provider</t>
  </si>
  <si>
    <t>VIET Title</t>
  </si>
  <si>
    <t>ENGLISH Title</t>
  </si>
  <si>
    <t>Stt</t>
  </si>
  <si>
    <t>Lưu trữ</t>
  </si>
  <si>
    <t>ND còn hạn từ 2026</t>
  </si>
  <si>
    <t>Việt Nam</t>
  </si>
  <si>
    <t>Show Bức tường</t>
  </si>
  <si>
    <t>MOV_BIO__2682006 THE WALLS
MOV_BIO23 (SUB) THE WALLS 
ENT_MUS__2649709 LIVESHOW BỨC TƯỜNG TRỞ VỀ
SHC_MUS_21__2649773	BỨC TƯỜNG TRỞ VỀ: ĐƯỜNG ĐẾN NGÀY VINH QUANG
SHC_MUS_21__2649772	BỨC TƯỜNG TRỞ VỀ: CON ĐƯỜNG KHÔNG TÊN
SHC_MUS_21__2649771	BỨC TƯỜNG TRỞ VỀ: KÝ ỨC
SHC_MUS_21__2649770	BỨC TƯỜNG TRỞ VỀ: NHỮNG CHUYẾN ĐI DÀI
SHC_MUS_21__2649769	BỨC TƯỜNG TRỞ VỀ: THÁNG 10
SHC_MUS_21__2649768	BỨC TƯỜNG TRỞ VỀ: TIẾNG GỌI
SHC_MUS_21__2649767	BỨC TƯỜNG TRỞ VỀ: CƠN MƯA THÁNG 5
SHC_MUS_21__2649766	BỨC TƯỜNG TRỞ VỀ: KHOẢNG TRỐNG
SHC_MUS_21__2649765	BỨC TƯỜNG TRỞ VỀ: LỐI RẼ
SHC_MUS_21__2649764	BỨC TƯỜNG TRỞ VỀ: HOA BAN TRẮNG
SHC_MUS_21__2649763	BỨC TƯỜNG TRỞ VỀ: MEN SAY
SHC_MUS_21__2649762	BỨC TƯỜNG TRỞ VỀ: BÌNH YÊN
SHC_MUS_21__2649761	BỨC TƯỜNG TRỞ VỀ: CÂY BÀNG
SHC_MUS_21__2649760	BỨC TƯỜNG TRỞ VỀ: ƯỚC MUỐN
SHC_MUS_21__2649759	BỨC TƯỜNG TRỞ VỀ: KHÁM PHÁ
SHC_MUS_21__2649758	BỨC TƯỜNG TRỞ VỀ: NGƯỜI ĐÀN BÀ HÓA ĐÁ
SHC_MUS_21__2649757	BỨC TƯỜNG TRỞ VỀ: TÂM HỒN CỦA ĐÁ
SHC_MUS_21__2649756	BỨC TƯỜNG TRỞ VỀ: ROCK XUYÊN MÀN ĐÊM
SHC_MUS_21__2649755	BỨC TƯỜNG TRỞ VỀ: BÌNH MINH SINH VIÊN + RUNG CHUÔNG VÀNG
SHC_MUS__2649754	BỨC TƯỜNG TRỞ VỀ: RA KHƠI</t>
  </si>
  <si>
    <t>Hành tinh vuông</t>
  </si>
  <si>
    <t xml:space="preserve">Kids show </t>
  </si>
  <si>
    <t>KID_EDU_HNCP__VN_24022	KID SHOW - PATTERN PAINTINGS, COLORFUL HAND
KID_EDU_HNCP__VN_23408	KID SHOW - PRINTED PAINTINGS, CLAY BEETLES
KID_EDU_HNCP__VN_23079	KID SHOW: MAZE - SECRET MAP
KID_EDU_HNCP__VN_22882	KID SHOW: BLOWING PICTURE - OCTOPUS
KID_EDU_HNCP__VN_22508	KID SHOW: OVEN MESSENGER - SECRET MESSAGE
KID_EDU_HNCP__VN_22183	KID SHOW: SHAPING WITH EGGSHELL - BOX PUPPET
KID_EDU_HNCP__VN_22053	KID SHOW: TRICK CARD , BOX-PATTERN POP UP
KID_EDU_HNCP__VN_21756	KID SHOW: NEVER ENDING CARD, NEVER ENDING FRIENDSHIP CARD
KID_EDU_HNCP__VN_21409	KID SHOW: AMAZING PICTURE FRAME - 3D PICTURE FRAME
KID_EDU_HNCP__VN_21147	KID SHOW: SIMPLE TIMETABLE, SECRET TIMETABLE
KID_EDU_HNCP__VN_20895	KID SHOW: POPUP FLOWER CARD - FRIENDSHIP MEDAL
KID_EDU_HNCP__VN_20686	KID SHOW: COMEDY GLASSES - CLOWN HAT AND CLOWN EARS
KID_EDU_HNCP__VN_20200	KID SHOW: BUG SHAPE BOOKMARK - WOODEATER PAPERWEIGHT
KID_EDU_HNCP__VN_19958	KID SHOW: FIREBALL PICTURE - MOON PICTURE
KID_EDU_HNCP__VN_19746	KID SHOW: CANDLE PICTURE - PICTURE OF UNDERWATER WORLD
KID_EDU_HNCP__VN_19595	KID SHOW: SHINING GLOBE - NEW YEAR CARD
KID_EDU_HNCP__VN_19371	KID SHOW: DRAW ON BREAD - DRAWING WITH BREAD
KID_EDU_HNCP__VN_19213	KID SHOW: DRAW SPACE WITH CHALK - PLANET GLOBE
_14_2435152	Kid Show: Hòn đảo của Nim, Thằn lằn Fred
_14_2435151	Kid Show: Bướm vỗ cánh, Vẹt thăng bằng
_14_2435150	Kid Show: Đường đua cây dừa, Cỗ xe bong bóng
KID_EDU_14_2435149	Kid Show: Vườn thú trong lòng bàn tay, Hươu kẹp giấy
KID_EDU_14_2435109	Kid show: Tranh từ giấy vệ sinh, Tạo hình bằng lõi giấy
_14_a2435108	Kid Show: Ảo thuật đồng xu biến mất, Bàn tay tiên tri
_14_a2435107	Kid Show: Đế nến Ba Tư, Tranh gỗ instagram
_14_a2435106	Kid Show: Khung ảnh từ đĩa CD, Tranh kính từ giấy bìa
_14_a2435105	Kid Show: Minion một mắt, Đội quân Minion
KID_EDU_HNCP__VN_2432415	KID SHOW: DOG CONCIERGE + CHARGING BOTTLES
KID_EDU_HNCP__VN_2432414	KID SHOW: PEN BOX + PREY CATCHER TREES
KID_EDU_HNCP__VN_51295_2431606	KID SHOW: DREAM CATCHER - SPELL CHASE DREAM +BUTTERFLY FLAPPING ITS WINGS
KID_EDU_HNCP__VN_51294_2431605	KID SHOW: ZIPPER HEADBAND +JEWELLERY FROM ROLLS
KID_EDU_HNCP__VN_45787_2419889	KID SHOW: MAGIC SPINNING TOP, MULTI-FACE BOX
KID_EDU_HNCP__VN_45786_2419888	KID SHOW: MAGIC YOYO + WIND-UP SNAKE
KID_EDU_HNCP__VN_45785_2419887	(Không dùng) KID SHOW: SPRING HORSE+SECRET MESSAGE
_HNCP__VN_45784_2419886	(không dùng) KID SHOW: AGGREGATES GAME
KID_EDU_HNCP__VN_45581_2419683	(không dùng) KID SHOW: ROTATED SNAKES + JUMPING HORSE
KID_EDU_HNCP__VN_45580_2419682	KID SHOW: DJ SUNGLASSES + CARGO TRUCK
KID_EDU_HNCP__VN_43220_2412033	KID SHOW: PAPER HYDRANGEAS+BUTTERFLY FLAPPING WINGS
KID_EDU_HNCP__VN_43219_2412032	KID SHOW: MONSTERS FAMILY + MAXIM DINOSAURS
KID_EDU_HNCP__VN_42385_2412030	KID SHOW: REINDEER FROM PAPER CORE - SNOWMAN FROM WOOL SOCKS
KID_EDU_HNCP__VN_42250_2412029	KID SHOW: ICE CREAM BOAT - SWAYING PARROT
KID_EDU_HNCP__VN_42249_2412028	KID SHOW: PEN BOX + DRUM VEHICLES
KID_EDU_HNCP__VN_41574_2412094	KID SHOW: ARGYL RACK - OWL CUPCAKE
KID_EDU_HNCP__VN_41573_2412093	KID SHOW: MINI DRUMS - DANCING CLOWN
KID_EDU_HNCP__VN_41525_2412092	KID SHOW: PAPER CUPS GIFT BOXES - FLORAL BORDER FRAMES
KID_EDU_HNCP__VN_40709_2412091	KID SHOW: MAGIC MATCHBOX - AIRCRAFT MODEL
KID_EDU_HNCP__VN_40708_2412090	KID SHOW: OCEAN PEN CASE - STICKLEBACKS FROM PAPER BAGS
KID_EDU_HNCP__VN_40444_2412089	KID SHOW: BAT BONBONNIERE - JACK-O'-LANTERN BALLOON
KID_EDU_HNCP__VN_39712_2412088	(Không dùng) KID SHOW: CONFETTI CUPCAKE - QUEEN CROWN
KID_EDU_HNCP__VN_39275_2412087	KID SHOW: STRAWS FAN BLADES - MAGNETICS FAN BLADES
KID_EDU_HNCP__VN_39274_2412086	KID SHOW: VOLCANIC ERUPTIONS - MONSTER VOLCANO
KID_EDU_HNCP__VN_38582_2412085	KID SHOW: ROCKETS FROM STRAW - MOON ASTRONAUTS
KID_EDU_HNCP__VN_38581	KID SHOW: MID-AUTUMN LANTERNS AND MASKS
KID_EDU_HNCP__VN_38243	KID SHOW: WIRELESS MOUSE - CAT AND MOUSE GAME
KID_EDU_HNCP__VN_38242	KID SHOW: MAGIC COINS - HANDS PROPHET
KID_EDU_HNCP__VN_37312	KID SHOW: PERSIAN CANDLES HOLDERS - INSTAGRAM WOOD PAINTINGS
KID_EDU_HNCP__VN_37311	KID SHOW: PHOTO FRAMES FROM CD AND GLASSES PAINTING FROM CARDBOARD
KID_EDU_HNCP__VN_36676	KID SHOW: MAGICAL PINWHEEL - ILLUSION CARDS
KID_EDU_HNCP__VN_36675	KID SHOW: BUTTERFLY FLAPPING WINGS - BALANCING PARROT
KID_EDU_HNCP__VN_36674_2412073	KID SHOW: STRAWS MAZE- BALLOONS VEHICLED MOTO
KID_EDU_HNCP__VN_36545	KID SHOW: ROCKETS - ROCKETS FROM BALLOONS
KID_EDU_HNCP__VN_36544	KID SHOW: MAGNET DANCERS - CIRCUS BALANCING ON WIRES
KID_EDU_HNCP__VN_37231	KID SHOW: ONE EYED MINION - MINION TEAM
KID_EDU_HNCP__VN_37230	KID SHOW: MINI LOCKER - WORM MESSAGE
KID_EDU_HNCP__VN_36960	KID SHOW: NIM'S ISLAND - FRED LIZARD
KID_EDU_HNCP__VN_36959	KID SHOW: MUSHROOM FROM PAPER BAG - RABBIT FROM WOOL STICKS
KID_EDU_HNCP__VN_36210	KID SHOW: ROPPING CRAB - THE TRAFFIC GUIDE FROM STRAWS
KID_EDU_HNCP__VN_36117	KID SHOW: MAGIC FAN - TURNED TAIL FISH CUP
KID_EDU_HNCP__VN_36030	KID SHOW: HORIZONTAL BAR GYMNAST - BASKETBALL FROM SPOON
KID_EDU_HNCP__VN_35352	KID SHOW: DRAGONFLY - CORN PEN BOX
KID_EDU_HNCP__VN_35351	KID SHOW: ANIMALS FROM TWISTED PAPER+FLAPPING BEES
KID_EDU_HNCP__VN_35350	KID SHOW: LUCKY TICKET+PEN'S CANISTER FROM CASSETTES CASE
KID_EDU_HNCP__VN_34683	KID SHOW: PALM SPEEDWAY - BUBBLE CHARIOT
KID_EDU_HNCP__VN_34682	KID SHOW: DOLPHIN BOAT+PAPER PAINTING TECHNIQUE
KID_EDU_HNCP__VN_34091	KID SHOW: HIDDEN LETTER + BIRTHDAY FIREWORKS
KID_EDU_HNCP__VN_34090	KID SHOW: FINGER TRICK + DEER SHAPE PAPER CLIP
KID_EDU_HNCP__VN_33774	(không dùng) KID SHOW: BANANA PLANTING CLOWN + SAVING SECRET BOX
KID_EDU_HNCP__VN_33773	KID SHOW: SUPERHERO CUFFS+MONSTER BITES CLOTHESPIN HANGER
KID_EDU_HNCP__VN_33613	KID SHOW: PAPER SPINDLE + WHALES
KID_EDU_HNCP__VN_33289	KID SHOW: BABY DICES+TRUMPET FROM STRAWS
KID_EDU_HNCP__VN_32943	KID SHOW: TURNING WOODPECKER + PAINTINGS FROM BOXSHOT
KID_EDU_HNCP__VN_32642	KID SHOW: PENGUIN FROM BULB + SNAKE FROM OLD CRAVAT
KID_EDU_HNCP__VN_31774_2412051	KID SHOW: BUNNY SLOPE + PAPER RAINBOW
KID_EDU_HNCP__VN_31584_2412050	KID SHOW: STRAWS-ROLLING BALLS + PAINTINGS FROM TAPES
KID_EDU_HNCP__VN_31404	KID SHOW: FLOWER PAINTING FROM BOTTLE'S BOTTOM + WALLETS FROM BOTTLE CAPS
KID_EDU_HNCP__14_VN_31357	KID SHOW: PAINTINGS FROM SILVER PAPER + CUPCAKE
KID_EDU_HNCP__VN_31040_2412047	KID SHOW: PINES FROM COTTON BATH + SNOWBALL
KID_EDU_HNCP__VN_30858_2412046	KID SHOW: MONOCYCLE BUDDY + CUTTING BODY MAGIC TRICK
KID_EDU_HNCP__VN_30624_2412045	KID SHOW: WOODPECKER + MONKEYS CLIMBING TREES
KID_EDU_HNCP__VN_30364_2412044	KID SHOW: GLASS PAINTINGS + PHOTO CLIPS
KID_EDU_HNCP__VN_30085	KID SHOW: ILLUSION HAND AND CARD
KID_EDU_HNCP__VN_29686	KID SHOW: TRIBUTE FLORAL BAND + STRAW WREATH
KID_EDU_HNCP__VN_29528	KID SHOW: CIRCUS DOLPHIN + BILLARD
KID_EDU_HNCP__VN_29219	KID SHOW: PUPPET FROM CLOTHING CLIP + MOVING FACE
KID_EDU_HNCP__VN_29001_2412042	KID SHOW: HALLOWEEN COFFINS + HALLOWEEN OAK
KID_EDU_HNCP__VN_28140	KID SHOW: FLYING SNAKES + MAGIC WALLET
KID_EDU_HNCP__VN_28139	KID SHOW: BROOCH FROM SCOTCH TAPE, PATTERN IN SCOTCH TAPE CORE
KID_EDU_HNCP__VN_28138	KID SHOW: JELLY SHELL WORM, ANIMALS FROM PLASTIC BOTTLE
KID_EDU_HNCP__VN_27127_2412018	KID SHOW: STAR POP UP; PULLING FLAG
KID_EDU_HNCP__VN_26702	(không dùng) KID SHOW: SHAKING HORSE, PIG CROSS OVER THE FENCE
KID_EDU_HNCP__VN_26701_2412036	KID SHOW: PUPPETS FROM PAPER BAG, MARIONETTE
KID_EDU_HNCP__VN_26700_2412035	KID SHOW: BOOK HOLDER DINOSAUR SHAPE, SCHEDULE DRAPE
KID_EDU_HNCP__VN_26699	KID SHOW: SLING CARP, CHÚ CUOI AND CHI HANG PLAYING HIDE AND SEEK
KID_EDU_HNCP__VN_26698_2412034	KID SHOW: PAINTINGS FROM PASTA, JEWELS FROM NOODLES
KID_EDU_HNCP__VN_26507	KID SHOW: JEWEL CASE FROM MILK BOX, JEWEL FROM EGG SHELL
KID_EDU_HNCP__VN_26257	KID SHOW: PAINTINGS FROM DRY LEAVES, LUCKY BALLS
KID_EDU_HNCP__VN_26256	KID SHOW: FRIED FEST (CHICKEN, SPING ROLLS, FRIES,..)
KID_EDU_HNCP__VN_25874	KID SHOW: PAINTINGS FROM COLOR BUBBLE, CAKE WORLD
KID_EDU_HNCP__VN_26160	KID SHOW: PAINTINGS FROM PENCIL PEELINGS, WASTED BIN
KID_EDU_HNCP__VN_25787	KID SHOW: BIRD NEST, TOURIST WALLET
KID_EDU_HNCP__VN_25365	KID SHOW: HANGING HOOK, ICE CREAM GLASS
KID_EDU_HNCP__VN_25364	KID SHOW: CD DECORATION, WIND CHIME FROM CD
KID_EDU_HNCP__VN_25174	KID SHOW - PAINTINGS FROM TOILET PAPERS, SHAPING FROM TOILET ROLL
KID_EDU_HNCP__VN_24963	KID SHOW - BOAT INSIDE BOTTLE, PEN CASE
KID_EDU_HNCP__VN_24688	KID SHOW - CACTUS, DRY PLANT WORLD
KID_EDU_HNCP__VN_24502	Kid show: Số đặc biệt 1.6
KID_EDU_HNCP__VN_24254	KID SHOW - GHOST CASTLE, FRIDGE</t>
  </si>
  <si>
    <t>Đến từ sao kim - Mùa 3</t>
  </si>
  <si>
    <t>Coming From Venus S3</t>
  </si>
  <si>
    <t>ENT_VAS_HNCV_14_2459143	COMING FROM VENUS S3, EP43
ENT_VAS_HNCV_14_2459142	COMING FROM VENUS S3, EP42
ENT_VAS_HNCV_14_2459141	COMING FROM VENUS S3, EP41
ENT_VAS_HNCV_14_2458362	COMING FROM VENUS S3, EP40
ENT_VAS_HNCV_14_2458361	COMING FROM VENUS S3, EP39
ENT_VAS_HNCV_14_2458360	COMING FROM VENUS S3, EP38
ENT_VAS_HNCV_14_2458359	COMING FROM VENUS S3, EP37
ENT_VAS_HNCV_14_2458358	COMING FROM VENUS S3, EP36
ENT_VAS_HNCV_14_2447720	COMING FROM VENUS S3, EP35
ENT_VAS_HNCV_14_2447719	COMING FROM VENUS S3, EP34
ENT_VAS_HNCV_14_2447717	COMING FROM VENUS S3, EP32
ENT_VAS_HNCV_14_2447718	COMING FROM VENUS S3, EP33
ENT_VAS_HNCV_14_2447240	COMING FROM VENUS S3, EP31
ENT_VAS_HNCV_14_2447239	COMING FROM VENUS S3, EP30
ENT_VAS_HNCV_14_HNCV_14_2446844	COMING FROM VENUS S3, EP29
ENT_VAS_HNCV_14_2446845	COMING FROM VENUS S3, EP27
ENT_VAS_HNCV_14_2446733	COMING FROM VENUS S3, EP28
ENT_VAS_14_2446524	COMING FROM VENUS S3, EP23
ENT_VAS_14_2446525	COMING FROM VENUS S3, EP24
ENT_VAS_14_2446529	COMING FROM VENUS S3, EP25
ENT_VAS_14_2446412	COMING FROM VENUS S3, EP21
ENT_VAS_14_2436343	COMING FROM VENUS S3, EP26
ENT_VAS_14_2436344	COMING FROM VENUS S3, EP22
ENT_VAS_14_2435347	COMING FROM VENUS S3, EP20
ENT_VAS_14_a2435301_2435301	COMING FROM VENUS S3, EP19
ENT_VAS_14_2435179	COMING FROM VENUS S3, EP17
ENT_VAS_14_2435180	COMING FROM VENUS S3, EP18
ENT_VAS_14_2435178	COMING FROM VENUS S3, EP16
ENT_VAS_14_12434854	COMING FROM VENUS S3, EP13
ENT_VAS_14_12434855_2434855	COMING FROM VENUS S3, EP14
ENT_VAS_14_12434856_2434856	COMING FROM VENUS S3, EP15
ENT_VAS_14_12434346_2434346	COMING FROM VENUS S3, EP12
ENT_VAS_14_12434345_2434345	COMING FROM VENUS S3, EP11
ENT_VAS_14_12434344	COMING FROM VENUS S3, EP10
ENT_VAS_14_12433947_2433947	COMING FROM VENUS S3, EP09
ENT_VAS_14_12433791	COMING FROM VENUS S3, EP08
ENT_VAS_14_2433145	COMING FROM VENUS S3, EP07
ENT_VAS_14_2433144	COMING FROM VENUS S3, EP06
ENT_VAS_HNCV_14_14_VN_2432791	COMING FROM VENUS S3, EP05
ENT_VAS_VN_2432790	COMING FROM VENUS S3, EP04
ENT_VAS_VN_51562_2431873	COMING FROM VENUS S3, EP03
ENT_VAS_VN_51561_2431872	COMING FROM VENUS S3, EP02
ENT_VAS_VN_51560_2431871	COMING FROM VENUS S3, EP01</t>
  </si>
  <si>
    <t>Đến từ sao kim - Mùa 2</t>
  </si>
  <si>
    <t>Coming From Venus S2</t>
  </si>
  <si>
    <t>ENT_VAS_VN_35296	COMING FROM VENUS S2, EP18
ENT_VAS_VN_34593	COMING FROM VENUS S2, EP17
ENT_VAS_VN_34592	COMING FROM VENUS S2, EP16
ENT_VAS_VN_34591	COMING FROM VENUS S2, EP15
ENT_VAS_VN_33810	COMING FROM VENUS S2, EP14
ENT_VAS_VN_40739_2411771	COMING FROM VENUS S2, EP44
ENT_VAS_VN_39588_2411770	COMING FROM VENUS S2, EP43
ENT_VAS_VN_39587	COMING FROM VENUS S2, EP42
ENT_VAS_VN_39586	COMING FROM VENUS S2, EP41
ENT_VAS_VN_39585	COMING FROM VENUS S2, EP40
ENT_VAS_VN_38446	COMING FROM VENUS S2, EP39
ENT_VAS_VN_38445	COMING FROM VENUS S2, EP38
ENT_VAS_VN_38444	COMING FROM VENUS S2, EP37
ENT_VAS_VN_38201	COMING FROM VENUS S2, EP36
ENT_VAS_VN_37597	COMING FROM VENUS S2, EP35
ENT_VAS_VN_37596	COMING FROM VENUS S2, EP34
ENT_VAS_VN_37285	COMING FROM VENUS S2, EP33
ENT_VAS_VN_37041	COMING FROM VENUS S2, EP32
ENT_VAS_VN_37040	COMING FROM VENUS S2, EP31
ENT_VAS_VN_36819_2411757	COMING FROM VENUS S2, EP30
ENT_VAS_VN_36818_2411756	COMING FROM VENUS S2, EP29
ENT_VAS_VN_36817_2411755	COMING FROM VENUS S2, EP28
ENT_VAS_VN_36717_2411754	COMING FROM VENUS S2, EP27
ENT_VAS_VN_36637_2411753	COMING FROM VENUS S2, EP26
ENT_VAS_VN_36468_2411752	COMING FROM VENUS S2, EP25
ENT_VAS_VN_36467	COMING FROM VENUS S2, EP24
ENT_VAS_VN_36096	COMING FROM VENUS S2, EP22
ENT_VAS_VN_36198	COMING FROM VENUS S2, EP23
ENT_VAS_VN_35516	COMING FROM VENUS S2, EP21
ENT_VAS_VN_35515	COMING FROM VENUS S2, EP20
ENT_VAS_VN_35514	COMING FROM VENUS S2, EP19
ENT_VAS_VN_33809	COMING FROM VENUS S2, EP13
ENT_VAS_VN_33737	COMING FROM VENUS S2, EP12
ENT_VAS_VN_33310_2411738	COMING FROM VENUS S2, EP11
ENT_VAS_VN_33216	COMING FROM VENUS S2, EP10
ENT_VAS_VN_32998	COMING FROM VENUS S2, EP09
ENT_VAS_VN_32701_2411735	COMING FROM VENUS S2, EP08
ENT_VAS_VN_32500_2411733	COMING FROM VENUS S2, EP07
ENT_VAS_VN_32404_2411732	COMING FROM VENUS S2, EP06
ENT_VAS_VN_32143_2411731	COMING FROM VENUS S2, EP05
ENT_VAS_VN_31974	COMING FROM VENUS S2, EP04
ENT_VAS_VN_31485_2411728	COMING FROM VENUS S2, EP02
ENT_VAS_VN_31687_2411729	COMING FROM VENUS S2, EP03
ENT_VAS_VN_31365_2411727	COMING FROM VENUS S2, EP01</t>
  </si>
  <si>
    <t>Đến từ sao kim - Mùa 1</t>
  </si>
  <si>
    <t>Coming From Venus S1</t>
  </si>
  <si>
    <t>ENT_VAS_VN_31174	COMING FROM VENUS S1, EP25
ENT_VAS_VN_30918	COMING FROM VENUS S1, EP24
ENT_VAS_VN_30599	COMING FROM VENUS S1, EP23
ENT_VAS_VN_30390	COMING FROM VENUS S1, EP22
ENT_VAS_VN_30158	COMING FROM VENUS S1, EP21
ENT_VAS_VN_29856	COMING FROM VENUS S1, EP20
ENT_VAS_VN_29538	COMING FROM VENUS S1, EP19
ENT_VAS_VN_29279	COMING FROM VENUS S1, EP18
ENT_VAS_VN_29051	COMING FROM VENUS S1, EP17
ENT_VAS_VN_28107	COMING FROM VENUS S1, EP16
ENT_VAS_VN_28106	COMING FROM VENUS S1, EP15
ENT_VAS_VN_28105	COMING FROM VENUS S1, EP14
ENT_VAS_VN_28104	COMING FROM VENUS S1, EP13
ENT_VAS_VN_26953	COMING FROM VENUS S1, EP12
ENT_VAS_VN_26952	COMING FROM VENUS S1, EP11
ENT_VAS_VN_26951_2411709	COMING FROM VENUS S1, EP10
ENT_VAS_VN_26950	COMING FROM VENUS S1, EP09
ENT_VAS_VN_26949_2411707	COMING FROM VENUS S1, EP08
ENT_VAS_VN_26527	COMING FROM VENUS S1, EP07
ENT_VAS_VN_26340_2411717	COMING FROM VENUS S1, EP06
ENT_VAS_VN_26276	COMING FROM VENUS S1, EP05
ENT_VAS_VN_26177_2411715	COMING FROM VENUS S1, EP04
ENT_VAS_VN_26025	COMING FROM VENUS S1, EP03
ENT_VAS_VN_25817	COMING FROM VENUS S1, EP02
ENT_VAS_VN_25726	COMING FROM VENUS S1, EP01</t>
  </si>
  <si>
    <t>Bếp của mẹ- Mùa 4</t>
  </si>
  <si>
    <t>Mum Kitchen S4</t>
  </si>
  <si>
    <t>ENT_CIN_HNMK__15__2468047	MOM'S KITCHEN S4 - SOUR SOUP WITH SNAKEHEAD FISH, EP43
ENT_CIN_HNMK__15__2468046	MOM'S KITCHEN S4 - ROASTED CRAB WITH SALT, EP42
ENT_CIN_HNMK__15__2468045	MOM'S KITCHEN S4 - BEEF TAIL WITH BEANS, EP41
ENT_CIN_HNMK__15__2468044	MOM'S KITCHEN S4 - FIELD CABBAGE ROLLED WITH SNAKE HEAD FISH, EP40
ENT_CIN_HNMK__15__2468043	MOM'S KITCHEN S4 - SOUTHWESTERN FISH CONGEE, EP39
ENT_CIN_HNMK__15__2468042	MOM'S KITCHEN S4 - FRIED RICE WITH SEAFOOD AND VEGGIES, EP38
ENT_CIN_HNMK__15__2468041	MOM'S KITCHEN S4 - GRILLED EEL WITH PIPER LOLOT, EP37
ENT_CIN_HNMK__15__2468040	MOM'S KITCHEN S4 - NORTHERN VIETNAM'S STYLE STUFFED PANCAKE, EP36
ENT_CIN_HNMK__15__2468039	MOM'S KITCHEN S4 - RED BEAN MATCHA, EP35
ENT_CIN_HNMK__15__2468038	MOM'S KITCHEN S4 - EEL HOTPOT, EP34
ENT_CIN_HNMK__15__2468037	MOM'S KITCHEN S4 - FRIED RICE WITH LOTUS SEEDS, EP33
ENT_CIN_HNMK__15__2468036	MOM'S KITCHEN S4 - TRADITIONAL MOON CAKE, EP32
ENT_CIN_HNMK__15__2465422	MOM'S KITCHEN S4 - CHICKEN SALAD WITH BANANA INFLORESCENSE, EP31
ENT_CIN_HNMK__15__2465420	MOM'S KITCHEN S4 - SIMMERED CARP WITH PICKLED VEGETABLES, EP30
ENT_CIN_HNMK__15__2465418	MOM'S KITCHEN S4 - MANGO SALAD, EP29
ENT_CIN_HNMK__15__2465416	MOM'S KITCHEN S4 - STEWED PORK WITH ARTICHOKE, EP28
ENT_CIN_HNMK__15__2465414	MOM'S KITCHEN S4 - FRIED RICE WITH PINEAPPLE, EP27
ENT_CIN_HNMK__15__2465412	MOM'S KITCHEN S4 - MUSHROOM SALAD, EP26
ENT_CIN_HNMK__15__2465410	MOM'S KITCHEN S4 - SHAKED YOGURT, EP25
ENT_CIN_HNMK__15__2465408	MOM'S KITCHEN S4 - STIR-FRIED BEEF WITH ASPARAGUS, EP24
ENT_CIN_HNMK__15__2465406	MOM'S KITCHEN S4 - CARROT SOUP WITH GINGER, EP23
ENT_CIN_HNMK__15__2465404	MOM'S KITCHEN S4 - STEAMED SNAKEHEAD FISH WITH GOURD, EP22
ENT_CIN_HNMK__15__2465402	MOM'S KITCHEN S4 - CHAN PEI - RED BEAN SWEET SOUP, EP21
ENT_CIN_HNMK__15__2465287	MOM'S KITCHEN S4 - CHICKEN CURRY WITH TURMERIC, EP20
ENT_CIN_HNMK__15__2465285	MOM'S KITCHEN S4 - BEEF SALAD WITH CENTELLA, EP19
ENT_CIN_HNMK__15__2465283	MOM'S KITCHEN S4 - SALTY CREPE CAKE, EP18
ENT_CIN_HNMK__15__2465281	MOM'S KITCHEN S4 - BLUE VIRGIN MOJITO, EP17
ENT_CIN_HNMK__15__2465279	MOM'S KITCHEN S4 - STEWED PIG'S BRAIN WITH HERBS, EP16
ENT_CIN_HNMK__15__2465277	MOM'S KITCHEN S4 - BLACK CHICKEN STEWED WITH GINSENG, EP15
ENT_CIN_HNMK__15__2465274	MOM'S KITCHEN S4 - STEAMED CHICKEN WITH SALT AND LAKSA LEAVES, EP14
ENT_CIN_HNMK__15__2465273	MOM'S KITCHEN S4 - ICE COFFEE WITH JELLY, EP13
ENT_CIN_HNMK__15__2465270	MOM'S KITCHEN S4 - BEEF NOODLE, EP12
ENT_CIN_HNMK__15__2465268	MOM'S KITCHEN S4 - BAN DON GRILLED CHICKEN, EP11
ENT_CIN_HNMK__15__2464130	MOM'S KITCHEN S4 - CHICKEN SALAD WITH ONION, EP10
ENT_CIN_HNMK__15__2464128	MOM'S KITCHEN S4 - MANGO PANNA COTTA, EP09
ENT_CIN_HNMK__15__2464126	MOM'S KITCHEN S4 - SALMON CONGEE, EP08
ENT_CIN_HNMK__15__2464124	MOM'S KITCHEN S4 - NINH BINH FRIED RICE, EP07
ENT_CIN_HNMK__15__2464122	MOM'S KITCHEN S4 - SALMON SALAD WITH APPLE, EP06
ENT_CIN_HNMK__15__2464120	MOM'S KITCHEN S4 - APPLE AND STRAWBERRY JUICE, EP05
ENT_CIN_HNMK__15__2464118	MOM'S KITCHEN S4 - KIMCHI HOTPOT, EP04
ENT_CIN_HNMK__15__2464115	MOM'S KITCHEN S4 - PUMPKIN SOUP
ENT_CIN_HNMK__15__2463954	MOM'S KITCHEN S4 - BITTER MELON AND FISH HOT POT
ENT_CIN_HNMK__15__2463774	MOM'S KITCHEN S4 - NORTHERN VIETNAMESE-STYLE SOUP</t>
  </si>
  <si>
    <t>Bếp của mẹ- Mùa 3</t>
  </si>
  <si>
    <t>Mum Kitchen S3</t>
  </si>
  <si>
    <t>ENT_CIN_HNMK__14_2459505	MOM'S KITCHEN S3 - STEAMED EGG, EP38
ENT_CIN_HNMK__14_2459503	MOM'S KITCHEN S3 - FRIED CHICKEN WING, EP37
ENT_CIN_HNMK__14_2459501	MOM'S KITCHEN S3 - STEWED PEAR WITH WINE, EP36
ENT_CIN_HNMK__14_2458373	MOM'S KITCHEN S3 - HAWAIIAN PIZZA, EP35
ENT_CIN_HNMK__14_2458372	MOM'S KITCHEN S3 - SINGAPORIAN FROG GRUEL, EP34
ENT_CIN_HNMK__14_2458371	MOM'S KITCHEN S3 - RICE GRUEL WITH TOFU SKIN, EP33
ENT_CIN_HNMK__14_2458368	MOM'S KITCHEN S3 - FRIED STICKY RICE STUFFED SQUID, EP30
ENT_CIN_HNMK__14_2458370	MOM'S KITCHEN S3 - COCONUT STICKY RICE, EP32
ENT_CIN_HNMK__14_2458369	MOM'S KITCHEN S3 - MEXICAN GRILLED CHICKEN, EP31
ENT_CIN_HNMK__14_2447492	MOM'S KITCHEN S3 - GRILLED SALMON WITH PASSION FRUIT AND ORANGE SAUCE, EP29
ENT_CIN_HNMK__14_2447491	MOM'S KITCHEN S3 - KOHLRABI SALAD, EP28
ENT_CIN_HNMK__14_2447490	MOM'S KITCHEN S3 - GRILLED RIBS WITH SOUR AND SWEET SAUCE, EP27
ENT_CIN_HNMK__14_2447489	MOM'S KITCHEN S3 - SNAKEHEAD-FISH SPRING ROLLS, EP26
ENT_CIN_HNMK__14_2446869	MOM'S KITCHEN S3 - MUNG BEAN WITH PUMPKIN SWEET SOUP, EP23
ENT_CIN_HNMK__14_2446870	MOM'S KITCHEN S3 - LOTUS SALAD WITH PORK AND SHRIMP, EP24
ENT_CIN_HNMK__14_2446871	MOM'S KITCHEN S3 - GRILLED BREAD WITH BUTTER AND GARLIC, EP25
ENT_CIN_HNMK__14_2446735	MOM'S KITCHEN S3 - STEWED PIGEON, EP22
ENT_CIN_HNMK__14_2436348	MOM'S KITCHEN S3 - FETTUCCINE WITH CREAM, EP21
ENT_CIN_HNMK__14_2435861	MOM'S KITCHEN S3 - BEEF-STEAK WITH GREEN PEPPER SAUCE, EP20
ENT_CIN_HNMK__14_2435859	MOM'S KITCHEN S3 - STEAMED CHICKEN WITH WORMWOOD, EP18
ENT_CIN_HNMK__14_2435857	MOM'S KITCHEN S3 - SHRIMP PASTE, EP16
ENT_CIN_HNMK__14_2435860	MOM'S KITCHEN S3 - ANABAS NOODLES, EP19
ENT_CIN_HNMK__14_2435858	MOM'S KITCHEN S3 - CHICKEN CURRY, EP17
ENT_CIN_HNMK__14_2435169	MOM'S KITCHEN S3 - EGGPLANT WITHSALTED FISH IN CLAY POT, EP15
HNMK__14_2435171	Prod Mom's Kitchen S3_No.20_19.06.2014
HNMK__14_2435170	Prod Mom's Kitchen S3_No.19_12.06.2014
ENT_CIN_HNMK__14_2435092	MOM'S KITCHEN S3 - ROASTED CRAB WITH TAMARIND, EP14
ENT_CIN_HNMK__14_2435091	MOM'S KITCHEN S3 - BEEF BURGER, EP13
ENT_CIN_HNMK__14_12433994	MOM'S KITCHEN S3 - LOCAL FLOWERS HOT POT, EP41
ENT_CIN_HNMK__14_12433992	MOM'S KITCHEN S3 - GRILLED SNAKEHEAD-FISH WITH LOTUS LEAF, EP40
ENT_CIN_HNMK__14_12433990	MOM'S KITCHEN S3 - ROASTED PIGEON WITH TANGERINE SAUCE, EP39
ENT_CIN_HNMK__14_2433738	MOM'S KITCHEN S3 - STEWED DUCK WITH EIGHT FLAVORS, EP12
ENT_CIN_HNMK__14_2433737	MOM'S KITCHEN S3 - SHRIMP SIMMERED WITH COCONUT SAUCE - STEAMED RICE WITH COCONUT, EP11
ENT_CIN_HNMK__14_2433150	MOM'S KITCHEN S3 - CHOCOLATE CAKE, EP10
ENT_CIN_HNMK__14_2433149	MOM'S KITCHEN S3 - VEGETARIAN HOT POT, EP09
ENT_CIN_HNMK__VN_2432251	MOM'S KITCHEN S3 - NHA TRANG FRIED RICE WITH CHILLI, EP07
ENT_CIN_HNMK__VN_2432250	MOM'S KITCHEN S3 - CAESAR SALAD, EP06
ENT_CIN_HNMK__14_VN_2432146	MOM'S KITCHEN S3 - CHICKEN BURRITO, EP08
ENT_CIN_HNMK__VN_51199	MOM'S KITCHEN S3 - FERMENTED FISH WITH GROUND PORK AND EGG, EP05
ENT_CIN_HNMK__VN_46759	MOM'S KITCHEN S3 - ROLLED EGG, EP04
ENT_CIN_HNMK__VN_46758	MOM'S KITCHEN S3 - SNAKEHEAD-FISH STEAMED WITH COCONUT MILK, EP03
ENT_CIN_HNMK__VN_46323	MOM'S KITCHEN S3 - FROZEN CHEESE CAKE, EP02
ENT_CIN_HNMK__VN_46322	MOM'S KITCHEN S3 - STICKY RICE WITH PORK, EP01</t>
  </si>
  <si>
    <t>Bếp của mẹ- Mùa 2</t>
  </si>
  <si>
    <t>Mum Kitchen S2</t>
  </si>
  <si>
    <t>ENT_CIN_HNMK__VN_39737	MOM'S KITCHEN S2 - GRILLED PORK SKEWER, EP32
ENT_CIN_HNMK__VN_39736_2410992	MOM'S KITCHEN S2 - NOODLES STIR-FRIED WITH MEAT, SEAFOOD AND VEGGIES, EP31
ENT_CIN_HNMK__VN_39531	MOM'S KITCHEN S2 - SOUTHWESTERN FISH CONGEE, EP30
ENT_CIN_HNMK__VN_38621	MOM'S KITCHEN S2 - POTATO SALAD, EP29
ENT_CIN_HNMK__VN_38620	MOM'S KITCHEN S2 - STEAMED SHRIMP WITH GARLIC AND FRIED SHRIMP WITH SALT, EP28
ENT_CIN_HNMK__VN_38187_2410986	MOM'S KITCHEN S2 - SEAFOOD SOUP, EP27
ENT_CIN_HNMK__VN_38186	MOM'S KITCHEN S2 - THAI BEEF SALAD, EP26
ENT_CIN_HNMK__VN_38185	MOM'S KITCHEN S2 - FRIED SHRIMP WITH ALMOND, EP25
ENT_CIN_HNMK__VN_37501	MOM'S KITCHEN S2 - CABONARA, EP24
ENT_CIN_HNMK__VN_37500	MOM'S KITCHEN S2 - SPRING ROLLS, EP23
ENT_CIN_HNMK__VN_37024	MOM'S KITCHEN S2 - CHOCOLATE CAKE, EP22
ENT_CIN_HNMK__14_VN_37023	MOM'S KITCHEN S2 - SPINY GOBY FISH HOT POT, EP18
ENT_CIN_HNMK__14_VN_37022	MOM'S KITCHEN S2 - STEWED CHICKEN WITH LIMA BEAN, EP17
ENT_CIN_HNMK__14_VN_36826_2410978	MOM'S KITCHEN S2 - CREPE CAKE, EP16
ENT_CIN_HNMK__14_VN_36825_2410975	MOM'S KITCHEN S2 - CHICKEN CURRY, EP15
ENT_CIN_HNMK__14_VN_36716_2410960	MOM'S KITCHEN S2 - STUFFED ESCARGOT, EP14
ENT_CIN_HNMK__VN_36636	MOM'S KITCHEN S2 - PUMPKIN AND POTATO SOUP, EP21
ENT_CIN_HNMK__14_VN_36464	MOM'S KITCHEN S2 - STEWED SNAILS WITH GREEN BANANA AND SOYA CURD, EP13
HNMK_14_VN_36463	Prod Mom's Kitchen S2_No.15_13.06.2013
ENT_CIN_HNMK__14_VN_36197	MOM'S KITCHEN S2 - GREAT SPIRIT, EP12
ENT_CIN_HNMK__14_VN_36099	MOM'S KITCHEN S2 - CRÈME BRULÉE, EP11
ENT_CIN_HNMK__VN_35195	MOM'S KITCHEN S2 - SWEET AND SOUR PORK RIBS, EP20
ENT_CIN_HNMK__14_VN_35552	MOM'S KITCHEN S2 - BAMBOO SHOOT SOUP WITH PORK TROTTER, EP10
ENT_CIN_HNMK__14_VN_35551	MOM'S KITCHEN S2 - ICE CHOCOLATE, EP09
ENT_CIN_HNMK__14_VN_35550	MOM'S KITCHEN S2 - STIR-FRIED SHRIMP WITH ORANGE SAUCE, EP08
ENT_CIN_HNMK__14_VN_34966	MOM'S KITCHEN S2 - CARAMELIZED HEMIBAGRUS IN CLAY POT, EP07
ENT_CIN_HNMK__14_VN_34094	MOM'S KITCHEN S2 - FRIED SQUID WITH FISH SAUCE, EP06
ENT_CIN_HNMK__14_VN_34093	MOM'S KITCHEN S2 - HAMBURGER, EP05
ENT_CIN_HNMK__14_VN_34092	MOM'S KITCHEN S2 - PORK RIB AND MUSHROOM CONGEE, EP04
ENT_CIN_HNMK__14_VN_33576	MOM'S KITCHEN S2 - FLOWER HOTPOT
ENT_CIN_HNMK__14_VN_33575	MOM'S KITCHEN S2 - CRISPY PORK LEG
ENT_CIN_HNMK__14_VN_33475	MOM'S KITCHEN S2 - STEWED CHICKEN WITH CHILLI IN HOT POT
ENT_CIN_HNMK__VN_33232	MOM'S KITCHEN S2 - TIRAMISU, EP19</t>
  </si>
  <si>
    <t>Bếp của mẹ- Mùa 1</t>
  </si>
  <si>
    <t>Mum Kitchen S1</t>
  </si>
  <si>
    <t>ENT_CIN_HNMK__14_VN_27805	MOM'S KITCHEN S1 - BEEFSTEAK DINING, EP36
ENT_CIN_HNMK__14_VN_26692	MOM'S KITCHEN S1 - GRILLED BEEF WRAPPED IN BETEL LEAF, EP35
ENT_CIN_HNMK__14_VN_26691	MOM'S KITCHEN S1 - STICKY RICE STEAMED IN LOTUS LEAF, EP34
ENT_CIN_HNMK__14_VN_26690	MOM'S KITCHEN S1 - ROASTED ROLLED-WITH-VEGEABLE PORK, EP33
ENT_CIN_HNMK__14_VN_26689	MOM'S KITCHEN S1 - SALMON SASHIMI WITH POTATOES, EP32
ENT_CIN_HNMK__14_VN_26688	MOM'S KITCHEN S1 - GRILLED SNAKE-HEAD, EP31
ENT_CIN_HNMK__14_VN_25755	MOM'S KITCHEN S1 - GRILLED RICE PAPER, EP30
ENT_CIN_HNMK__14_VN_25697	MOM'S KITCHEN S1 - MIXED VEGETABLES TEMPURA, EP29
ENT_CIN_HNMK__14_VN_25696	MOM'S KITCHEN S1 - BREAD, EP28
ENT_CIN_HNMK__14_VN_25644	MOM'S KITCHEN S1 - FISH CURRY, EP27
ENT_CIN_HNMK__14_VN_25591_2410941	MOM'S KITCHEN S1 - COCKTAIL, EP26
ENT_CIN_HNMK__14_VN_25590_2410940	MOM'S KITCHEN S1 - OYSTER SALAD, EP25
ENT_CIN_HNMK__14_VN_25589_2412096	MOM'S KITCHEN S1 - TOFU STEWED WITH SPICA, EP24
ENT_CIN_HNMK__14_VN_25035_2410938	MOM'S KITCHEN S1 - JACKFRUIT BRAISED WITH COCONUT, EP23
ENT_CIN_HNMK__14_VN_25034	MOM'S KITCHEN S1 - CLAM RICE, EP22
ENT_CIN_HNMK__14_VN_25033_2410936	MOM'S KITCHEN S1 - BEEF STEWED WITH BEANS, EP21
ENT_CIN_HNMK__14_VN_25032_2410935	MOM'S KITCHEN S1 - SPRING ROLLS AS MIEN TAY STYLE, EP20
ENT_CIN_HNMK__14_VN_24894_2410934	MOM'S KITCHEN S1 - FROG STEAMED WITH SALT, EP19
ENT_CIN_HNMK__14_VN_24652_2410933	MOM'S KITCHEN S1 - MARBLE CAKES, EP18
ENT_CIN_HNMK__VN_24427_2410932	MOM'S KITCHEN S1 - SEVEN-TASTE CONGEE, EP17
ENT_CIN_HNMK__14_VN_24082_2410931	MOM'S KITCHEN S1 - CHICKEN HOT POT, EP16
ENT_CIN_HNMK__14_VN_23665_2410930	MOM'S KITCHEN S1 - NUI CREAM, EP15
ENT_CIN_HNMK__VN_23263_2410929	MOM'S KITCHEN S1 - STIR CHICKEN WITH VEGETABLES, EP14
ENT_CIN_HNMK__14_VN_22637_2410926	MOM'S KITCHEN S1 - SALTY SAUCE RICE NOODLES, EP13
ENT_CIN_HNMK__14_VN_22344_2410925	MOM'S KITCHEN S1 - BAKED SALMON IN FOIL, EP12
ENT_CIN_HNMK__14_VN_21308_2410921	MOM'S KITCHEN S1 - SAUTÉED DUCK WITH ORANGE SAUCE, EP11
ENT_CIN_HNMK__14_VN_20732_2410917	MOM'S KITCHEN S1 - SCALLION SOUP WITH CLAMS, SHRIMP STEAMED WITH WATER MELON, EP10
ENT_CIN_HNMK__VN_20508_2410919	MOM'S KITCHEN S1 - PINEAPPLE BRAISED PORK, EP9
ENT_CIN_HNMK__VN_20041_2410958	MOM'S KITCHEN S1 - BREADED SHRIMP WITH PASSION FRUIT, EP7
ENT_CIN_HNMK__VN_20337	MOM'S KITCHEN S1 - MUFFINS CHOCOLATE, EP8
ENT_CIN_HNMK__VN_19794_2410957	MOM'S KITCHEN S1 - SPAGHETTI BOLOGNAISE, EP6
ENT_CIN_HNMK_14_VN_19618	MOM'S KITCHEN S1, EP05 - MUSHROOM HOTPOT
ENT_CIN_HNMK_14_VN_19456	MOM'S KITCHEN S1, EP04
ENT_CIN_HNMK__14_VN_19261	MOM'S KITCHEN S1 - FRIED FISH WITH SWEET AND SOUR SAUCE, EP03
ENT_CIN_HNMK__14_VN_19118	MOM'S KITCHEN S1 - KUNG PAO CHICKEN, EP02
ENT_CIN_HNMK__14_VN_18814_2410928	MOM'S KITCHEN S1 - TINY SHRIMP SIMMERED WITH PICKLED VEGETABLES, EP01</t>
  </si>
  <si>
    <t xml:space="preserve">To </t>
  </si>
  <si>
    <t xml:space="preserve">From </t>
  </si>
  <si>
    <t>Total (hour)</t>
  </si>
  <si>
    <t>Duration</t>
  </si>
  <si>
    <t>EPS</t>
  </si>
  <si>
    <t>Nước sản xuất</t>
  </si>
  <si>
    <t>Tên tiếng Việt</t>
  </si>
  <si>
    <t>Tên tiếng Anh</t>
  </si>
  <si>
    <t>Clip code</t>
  </si>
  <si>
    <t xml:space="preserve">Show </t>
  </si>
  <si>
    <t>Ngày c.từ</t>
  </si>
  <si>
    <t/>
  </si>
  <si>
    <t>Mã vụ việc</t>
  </si>
  <si>
    <t>Pororo Season 7</t>
  </si>
  <si>
    <t>Unlimited Run</t>
  </si>
  <si>
    <t>Unlimited run</t>
  </si>
  <si>
    <t xml:space="preserve">Non exclusive </t>
  </si>
  <si>
    <t>K+KIDS</t>
  </si>
  <si>
    <t>Korea</t>
  </si>
  <si>
    <t>11/2025/HDBQ/VSTV_Iconix</t>
  </si>
  <si>
    <t xml:space="preserve">Iconix </t>
  </si>
  <si>
    <t>Animation</t>
  </si>
  <si>
    <t>Pororo S7</t>
  </si>
  <si>
    <t>Pororo Season 6</t>
  </si>
  <si>
    <t>Pororo S6</t>
  </si>
  <si>
    <t>DORAEMON Season 13</t>
  </si>
  <si>
    <t>JP</t>
  </si>
  <si>
    <t>38B/2025/HDBQ/VSTV-POPS</t>
  </si>
  <si>
    <t>Pops</t>
  </si>
  <si>
    <t>Animation, Adventure, Family</t>
  </si>
  <si>
    <t>Doraemon mùa 13</t>
  </si>
  <si>
    <t>Doraemon S13</t>
  </si>
  <si>
    <t>DORAEMON Season 11</t>
  </si>
  <si>
    <t>37B/2025/HDBQ/VSTV-POPS</t>
  </si>
  <si>
    <t>Doraemon mùa 11</t>
  </si>
  <si>
    <t>Doraemon S11</t>
  </si>
  <si>
    <t>Doraemon Season 10</t>
  </si>
  <si>
    <t>38/2025/HDBQ/VSTV-POPS</t>
  </si>
  <si>
    <t>Doraemon mùa 10</t>
  </si>
  <si>
    <t>Doraemon S10</t>
  </si>
  <si>
    <t>WOLFOO Season 2</t>
  </si>
  <si>
    <t>138/2024/HDBQ/VSTV-WU</t>
  </si>
  <si>
    <t xml:space="preserve">Animation </t>
  </si>
  <si>
    <t>Wolfoo</t>
  </si>
  <si>
    <t>Wolfoo S2</t>
  </si>
  <si>
    <t>ZIG &amp; SHARKO - Season 4</t>
  </si>
  <si>
    <t>France</t>
  </si>
  <si>
    <t>Kid/XA_2024_ONG-Zig4-OOS1_Contrat</t>
  </si>
  <si>
    <t>XILAM ANIMATION</t>
  </si>
  <si>
    <t>Zig và Sharko</t>
  </si>
  <si>
    <t xml:space="preserve">ZIG &amp; SHARKO – Season 4 </t>
  </si>
  <si>
    <t>OGGY OGGY - Season 1</t>
  </si>
  <si>
    <t>Oggy nhí</t>
  </si>
  <si>
    <t xml:space="preserve">OGGY OGGY – Season 1 </t>
  </si>
  <si>
    <t>OGGY AND THE COCKROACHES, NEXT GENERATION</t>
  </si>
  <si>
    <t>Oggy và những chú gián tinh nghịch: Thế hệ kế tiếp</t>
  </si>
  <si>
    <t xml:space="preserve">OGGY AND THE COCKROACHES, NEXT GENERATION </t>
  </si>
  <si>
    <t>Inspector Gadget Season 1</t>
  </si>
  <si>
    <t xml:space="preserve">UK </t>
  </si>
  <si>
    <t xml:space="preserve">Wildbrain </t>
  </si>
  <si>
    <t>Thám tử Gadget</t>
  </si>
  <si>
    <t xml:space="preserve">Inspector Gadget Season 1 </t>
  </si>
  <si>
    <t>Princess Doremi Season 3</t>
  </si>
  <si>
    <t>China</t>
  </si>
  <si>
    <t>41/2024/HDBQ/VSTV_FZ</t>
  </si>
  <si>
    <t>FZ</t>
  </si>
  <si>
    <t>Công chúa Doremi</t>
  </si>
  <si>
    <t>Princess Doremi Season 2</t>
  </si>
  <si>
    <t>Princess Doremi Season 1</t>
  </si>
  <si>
    <t>SMURFS: THE LOST VILLAGE</t>
  </si>
  <si>
    <t>1981 - 1989</t>
  </si>
  <si>
    <t>Belgium</t>
  </si>
  <si>
    <t>2023_IM_AV -TV_RD_8077</t>
  </si>
  <si>
    <t>IMPS</t>
  </si>
  <si>
    <t>Xì Trum</t>
  </si>
  <si>
    <t xml:space="preserve">The Smurfs S9 </t>
  </si>
  <si>
    <t>The Smurfs S1</t>
  </si>
  <si>
    <t>TURBO F.A.S.T. season 1</t>
  </si>
  <si>
    <t>10 exhibition week</t>
  </si>
  <si>
    <t>yes</t>
  </si>
  <si>
    <t>Exclusive local TV, non exclusive SVOD</t>
  </si>
  <si>
    <t>US</t>
  </si>
  <si>
    <t>5049540-2/161434-3</t>
  </si>
  <si>
    <t>NBC Universal</t>
  </si>
  <si>
    <t>Turbo và đội đua siêu tốc</t>
  </si>
  <si>
    <t>TURBO F.A.S.T. #01 (2013/14)</t>
  </si>
  <si>
    <t>TROLLSTOPIA season 2</t>
  </si>
  <si>
    <t> Thành phố quỷ lùn</t>
  </si>
  <si>
    <t>TROLLSTOPIA #02 (2021/22)</t>
  </si>
  <si>
    <t>MADAGASCAR: A LITTLE WILD season 2</t>
  </si>
  <si>
    <t> Madagascar: Sở thú nhí</t>
  </si>
  <si>
    <t>MADAGASCAR: A LITTLE WILD #02 (2021/22)</t>
  </si>
  <si>
    <t>DRAGONS: RIDERS OF BERK season 1</t>
  </si>
  <si>
    <t>Những câu chuyện về rồng</t>
  </si>
  <si>
    <t>DRAGONS: RIDERS OF BERK #01 (2012/13)</t>
  </si>
  <si>
    <t>MARTIN MORNING – CGI SERIES</t>
  </si>
  <si>
    <t>Non exclusive</t>
  </si>
  <si>
    <t>Kids/2024_fc_vstv_Mediatoon Kids pack</t>
  </si>
  <si>
    <t>Mediatoon</t>
  </si>
  <si>
    <t>Buổi sáng diệu kỳ của Martin</t>
  </si>
  <si>
    <t>THE FOX BADGER FAMILY Season 2</t>
  </si>
  <si>
    <t>Gia đình Cáo - Lửng</t>
  </si>
  <si>
    <t>Doraemon Season 12</t>
  </si>
  <si>
    <t>Unlimited</t>
  </si>
  <si>
    <t>Japan</t>
  </si>
  <si>
    <t>34/2024/HDBQ/VSTV-WU</t>
  </si>
  <si>
    <t>POPS</t>
  </si>
  <si>
    <t>Anime, Adventure, Family</t>
  </si>
  <si>
    <t>Doraemon mùa 12</t>
  </si>
  <si>
    <t>DORAEMON S12</t>
  </si>
  <si>
    <t>Talking Tom &amp; Friends S3</t>
  </si>
  <si>
    <t>Non-exclusive all Pay TV Rights and SVOD Right</t>
  </si>
  <si>
    <t>jetpack/Talking Tom</t>
  </si>
  <si>
    <t xml:space="preserve">Jetpack </t>
  </si>
  <si>
    <t>Adventure, Comedy</t>
  </si>
  <si>
    <t>Tom biết nói</t>
  </si>
  <si>
    <t>Talking Tom &amp; Friends S2</t>
  </si>
  <si>
    <t xml:space="preserve">Talking Tom &amp; Friends S2 </t>
  </si>
  <si>
    <t>Thomas &amp; Friends Series 25</t>
  </si>
  <si>
    <t>/Gullane (Thomas) Limited</t>
  </si>
  <si>
    <t>Gullane (Thomas) Limited</t>
  </si>
  <si>
    <t>Animation, Adventure, Comedy</t>
  </si>
  <si>
    <t>Thomas và các bạn</t>
  </si>
  <si>
    <t>Thomas &amp; Friends Series 25 Special: Race for the Sodor Cup</t>
  </si>
  <si>
    <t>KID_PRE_23__2706214</t>
  </si>
  <si>
    <t>Tunes of Rockoons</t>
  </si>
  <si>
    <t>Non exclusive all Pay TV Rights and SVOD + AVOD Rights during LP</t>
  </si>
  <si>
    <t>RUS</t>
  </si>
  <si>
    <t>#LA20032023</t>
  </si>
  <si>
    <t>Animavision</t>
  </si>
  <si>
    <t>Animation Comedy</t>
  </si>
  <si>
    <t>Hộp nhạc diệu kỳ</t>
  </si>
  <si>
    <t>I'll get you</t>
  </si>
  <si>
    <t>Hãy đợi đấy!</t>
  </si>
  <si>
    <t>I’ll get you</t>
  </si>
  <si>
    <t>OGGY AND THE COCKROACHES - Season 7</t>
  </si>
  <si>
    <t>kid/Xilam_2023_license_agreement_k_vietnam_oggy_s5_6_7_ (1)</t>
  </si>
  <si>
    <t>Xilam</t>
  </si>
  <si>
    <t>Oggy và những chú gián tinh nghịch</t>
  </si>
  <si>
    <t>OGGY AND THE COCKROACHES - Season 7 (78x7’)</t>
  </si>
  <si>
    <t>OGGY AND THE COCKROACHES - Season 6</t>
  </si>
  <si>
    <t>OGGY AND THE COCKROACHES - Season 6 (78x7’)</t>
  </si>
  <si>
    <t>OGGY AND THE COCKROACHES - Season 5</t>
  </si>
  <si>
    <t>OGGY AND THE COCKROACHES - Season 5 (74x7’ &amp; 2x13’)</t>
  </si>
  <si>
    <t>THE GARFIELD SHOW Season 2</t>
  </si>
  <si>
    <t>29/2023/HDBQ/VSTV-Mediatoon</t>
  </si>
  <si>
    <t>Chú mèo Garfield</t>
  </si>
  <si>
    <t>THE GARFIELD SHOW Season 2 (52 X 12’)</t>
  </si>
  <si>
    <t>CONTRAPTUS</t>
  </si>
  <si>
    <t>Tiến sĩ thiên tài</t>
  </si>
  <si>
    <t>CONTRAPTUS (78 X 8’)</t>
  </si>
  <si>
    <t>LIVING WITH DAD</t>
  </si>
  <si>
    <t>Bốn con gái và bố thông thái</t>
  </si>
  <si>
    <t>LIVING WITH DAD (52 X 12’)</t>
  </si>
  <si>
    <t>Oddbods Specials: The Festive Menace</t>
  </si>
  <si>
    <t>Non-exclusive all Pay TV Rights and all VOD Rights.</t>
  </si>
  <si>
    <t>Singapore</t>
  </si>
  <si>
    <t>/Moonbug</t>
  </si>
  <si>
    <t>Moonbug</t>
  </si>
  <si>
    <t>Animation, Comedy</t>
  </si>
  <si>
    <t>Những người bạn kỳ lạ: Mối nguy mùa lễ hội</t>
  </si>
  <si>
    <t>Oddbods Special: The Festive Menace</t>
  </si>
  <si>
    <t>KID_PRE_23__2692204</t>
  </si>
  <si>
    <t>Oddbods Specials: Zee Force Five</t>
  </si>
  <si>
    <t>Những người bạn kỳ lạ: Lực lượng Zee năm phiên bản</t>
  </si>
  <si>
    <t>Oddbods Special: Zee Force Five</t>
  </si>
  <si>
    <t>KID_PRE_23__2692205</t>
  </si>
  <si>
    <t>Oddbods Season 3</t>
  </si>
  <si>
    <t>Những người bạn kỳ lạ</t>
  </si>
  <si>
    <t>Oddbods Season 2</t>
  </si>
  <si>
    <t>Oddbods Season 1</t>
  </si>
  <si>
    <t>CoComelon</t>
  </si>
  <si>
    <t>Nursery Rhymes</t>
  </si>
  <si>
    <t>CoComelon - Giai điệu cho bé</t>
  </si>
  <si>
    <t>TAFFY season 2</t>
  </si>
  <si>
    <t>Cyber/FE_License Agreement_Taffy S12_vstv-Cyber</t>
  </si>
  <si>
    <t>Cyber</t>
  </si>
  <si>
    <t>Gấu mèo Taffy</t>
  </si>
  <si>
    <t>Taffy S2</t>
  </si>
  <si>
    <t>TAFFY season 1</t>
  </si>
  <si>
    <t>Taffy S1</t>
  </si>
  <si>
    <t>ROBOCAR POLI ORIGINAL SERIES season 4</t>
  </si>
  <si>
    <t>125/2022/HDBQ/VSTV_ ROIVISUAL</t>
  </si>
  <si>
    <t>ROI VISUAL</t>
  </si>
  <si>
    <t>Edutainment</t>
  </si>
  <si>
    <t>Poli và các bạn</t>
  </si>
  <si>
    <t>Robocar POLI Season 4</t>
  </si>
  <si>
    <t>ROBOCAR POLI ORIGINAL SERIES season 3</t>
  </si>
  <si>
    <t>Robocar POLI Season 3</t>
  </si>
  <si>
    <t>Peg and Cat, Season 2</t>
  </si>
  <si>
    <t>Non-exclusive all Pay TV Rights, Catch-Up Right and all VOD Rights.</t>
  </si>
  <si>
    <t>US, Canada</t>
  </si>
  <si>
    <t>No. 9SDIL 1303</t>
  </si>
  <si>
    <t>9 Story Media Group</t>
  </si>
  <si>
    <t>Peg và mèo học Toán</t>
  </si>
  <si>
    <t>Peg + Cat, Season 2</t>
  </si>
  <si>
    <t>Peg and Cat, Season 1</t>
  </si>
  <si>
    <t>Peg + Cat, Season 1</t>
  </si>
  <si>
    <t>Wild Kratts, Season 1</t>
  </si>
  <si>
    <t>Kratts hoang dã</t>
  </si>
  <si>
    <t>Daniel Tiger’s Neighbourhood, Season 1</t>
  </si>
  <si>
    <t>Hổ Daniel và các bạn</t>
  </si>
  <si>
    <t>Daniel Tiger's Neighborhood, Season 1</t>
  </si>
  <si>
    <t>Masha and the Bear - Season 3</t>
  </si>
  <si>
    <t>no</t>
  </si>
  <si>
    <t>Russia</t>
  </si>
  <si>
    <t>#VSTV-1/2021</t>
  </si>
  <si>
    <t>Animaccord</t>
  </si>
  <si>
    <t>Cô bé Masha và chú Gấu xiếc</t>
  </si>
  <si>
    <t>Masha and the Bear S3</t>
  </si>
  <si>
    <t>Masha and the Bear - Season 2</t>
  </si>
  <si>
    <t>Masha and the Bear S2</t>
  </si>
  <si>
    <t>Masha and the Bear - Season 1</t>
  </si>
  <si>
    <t>Masha and the Bear S1</t>
  </si>
  <si>
    <t>Giá trị còn lại (15661)</t>
  </si>
  <si>
    <t>details kế toán</t>
  </si>
  <si>
    <t>Tên trên file Kế toán</t>
  </si>
  <si>
    <t>Drive 
(ổ cứng)</t>
  </si>
  <si>
    <t>Remain Run</t>
  </si>
  <si>
    <t>Runs No.</t>
  </si>
  <si>
    <t>Internet downloading (download to go)</t>
  </si>
  <si>
    <t>Catch-up</t>
  </si>
  <si>
    <t>OTT rights</t>
  </si>
  <si>
    <t>Exclusive
(month)</t>
  </si>
  <si>
    <t>Channel</t>
  </si>
  <si>
    <t>VSTV's 1st airing date</t>
  </si>
  <si>
    <t>To</t>
  </si>
  <si>
    <t>From</t>
  </si>
  <si>
    <t>Duration
(hours)</t>
  </si>
  <si>
    <t>Contract number</t>
  </si>
  <si>
    <t>Genre</t>
  </si>
  <si>
    <t>Clip Code</t>
  </si>
  <si>
    <t>No.</t>
  </si>
  <si>
    <t xml:space="preserve">No </t>
  </si>
  <si>
    <t>VOD only</t>
  </si>
  <si>
    <t>Drama</t>
  </si>
  <si>
    <t>124/2024/HDBQ/VSTV-HT</t>
  </si>
  <si>
    <t>HT</t>
  </si>
  <si>
    <t>Khanh Khanh Nhật Thường</t>
  </si>
  <si>
    <t>New life begins</t>
  </si>
  <si>
    <t>EP01 – SER_COS768
EP02 – SER_COS769
EP03 – SER_COS770
EP04 – SER_COS771
EP05 – SER_COS772
EP06 – SER_COS773
EP07 – SER_COS774
EP08 – SER_COS775
EP09 – SER_COS776
EP10 – SER_COS777
EP11 – SER_COS778
EP12 – SER_COS779
EP13 – SER_COS780
EP14 – SER_COS781
EP15 – SER_COS782
EP16 – SER_COS783
EP17 – SER_COS784
EP18 – SER_COS785
EP19 – SER_COS786
EP20 – SER_COS787
EP21 – SER_COS788
EP22 – SER_COS789
EP23 – SER_COS790
EP24 – SER_COS791
EP25 – SER_COS792
EP26 – SER_COS793
EP27 – SER_COS794
EP28 – SER_COS795
EP29 – SER_COS796
EP30 – SER_COS797
EP31 – SER_COS798
EP32 – SER_COS799
EP33 – SER_COS800
EP34 – SER_COS801
EP35 – SER_COS802
EP36 – SER_COS803
EP37 – SER_COS804
EP38 – SER_COS805
EP39 – SER_COS806
EP40 – SER_COS807</t>
  </si>
  <si>
    <t>Tuyết kiếm hành</t>
  </si>
  <si>
    <t>Sword Snow Stride</t>
  </si>
  <si>
    <t>EP01 – SER_COS_22_2677815
EP02 – SER_COS_22_2677816
EP03 – SER_COS_22_2677817
EP04 – SER_COS_22_2677818
EP05 – SER_COS_22_2677819
EP06 – SER_COS_22_2677820
EP07 – SER_COS_22_2677821
EP08 – SER_COS_22_2677828
EP09 – SER_COS_22_2677829
EP10 – SER_COS_22_2677830
EP11 – SER_COS_22_2677831
EP12 – SER_COS_22_2677832
EP13 – SER_COS_22_2677833
EP14 – SER_COS_22_2677834
EP15 – SER_COS_22_2677835
EP16 – SER_COS_22_2677836
EP17 – SER_COS_22_2677837
EP18 – SER_COS_22_2677838
EP19 – SER_COS_22_2677839
EP20 – SER_COS_22_2677840
EP21 – SER_COS_22_2677841
EP22 – SER_COS_22_2677842
EP23 – SER_COS_22_2677843
EP24 – SER_COS_22_2677844
EP25 – SER_COS_22_2677845
EP26 – SER_COS_22_2677846
EP27 – SER_COS_22_2677847
EP28 – SER_COS_22_2677848
EP29 – SER_COS_22_2677849
EP30 – SER_COS_22_2677851
EP31 – SER_COS_22_2677850
EP32 – SER_COS_22_2677852
EP33 – SER_COS_22_2677853
EP34 – SER_COS_22_2677854
EP35 – SER_COS_22_2677855
EP36 – SER_COS_22_2677856
EP37 – SER_COS_22_2677857
EP38 – SER_COS_22_2677858</t>
  </si>
  <si>
    <t>Đội ngũ danh y</t>
  </si>
  <si>
    <t>Medical top team</t>
  </si>
  <si>
    <t>EP01 – SER_DRA5097
EP02 – SER_DRA5098
EP03 – SER_DRA5099
EP04 – SER_DRA5100
EP05 – SER_DRA5101
EP06 – SER_DRA5102
EP07 – SER_DRA5103
EP08 – SER_DRA5104
EP09 – SER_DRA5105
EP10 – SER_DRA5106
EP11 – SER_DRA5107
EP12 – SER_DRA5108
EP13 – SER_DRA5109
EP14 – SER_DRA5110
EP15 – SER_DRA5111
EP16 – SER_DRA5112
EP17 – SER_DRA5113
EP18 – SER_DRA5114
EP19 – SER_DRA5115
EP20 – SER_DRA5116
EP21 – SER_DRA5117
EP22 – SER_DRA5118
EP23 – SER_DRA5119
EP24 – SER_DRA5120
EP25 – SER_DRA5121
EP26 – SER_DRA5122
EP27 – SER_DRA5123
EP28 – SER_DRA5124
EP29 – SER_DRA5125
EP30 – SER_DRA5126
EP31 – SER_DRA5127
EP32 – SER_DRA5128
EP33 – SER_DRA5129
EP34 – SER_DRA5130
EP35 – SER_DRA5131
EP36 – SER_DRA5132
EP37 – SER_DRA5133
EP38 – SER_DRA5134
EP39 – SER_DRA5135
EP40 – SER_DRA5136</t>
  </si>
  <si>
    <t>Ngày mai chiến thắng</t>
  </si>
  <si>
    <t>Victory for tomorow</t>
  </si>
  <si>
    <t>EP01 – SER_DRA4553
EP02 – SER_DRA4554
EP03 – SER_DRA4555
EP04 – SER_DRA4556
EP05 – SER_DRA4557
EP06 – SER_DRA4558
EP07 – SER_DRA4559
EP08 – SER_DRA4560
EP09 – SER_DRA4561
EP10 – SER_DRA4562
EP11 – SER_DRA4563
EP12 – SER_DRA4564
EP13 – SER_DRA4565
EP14 – SER_DRA4566
EP15 – SER_DRA4567
EP16 – SER_DRA4568
EP17 – SER_DRA4569
EP18 – SER_DRA4570
EP19 – SER_DRA4571
EP20 – SER_DRA4572
EP21 – SER_DRA4573
EP22 – SER_DRA4574
EP23 – SER_DRA4575
EP24 – SER_DRA4576
EP25 – SER_DRA4577
EP26 – SER_DRA4578
EP27 – SER_DRA4579
EP28 – SER_DRA4580
EP29 – SER_DRA4581
EP30 – SER_DRA4582
EP31 – SER_DRA4583
EP32 – SER_DRA4584
EP33 – SER_DRA4585
EP34 – SER_DRA4586
EP35 – SER_DRA4587
EP36 – SER_DRA4588
EP37 – SER_DRA4589
EP38 – SER_DRA4590
EP39 – SER_DRA4591
EP40 – SER_DRA4592
EP41 – SER_DRA4593
EP42 – SER_DRA4594
EP43 – SER_DRA4595
EP44 – SER_DRA4596
EP45 – SER_DRA4597
EP46 – SER_DRA4598
EP47 – SER_DRA4599
EP48 – SER_DRA4600
EP49 – SER_DRA4601
EP50 – SER_DRA4602
EP51 – SER_DRA4603
EP52 – SER_DRA4604
EP53 – SER_DRA4605
EP54 – SER_DRA4606
EP55 – SER_DRA4607
EP56 – SER_DRA4608
EP57 – SER_DRA4609
EP58 – SER_DRA4610
EP59 – SER_DRA4611
EP60 – SER_DRA4612
EP61 – SER_DRA4613
EP62 – SER_DRA4614
EP63 – SER_DRA4615
EP64 – SER_DRA4616
EP65 – SER_DRA4617
EP66 – SER_DRA4618
EP67 – SER_DRA4619
EP68 – SER_DRA4620
EP69 – SER_DRA4621
EP70 – SER_DRA4622
EP71 – SER_DRA4623
EP72 – SER_DRA4624
EP73 – SER_DRA4625
EP74 – SER_DRA4626
EP75 – SER_DRA4627
EP76 – SER_DRA4628
EP77 – SER_DRA4629
EP78 – SER_DRA4630
EP79 – SER_DRA4631
EP80 – SER_DRA4632
EP81 – SER_DRA4633
EP82 – SER_DRA4634
EP83 – SER_DRA4635
EP84 – SER_DRA4636
EP85 – SER_DRA4637
EP86 – SER_DRA4638
EP87 – SER_DRA4639
EP88 – SER_DRA4640
EP89 – SER_DRA4641
EP90 – SER_DRA4642
EP91 – SER_DRA4643
EP92 – SER_DRA4644
EP93 – SER_DRA4645
EP94 – SER_DRA4646
EP95 – SER_DRA4647
EP96 – SER_DRA4648
EP97 – SER_DRA4649
EP98 – SER_DRA4650
EP99 – SER_DRA4651
EP100 – SER_DRA4652
EP101 – SER_DRA4653
EP102 – SER_DRA4654
EP103 – SER_DRA4655
EP104 – SER_DRA4656
EP105 – SER_DRA4657
EP106 – SER_DRA4658
EP107 – SER_DRA4659
EP108 – SER_DRA4660
EP109 – SER_DRA4661
EP110 – SER_DRA4662
EP111 – SER_DRA4663
EP112 – SER_DRA4664
EP113 – SER_DRA4665
EP114 – SER_DRA4666
EP115 – SER_DRA4667
EP116 – SER_DRA4668
EP117 – SER_DRA4669
EP118 – SER_DRA4670
EP119 – SER_DRA4671
EP120 – SER_DRA4672
EP121 – SER_DRA4673
EP122 – SER_DRA4674
EP123 – SER_DRA4675
EP124 – SER_DRA4676
EP125 – SER_DRA4677
EP126 – SER_DRA4678
EP127 – SER_DRA4679
EP128 – SER_DRA4680
EP129 – SER_DRA4681
EP130 – SER_DRA4682</t>
  </si>
  <si>
    <t>Cuộc sống rực rỡ</t>
  </si>
  <si>
    <t>Begin again</t>
  </si>
  <si>
    <t>EP01 – SER_ROM3350
EP02 – SER_ROM3351
EP03 – SER_ROM3352
EP04 – SER_ROM3353
EP05 – SER_ROM3354
EP06 – SER_ROM3355
EP07 – SER_ROM3356
EP08 – SER_ROM3357
EP09 – SER_ROM3358
EP10 – SER_ROM3359
EP11 – SER_ROM3360
EP12 – SER_ROM3361
EP13 – SER_ROM3362
EP14 – SER_ROM3363
EP15 – SER_ROM3364
EP16 – SER_ROM3365
EP17 – SER_ROM3366
EP18 – SER_ROM3367
EP19 – SER_ROM3368
EP20 – SER_ROM3369
EP21 – SER_ROM3370
EP22 – SER_ROM3371
EP23 – SER_ROM3372
EP24 – SER_ROM3373
EP25 – SER_ROM3374
EP26 – SER_ROM3375
EP27 – SER_ROM3376
EP28 – SER_ROM3377
EP29 – SER_ROM3378
EP30 – SER_ROM3379
EP31 – SER_ROM3380
EP32 – SER_ROM3381
EP33 – SER_ROM3382
EP34 – SER_ROM3383
EP35 – SER_ROM3384
EP36 – SER_ROM3385
EP37 – SER_ROM3386
EP38 – SER_ROM3387
EP39 – SER_ROM3388
EP40 – SER_ROM3389
EP41 – SER_ROM3390
EP42 – SER_ROM3391
EP43 – SER_ROM3392
EP44 – SER_ROM3393
EP45 – SER_ROM3394
EP46 – SER_ROM3395
EP47 – SER_ROM3396
EP48 – SER_ROM3397
EP49 – SER_ROM3398
EP50 – SER_ROM3399
EP51 – SER_ROM3400
EP52 – SER_ROM3401
EP53 – SER_ROM3402
EP54 – SER_ROM3403
EP55 – SER_ROM3404
EP56 – SER_ROM3405
EP57 – SER_ROM3406
EP58 – SER_ROM3407
EP59 – SER_ROM3408
EP60 – SER_ROM3409
EP61 – SER_ROM3410
EP62 – SER_ROM3411
EP63 – SER_ROM3412
EP64 – SER_ROM3413
EP65 – SER_ROM3414
EP66 – SER_ROM3415
EP67 – SER_ROM3416
EP68 – SER_ROM3417
EP69 – SER_ROM3418
EP70 – SER_ROM3419
EP71 – SER_ROM3420
EP72 – SER_ROM3421
EP73 – SER_ROM3422
EP74 – SER_ROM3423
EP75 – SER_ROM3424
EP76 – SER_ROM3425
EP77 – SER_ROM3426
EP78 – SER_ROM3427
EP79 – SER_ROM3428
EP80 – SER_ROM3429
EP81 – SER_ROM3430
EP82 – SER_ROM3431
EP83 – SER_ROM3432
EP84 – SER_ROM3433
EP85 – SER_ROM3434
EP86 – SER_ROM3435
EP87 – SER_ROM3436
EP88 – SER_ROM3437
EP89 – SER_ROM3438
EP90 – SER_ROM3439
EP91 – SER_ROM3440
EP92 – SER_ROM3441
EP93 – SER_ROM3442
EP94 – SER_ROM3443
EP95 – SER_ROM3444
EP96 – SER_ROM3445
EP97 – SER_ROM3446
EP98 – SER_ROM3447
EP99 – SER_ROM3448
EP100 – SER_ROM3449
EP101 – SER_ROM3450
EP102 – SER_ROM3451
EP103 – SER_ROM3452
EP104 – SER_ROM3453
EP105 – SER_ROM3454
EP106 – SER_ROM3455
EP107 – SER_ROM3456
EP108 – SER_ROM3457
EP109 – SER_ROM3458
EP110 – SER_ROM3459
EP111 – SER_ROM3460
EP112 – SER_ROM3461
EP113 – SER_ROM3462
EP114 – SER_ROM3463
EP115 – SER_ROM3464
EP116 – SER_ROM3465
EP117 – SER_ROM3466
EP118 – SER_ROM3467
EP119 – SER_ROM3468
EP120 – SER_ROM3469
EP121 – SER_ROM3470</t>
  </si>
  <si>
    <t>Cuộc sống kỳ diệu của tôi</t>
  </si>
  <si>
    <t>Wonderful my life</t>
  </si>
  <si>
    <t>EP01 – SER_DRA4968
EP02 – SER_DRA4969
EP03 – SER_DRA4970
EP04 – SER_DRA4971
EP05 – SER_DRA4972
EP06 – SER_DRA4973
EP07 – SER_DRA4974
EP08 – SER_DRA4975
EP09 – SER_DRA4976
EP10 – SER_DRA4977
EP11 – SER_DRA4978
EP12 – SER_DRA4979
EP13 – SER_DRA4980
EP14 – SER_DRA4981
EP15 – SER_DRA4982
EP16 – SER_DRA4983
EP17 – SER_DRA4984
EP18 – SER_DRA4985
EP19 – SER_DRA4986
EP20 – SER_DRA4987
EP21 – SER_DRA4988
EP22 – SER_DRA4989
EP23 – SER_DRA4990
EP24 – SER_DRA4991
EP25 – SER_DRA4992
EP26 – SER_DRA4993
EP27 – SER_DRA4994
EP28 – SER_DRA4995
EP29 – SER_DRA4996
EP30 – SER_DRA4997
EP31 – SER_DRA4998
EP32 – SER_DRA4999
EP33 – SER_DRA5000
EP34 – SER_DRA5001
EP35 – SER_DRA5002
EP36 – SER_DRA5003
EP37 – SER_DRA5004
EP38 – SER_DRA5005
EP39 – SER_DRA5006
EP40 – SER_DRA5007
EP41 – SER_DRA5008
EP42 – SER_DRA5009
EP43 – SER_DRA5010
EP44 – SER_DRA5011
EP45 – SER_DRA5012
EP46 – SER_DRA5013
EP47 – SER_DRA5014
EP48 – SER_DRA5015
EP49 – SER_DRA5016
EP50 – SER_DRA5017
EP51 – SER_DRA5018
EP52 – SER_DRA5019
EP53 – SER_DRA5020
EP54 – SER_DRA5021
EP55 – SER_DRA5022
EP56 – SER_DRA5023
EP57 – SER_DRA5024
EP58 – SER_DRA5025
EP59 – SER_DRA5026
EP60 – SER_DRA5027
EP61 – SER_DRA5028
EP62 – SER_DRA5029
EP63 – SER_DRA5030
EP64 – SER_DRA5031
EP65 – SER_DRA5032
EP66 – SER_DRA5033
EP67 – SER_DRA5034
EP68 – SER_DRA5035
EP69 – SER_DRA5036
EP70 – SER_DRA5037
EP71 – SER_DRA5038
EP72 – SER_DRA5039
EP73 – SER_DRA5040
EP74 – SER_DRA5041
EP75 – SER_DRA5042
EP76 – SER_DRA5043
EP77 – SER_DRA5044
EP78 – SER_DRA5045
EP79 – SER_DRA5046
EP80 – SER_DRA5047
EP81 – SER_DRA5048
EP82 – SER_DRA5049
EP83 – SER_DRA5050
EP84 – SER_DRA5051
EP85 – SER_DRA5052
EP86 – SER_DRA5053
EP87 – SER_DRA5054
EP88 – SER_DRA5055
EP89 – SER_DRA5056
EP90 – SER_DRA5057
EP91 – SER_DRA5058
EP92 – SER_DRA5059
EP93 – SER_DRA5060
EP94 – SER_DRA5061
EP95 – SER_DRA5062
EP96 – SER_DRA5063
EP97 – SER_DRA5064
EP98 – SER_DRA5065
EP99 – SER_DRA5066
EP100 – SER_DRA5067
EP101 – SER_DRA5068
EP102 – SER_DRA5069
EP103 – SER_DRA5070
EP104 – SER_DRA5071
EP105 – SER_DRA5072
EP106 – SER_DRA5073
EP107 – SER_DRA5074
EP108 – SER_DRA5075
EP109 – SER_DRA5076
EP110 – SER_DRA5077
EP111 – SER_DRA5078
EP112 – SER_DRA5079
EP113 – SER_DRA5080
EP114 – SER_DRA5081
EP115 – SER_DRA5082
EP116 – SER_DRA5083
EP117 – SER_DRA5084
EP118 – SER_DRA5085
EP119 – SER_DRA5086
EP120 – SER_DRA5087
EP121 – SER_DRA5088
EP122 – SER_DRA5089
EP123 – SER_DRA5090
EP124 – SER_DRA5091
EP125 – SER_DRA5092
EP126 – SER_DRA5093
EP127 – SER_DRA5094</t>
  </si>
  <si>
    <t>4 phù thủy huyền thoại</t>
  </si>
  <si>
    <t>4 Legendary witches</t>
  </si>
  <si>
    <t>EP01 – SER_ROM3473
EP02 – SER_ROM3474
EP03 – SER_ROM3475
EP04 – SER_ROM3476
EP05 – SER_ROM3477
EP06 – SER_ROM3478
EP07 – SER_ROM3479
EP08 – SER_ROM3480
EP09 – SER_ROM3481
EP10 – SER_ROM3482
EP11 – SER_ROM3483
EP12 – SER_ROM3484
EP13 – SER_ROM3485
EP14 – SER_ROM3486
EP15 – SER_ROM3487
EP16 – SER_ROM3488
EP17 – SER_ROM3489
EP18 – SER_ROM3490
EP19 – SER_ROM3491
EP20 – SER_ROM3492
EP21 – SER_ROM3493
EP22 – SER_ROM3494
EP23 – SER_ROM3495
EP24 – SER_ROM3496
EP25 – SER_ROM3497
EP26 – SER_ROM3498
EP27 – SER_ROM3499
EP28 – SER_ROM3500
EP29 – SER_ROM3501
EP30 – SER_ROM3502
EP31 – SER_ROM3503
EP32 – SER_ROM3504
EP33 – SER_ROM3505
EP34 – SER_ROM3506
EP35 – SER_ROM3507
EP36 – SER_ROM3508
EP37 – SER_ROM3509
EP38 – SER_ROM3510
EP39 – SER_ROM3511
EP40 – SER_ROM3512
EP41 – SER_ROM3513
EP42 – SER_ROM3514
EP43 – SER_ROM3515
EP44 – SER_ROM3516
EP45 – SER_ROM3517
EP46 – SER_ROM3518
EP47 – SER_ROM3519
EP48 – SER_ROM3520
EP49 – SER_ROM3521
EP50 – SER_ROM3522
EP51 – SER_ROM3523
EP52 – SER_ROM3524
EP53 – SER_ROM3525
EP54 – SER_ROM3526
EP55 – SER_ROM3527
EP56 – SER_ROM3528
EP57 – SER_ROM3529
EP58 – SER_ROM3530
EP59 – SER_ROM3531
EP60 – SER_ROM3532
EP61 – SER_ROM3533
EP62 – SER_ROM3534
EP63 – SER_ROM3535
EP64 – SER_ROM3536
EP65 – SER_ROM3537
EP66 – SER_ROM3538
EP67 – SER_ROM3539
EP68 – SER_ROM3540
EP69 – SER_ROM3541
EP70 – SER_ROM3542
EP71 – SER_ROM3543
EP72 – SER_ROM3544
EP73 – SER_ROM3545
EP74 – SER_ROM3546
EP75 – SER_ROM3547
EP76 – SER_ROM3548
EP77 – SER_ROM3549
EP78 – SER_ROM3550
EP79 – SER_ROM3551
EP80 – SER_ROM3552</t>
  </si>
  <si>
    <t>Hãy nắm tay anh</t>
  </si>
  <si>
    <t>Hold My Hand</t>
  </si>
  <si>
    <t>EP01 – SER_DRA4836
EP02 – SER_DRA4837
EP03 – SER_DRA4838
EP04 – SER_DRA4839
EP05 – SER_DRA4840
EP06 – SER_DRA4841
EP07 – SER_DRA4842
EP08 – SER_DRA4843
EP09 – SER_DRA4844
EP10 – SER_DRA4845
EP11 – SER_DRA4846
EP12 – SER_DRA4847
EP13 – SER_DRA4848
EP14 – SER_DRA4849
EP15 – SER_DRA4850
EP16 – SER_DRA4851
EP17 – SER_DRA4852
EP18 – SER_DRA4853
EP19 – SER_DRA4854
EP20 – SER_DRA4855
EP21 – SER_DRA4856
EP22 – SER_DRA4857
EP23 – SER_DRA4858
EP24 – SER_DRA4859
EP25 – SER_DRA4860
EP26 – SER_DRA4861
EP27 – SER_DRA4862
EP28 – SER_DRA4863
EP29 – SER_DRA4864
EP30 – SER_DRA4865
EP31 – SER_DRA4866
EP32 – SER_DRA4867
EP33 – SER_DRA4868
EP34 – SER_DRA4869
EP35 – SER_DRA4870
EP36 – SER_DRA4871
EP37 – SER_DRA4872
EP38 – SER_DRA4873
EP39 – SER_DRA4874
EP40 – SER_DRA4875
EP41 – SER_DRA4876
EP42 – SER_DRA4877
EP43 – SER_DRA4878
EP44 – SER_DRA4879
EP45 – SER_DRA4880
EP46 – SER_DRA4881
EP47 – SER_DRA4882
EP48 – SER_DRA4883
EP49 – SER_DRA4884
EP50 – SER_DRA4885
EP51 – SER_DRA4886
EP52 – SER_DRA4887
EP53 – SER_DRA4888
EP54 – SER_DRA4889
EP55 – SER_DRA4890
EP56 – SER_DRA4891
EP57 – SER_DRA4892
EP58 – SER_DRA4893
EP59 – SER_DRA4894
EP60 – SER_DRA4895
EP61 – SER_DRA4896
EP62 – SER_DRA4897
EP63 – SER_DRA4898
EP64 – SER_DRA4899
EP65 – SER_DRA4900
EP66 – SER_DRA4901
EP67 – SER_DRA4902
EP68 – SER_DRA4903
EP69 – SER_DRA4904
EP70 – SER_DRA4905
EP71 – SER_DRA4906
EP72 – SER_DRA4907
EP73 – SER_DRA4908
EP74 – SER_DRA4909
EP75 – SER_DRA4910
EP76 – SER_DRA4911
EP77 – SER_DRA4912
EP78 – SER_DRA4913
EP79 – SER_DRA4914
EP80 – SER_DRA4915
EP81 – SER_DRA4916
EP82 – SER_DRA4917
EP83 – SER_DRA4918
EP84 – SER_DRA4919
EP85 – SER_DRA4920
EP86 – SER_DRA4921
EP87 – SER_DRA4922
EP88 – SER_DRA4923
EP89 – SER_DRA4924
EP90 – SER_DRA4925
EP91 – SER_DRA4926
EP92 – SER_DRA4927
EP93 – SER_DRA4928
EP94 – SER_DRA4929
EP95 – SER_DRA4930
EP96 – SER_DRA4931
EP97 – SER_DRA4932
EP98 – SER_DRA4933
EP99 – SER_DRA4934
EP100 – SER_DRA4935
EP101 – SER_DRA4936
EP102 – SER_DRA4937
EP103 – SER_DRA4938
EP104 – SER_DRA4939
EP105 – SER_DRA4940
EP106 – SER_DRA4941
EP107 – SER_DRA4942
EP108 – SER_DRA4943
EP109 – SER_DRA4944
EP110 – SER_DRA4945
EP111 – SER_DRA4946
EP112 – SER_DRA4947
EP113 – SER_DRA4948
EP114 – SER_DRA4949
EP115 – SER_DRA4950
EP116 – SER_DRA4951
EP117 – SER_DRA4952
EP118 – SER_DRA4953
EP119 – SER_DRA4954
EP120 – SER_DRA4955
EP121 – SER_DRA4956
EP122 – SER_DRA4957
EP123 – SER_DRA4958
EP124 – SER_DRA4959
EP125 – SER_DRA4960
EP126 – SER_DRA4961
EP127 – SER_DRA4962
EP128 – SER_DRA4963
EP129 – SER_DRA4964
EP130 – SER_DRA4965</t>
  </si>
  <si>
    <t>K+ Sản xuất</t>
  </si>
  <si>
    <t>Đi về phía lửa</t>
  </si>
  <si>
    <t>Toward the fire</t>
  </si>
  <si>
    <t>EP01 – SER_DRA_24_2711513
EP02 – SER_DRA_24_2711514
EP03 – SER_DRA_24_2711515
EP04 – SER_DRA_24_2711516
EP05 – SER_DRA_24_2711517
EP06 – SER_DRA_24_2711518
EP07 – SER_DRA_24_2711519
EP08 – SER_DRA_24_2711520
EP09 – SER_DRA_24_2711521
EP10 – SER_DRA_24_2711522</t>
  </si>
  <si>
    <t>Horror</t>
  </si>
  <si>
    <t>Tết ở làng Địa Ngục</t>
  </si>
  <si>
    <t>Hellbound village</t>
  </si>
  <si>
    <t>EP01 – SER_HOR_23_2705406
EP02 – SER_HOR_23_2705407
EP03 – SER_HOR_23_2705408
EP04 – SER_HOR_23_2705409
EP05 – SER_HOR_23_2705410
EP06 – SER_HOR_23_2705411
EP07 – SER_HOR_23_2705412
EP08 – SER_HOR_23_2705413
EP09 – SER_HOR_23_2705414
EP10 – SER_HOR_23_2705415
EP11 – SER_HOR_23_2705416
EP12 – SER_HOR_23_2705417</t>
  </si>
  <si>
    <t>Comedy</t>
  </si>
  <si>
    <t>Nhà mình lạ lắm!</t>
  </si>
  <si>
    <t>Odd Family</t>
  </si>
  <si>
    <t>EP01 – SER_FAM_23_2700407
EP02 – SER_FAM_23_2700408
EP03 – SER_FAM_23_2700409
EP04 – SER_FAM_23_2700410
EP05 – SER_FAM_23_2700411
EP06 – SER_FAM_23_2700412
EP07 – SER_FAM_23_2700413
EP08 – SER_FAM_23_2700414
EP09 – SER_FAM_23_2700415
EP10 – SER_FAM_23_2700416
EP11 – SER_FAM_23_2700417
EP12 – SER_FAM_23_2700418</t>
  </si>
  <si>
    <t>Documentary</t>
  </si>
  <si>
    <t>MOV_BIO23 – (SUB) THE WALLS
MOV_BIO_2882006 – THE WALLS</t>
  </si>
  <si>
    <t>Bếp trưởng tới!</t>
  </si>
  <si>
    <t>Yes Chef</t>
  </si>
  <si>
    <t>EP01 – SER_COM_22_2881421
EP02 – SER_COM_22_2881422
EP03 – SER_COM_22_2881423
EP04 – SER_COM_22_2881424
EP05 – SER_COM_22_2881425
EP06 – SER_COM_22_2881426
EP07 – SER_COM_22_2881427
EP08 – SER_COM_22_2881428
EP09 – SER_COM_22_2881429
EP10 – SER_COM_22_2881430
EP11 – SER_COM_22_2881431
EP12 – SER_COM_22_2881432
EP13 – SER_COM_22_2881433
EP14 – SER_COM_22_2881434
EP15 – SER_COM_22_2881435
EP16 – SER_COM_22_2881436
EP17 – SER_COM_22_2881437
EP18 – SER_COM_22_2881438
EP19 – SER_COM_22_2881439
EP20 – SER_COM_22_2881440</t>
  </si>
  <si>
    <t>Thriller</t>
  </si>
  <si>
    <t>Trại hoa đỏ</t>
  </si>
  <si>
    <t>Scarlet Hill</t>
  </si>
  <si>
    <t>EP01 – SER_THR_22_2678775
EP02 – SER_THR_22_2678776
EP03 – SER_THR_22_2678777
EP04 – SER_THR_22_2678778
EP05 – SER_THR_22_2678779
EP06 – SER_THR_22_2678780
EP07 – SER_THR_22_2678781
EP08 – SER_THR_22_2678782</t>
  </si>
  <si>
    <t>Mẹ ác ma, Cha thiên sứ</t>
  </si>
  <si>
    <t>Tiger mom</t>
  </si>
  <si>
    <t>EP01 – SER_DRA_2862840
EP02 – SER_DRA_2862841
EP03 – SER_DRA_2862842
EP04 – SER_DRA_2862843
EP05 – SER_DRA_2862844
EP06 – SER_DRA_2862845
EP07 – SER_DRA_2862846
EP08 – SER_DRA_2862847
EP09 – SER_DRA_2862848
EP10 – SER_DRA_2862849
EP11 – SER_DRA_2862850
EP12 – SER_DRA_2862851
EP13 – SER_DRA_2862852
EP14 – SER_DRA_2862853
EP15 – SER_DRA_2862854
EP16 – SER_DRA_2862855
EP17 – SER_DRA_2862856
EP18 – SER_DRA_2862857
EP19 – SER_DRA_2862858
EP20 – SER_DRA_2862859
EP21 – SER_DRA_2862860
EP22 – SER_DRA_2862861</t>
  </si>
  <si>
    <t>My Girlfriend is the Man!</t>
  </si>
  <si>
    <t>Phim Song song</t>
  </si>
  <si>
    <t>Romance, Drama</t>
  </si>
  <si>
    <t xml:space="preserve">PCCW VUCLIP/2025/HDBQ Output deal </t>
  </si>
  <si>
    <t>Viu</t>
  </si>
  <si>
    <t>Bạn gái tôi trở thành con trai rồi!</t>
  </si>
  <si>
    <t>EP01 – SER_ROM3336
EP02 – SER_ROM3337
EP03 – SER_ROM3338
EP04 – SER_ROM3339
EP05 – SER_ROM3340
EP06 – SER_ROM3341
EP07 – SER_ROM3342
EP08 – SER_ROM3343
EP09 – SER_ROM3344
EP10 – SER_ROM3345
EP11 – SER_ROM3346
EP12 – SER_ROM3347</t>
  </si>
  <si>
    <t>Our Generation (Anh Đào Hổ Phách)</t>
  </si>
  <si>
    <t>71/2025/HDBQ/VSTV-Tongle</t>
  </si>
  <si>
    <t>Tongle</t>
  </si>
  <si>
    <t>Anh Đào Hổ Phách</t>
  </si>
  <si>
    <t xml:space="preserve">Our Generation </t>
  </si>
  <si>
    <t>our generation – sub
EP01 – SER_ROM3284
EP02 – SER_ROM3285
EP03 – SER_ROM3286
EP04 – SER_ROM3287
EP05 – SER_ROM3288
EP06 – SER_ROM3289
EP07 – SER_ROM3290
EP08 – SER_ROM3291
EP09 – SER_ROM3292
EP10 – SER_ROM3293
EP11 – SER_ROM3294
EP12 – SER_ROM3295
EP13 – SER_ROM3296
EP14 – SER_ROM3297
EP15 – SER_ROM3298
EP16 – SER_ROM3299
EP17 – SER_ROM3300
EP18 – SER_ROM3301
EP19 – SER_ROM3302
EP20 – SER_ROM3303
EP21 – SER_ROM3304
EP22 – SER_ROM3305
EP23 – SER_ROM3306
EP24 – SER_ROM3307
our generation – bản (voice)
EP01 – SER_ROM3310
EP02 – SER_ROM3311
EP03 – SER_ROM3312
EP04 – SER_ROM3313
EP05 – SER_ROM3314
EP06 – SER_ROM3315
EP07 – SER_ROM3316
EP08 – SER_ROM3317
EP09 – SER_ROM3318
EP10 – SER_ROM3319
EP11 – SER_ROM3320
EP12 – SER_ROM3321
EP13 – SER_ROM3322
EP14 – SER_ROM3323
EP15 – SER_ROM3324
EP16 – SER_ROM3325
EP17 – SER_ROM3326
EP18 – SER_ROM3327
EP19 – SER_ROM3328
EP20 – SER_ROM3329
EP21 – SER_ROM3330
EP22 – SER_ROM3331
EP23 – SER_ROM3332
EP24 – SER_ROM3333</t>
  </si>
  <si>
    <t>PHI HỒ NGOẠI TRUYỆN</t>
  </si>
  <si>
    <t>Side story of fox volant</t>
  </si>
  <si>
    <t>EP01 – SER_COS_22_2683771
EP02 – SER_COS_22_2683772
EP03 – SER_COS_22_2683773
EP04 – SER_COS_22_2683774
EP05 – SER_COS_22_2683775
EP06 – SER_COS_22_2683776
EP07 – SER_COS_22_2683777
EP08 – SER_COS_22_2683778
EP09 – SER_COS_22_2683779
EP10 – SER_COS_22_2683780
EP11 – SER_COS_22_2683781
EP12 – SER_COS_22_2683782
EP13 – SER_COS_22_2683783
EP14 – SER_COS_22_2683784
EP15 – SER_COS_22_2683785
EP16 – SER_COS_22_2683786
EP17 – SER_COS_22_2683787
EP18 – SER_COS_22_2683788
EP19 – SER_COS_22_2683789
EP20 – SER_COS_22_2683790
EP21 – SER_COS_22_2683791
EP22 – SER_COS_22_2683792
EP23 – SER_COS_22_2683793
EP24 – SER_COS_22_2683794
EP25 – SER_COS_22_2683795
EP26 – SER_COS_22_2683796
EP27 – SER_COS_22_2683797
EP28 – SER_COS_22_2683798
EP29 – SER_COS_22_2683799
EP30 – SER_COS_22_2683800
EP31 – SER_COS_22_2683801
EP32 – SER_COS_22_2683802
EP33 – SER_COS_22_2683803
EP34 – SER_COS_22_2683804
EP35 – SER_COS_22_2683805
EP36 – SER_COS_22_2683806
EP37 – SER_COS_22_2683807
EP38 – SER_COS_22_2683808
EP39 – SER_COS_22_2683809
EP40 – SER_COS_22_2683810</t>
  </si>
  <si>
    <t>Đêm trắng ở Apgujeong</t>
  </si>
  <si>
    <t>Midnight Sun Apgujeong</t>
  </si>
  <si>
    <t>EP01 – SER_DRA4685
EP02 – SER_DRA4686
EP03 – SER_DRA4687
EP04 – SER_DRA4688
EP05 – SER_DRA4689
EP06 – SER_DRA4690
EP07 – SER_DRA4691
EP08 – SER_DRA4692
EP09 – SER_DRA4693
EP10 – SER_DRA4694
EP11 – SER_DRA4695
EP12 – SER_DRA4696
EP13 – SER_DRA4697
EP14 – SER_DRA4698
EP15 – SER_DRA4699
EP16 – SER_DRA4700
EP17 – SER_DRA4701
EP18 – SER_DRA4702
EP19 – SER_DRA4703
EP20 – SER_DRA4704
EP21 – SER_DRA4705
EP22 – SER_DRA4706
EP23 – SER_DRA4707
EP24 – SER_DRA4708
EP25 – SER_DRA4709
EP26 – SER_DRA4710
EP27 – SER_DRA4711
EP28 – SER_DRA4712
EP29 – SER_DRA4713
EP30 – SER_DRA4714
EP31 – SER_DRA4715
EP32 – SER_DRA4716
EP33 – SER_DRA4717
EP34 – SER_DRA4718
EP35 – SER_DRA4719
EP36 – SER_DRA4720
EP37 – SER_DRA4721
EP38 – SER_DRA4722
EP39 – SER_DRA4723
EP40 – SER_DRA4724
EP41 – SER_DRA4725
EP42 – SER_DRA4726
EP43 – SER_DRA4727
EP44 – SER_DRA4728
EP45 – SER_DRA4729
EP46 – SER_DRA4730
EP47 – SER_DRA4731
EP48 – SER_DRA4732
EP49 – SER_DRA4733
EP50 – SER_DRA4734
EP51 – SER_DRA4735
EP52 – SER_DRA4736
EP53 – SER_DRA4737
EP54 – SER_DRA4738
EP55 – SER_DRA4739
EP56 – SER_DRA4740
EP57 – SER_DRA4741
EP58 – SER_DRA4742
EP59 – SER_DRA4743
EP60 – SER_DRA4744
EP61 – SER_DRA4745
EP62 – SER_DRA4746
EP63 – SER_DRA4747
EP64 – SER_DRA4748
EP65 – SER_DRA4749
EP66 – SER_DRA4750
EP67 – SER_DRA4751
EP68 – SER_DRA4752
EP69 – SER_DRA4753
EP70 – SER_DRA4754
EP71 – SER_DRA4755
EP72 – SER_DRA4756
EP73 – SER_DRA4757
EP74 – SER_DRA4758
EP75 – SER_DRA4759
EP76 – SER_DRA4760
EP77 – SER_DRA4761
EP78 – SER_DRA4762
EP79 – SER_DRA4763
EP80 – SER_DRA4764
EP81 – SER_DRA4765
EP82 – SER_DRA4766
EP83 – SER_DRA4767
EP84 – SER_DRA4768
EP85 – SER_DRA4769
EP86 – SER_DRA4770
EP87 – SER_DRA4771
EP88 – SER_DRA4772
EP89 – SER_DRA4773
EP90 – SER_DRA4774
EP91 – SER_DRA4775
EP92 – SER_DRA4776
EP93 – SER_DRA4777
EP94 – SER_DRA4778
EP95 – SER_DRA4779
EP96 – SER_DRA4780
EP97 – SER_DRA4781
EP98 – SER_DRA4782
EP99 – SER_DRA4783
EP100 – SER_DRA4784
EP101 – SER_DRA4785
EP102 – SER_DRA4786
EP103 – SER_DRA4787
EP104 – SER_DRA4788
EP105 – SER_DRA4789
EP106 – SER_DRA4790
EP107 – SER_DRA4791
EP108 – SER_DRA4792
EP109 – SER_DRA4793
EP110 – SER_DRA4794
EP111 – SER_DRA4795
EP112 – SER_DRA4796
EP113 – SER_DRA4797
EP114 – SER_DRA4798
EP115 – SER_DRA4799
EP116 – SER_DRA4800
EP117 – SER_DRA4801
EP118 – SER_DRA4802
EP119 – SER_DRA4803
EP120 – SER_DRA4804
EP121 – SER_DRA4805
EP122 – SER_DRA4806
EP123 – SER_DRA4807
EP124 – SER_DRA4808
EP125 – SER_DRA4809
EP126 – SER_DRA4810
EP127 – SER_DRA4811
EP128 – SER_DRA4812
EP129 – SER_DRA4813
EP130 – SER_DRA4814
EP131 – SER_DRA4815
EP132 – SER_DRA4816
EP133 – SER_DRA4817
EP134 – SER_DRA4818
EP135 – SER_DRA4819
EP136 – SER_DRA4820
EP137 – SER_DRA4821
EP138 – SER_DRA4822
EP139 – SER_DRA4823
EP140 – SER_DRA4824
EP141 – SER_DRA4825
EP142 – SER_DRA4826
EP143 – SER_DRA4827
EP144 – SER_DRA4828
EP145 – SER_DRA4829
EP146 – SER_DRA4830
EP147 – SER_DRA4831
EP148 – SER_DRA4832
EP149 – SER_DRA4833</t>
  </si>
  <si>
    <t>Gia hòa vạn sự thành</t>
  </si>
  <si>
    <t>Bong's happy restaurant</t>
  </si>
  <si>
    <t>EP01 – SER_DRA4500
EP02 – SER_DRA4501
EP03 – SER_DRA4502
EP04 – SER_DRA4503
EP05 – SER_DRA4504
EP06 – SER_DRA4505
EP07 – SER_DRA4506
EP08 – SER_DRA4507
EP09 – SER_DRA4508
EP10 – SER_DRA4509
EP11 – SER_DRA4510
EP12 – SER_DRA4511
EP13 – SER_DRA4512
EP14 – SER_DRA4513
EP15 – SER_DRA4514
EP16 – SER_DRA4515
EP17 – SER_DRA4516
EP18 – SER_DRA4517
EP19 – SER_DRA4518
EP20 – SER_DRA4519
EP21 – SER_DRA4520
EP22 – SER_DRA4521
EP23 – SER_DRA4522
EP24 – SER_DRA4523
EP25 – SER_DRA4524
EP26 – SER_DRA4525
EP27 – SER_DRA4526
EP28 – SER_DRA4527
EP29 – SER_DRA4528
EP30 – SER_DRA4529
EP31 – SER_DRA4530
EP32 – SER_DRA4531
EP33 – SER_DRA4532
EP34 – SER_DRA4533
EP35 – SER_DRA4534
EP36 – SER_DRA4535
EP37 – SER_DRA4536
EP38 – SER_DRA4537
EP39 – SER_DRA4538
EP40 – SER_DRA4539
EP41 – SER_DRA4540
EP42 – SER_DRA4541
EP43 – SER_DRA4542
EP44 – SER_DRA4543
EP45 – SER_DRA4544
EP46 – SER_DRA4545
EP47 – SER_DRA4546
EP48 – SER_DRA4547
EP49 – SER_DRA4548
EP50 – SER_DRA4549
EP51 – SER_DRA4550</t>
  </si>
  <si>
    <t>Lật mặt tử thù</t>
  </si>
  <si>
    <t>Monster</t>
  </si>
  <si>
    <t>EP01 – SER_CRI2522
EP02 – SER_CRI2523
EP03 – SER_CRI2524
EP04 – SER_CRI2525
EP05 – SER_CRI2526
EP06 – SER_CRI2527
EP07 – SER_CRI2528
EP08 – SER_CRI2529
EP09 – SER_CRI2530
EP10 – SER_CRI2531
EP11 – SER_CRI2532
EP12 – SER_CRI2533
EP13 – SER_CRI2534
EP14 – SER_CRI2535
EP15 – SER_CRI2536
EP16 – SER_CRI2537
EP17 – SER_CRI2538
EP18 – SER_CRI2539
EP19 – SER_CRI2540
EP20 – SER_CRI2541
EP21 – SER_CRI2542
EP22 – SER_CRI2543
EP23 – SER_CRI2544
EP24 – SER_CRI2545
EP25 – SER_CRI2546
EP26 – SER_CRI2547
EP27 – SER_CRI2548
EP28 – SER_CRI2549
EP29 – SER_CRI2550
EP30 – SER_CRI2551
EP31 – SER_CRI2552
EP32 – SER_CRI2553
EP33 – SER_CRI2554
EP34 – SER_CRI2555
EP35 – SER_CRI2556
EP36 – SER_CRI2557
EP37 – SER_CRI2558
EP38 – SER_CRI2559
EP39 – SER_CRI2560
EP40 – SER_CRI2561
EP41 – SER_CRI2562
EP42 – SER_CRI2563
EP43 – SER_CRI2564
EP44 – SER_CRI2565
EP45 – SER_CRI2566
EP46 – SER_CRI2567
EP47 – SER_CRI2568
EP48 – SER_CRI2569
EP49 – SER_CRI2570
EP50 – SER_CRI2571</t>
  </si>
  <si>
    <t>Tình yêu của Eva</t>
  </si>
  <si>
    <t>Love of Eve</t>
  </si>
  <si>
    <t>EP01 – SER_DRA3370
EP02 – SER_DRA3371
EP03 – SER_DRA3372
EP04 – SER_DRA3373
EP05 – SER_DRA3374
EP06 – SER_DRA3375
EP07 – SER_DRA3376
EP08 – SER_DRA3377
EP09 – SER_DRA3378
EP10 – SER_DRA3379
EP11 – SER_DRA3380
EP12 – SER_DRA3381
EP13 – SER_DRA3382
EP14 – SER_DRA3383
EP15 – SER_DRA3384
EP16 – SER_DRA3385
EP17 – SER_DRA3386
EP18 – SER_DRA3387
EP19 – SER_DRA3388
EP20 – SER_DRA3389
EP21 – SER_DRA3390
EP22 – SER_DRA3391
EP23 – SER_DRA3392
EP24 – SER_DRA3393
EP25 – SER_DRA3394
EP26 – SER_DRA3395
EP27 – SER_DRA3396
EP28 – SER_DRA3397
EP29 – SER_DRA3398
EP30 – SER_DRA3399
EP31 – SER_DRA3400
EP32 – SER_DRA3401
EP33 – SER_DRA3402
EP34 – SER_DRA3403
EP35 – SER_DRA3404
EP36 – SER_DRA3405
EP37 – SER_DRA3406
EP38 – SER_DRA3407
EP39 – SER_DRA3408
EP40 – SER_DRA3409
EP41 – SER_DRA3410
EP42 – SER_DRA3411
EP43 – SER_DRA3412
EP44 – SER_DRA3413
EP45 – SER_DRA3414
EP46 – SER_DRA3415
EP47 – SER_DRA3416
EP48 – SER_DRA3417
EP49 – SER_DRA3418
EP50 – SER_DRA3419
EP51 – SER_DRA3420
EP52 – SER_DRA3421
EP53 – SER_DRA3422
EP54 – SER_DRA3423
EP55 – SER_DRA3424
EP56 – SER_DRA3425
EP57 – SER_DRA3426
EP58 – SER_DRA3427
EP59 – SER_DRA3428
EP60 – SER_DRA3429
EP61 – SER_DRA3430
EP62 – SER_DRA3431
EP63 – SER_DRA3432
EP64 – SER_DRA3433
EP65 – SER_DRA3434
EP66 – SER_DRA3435
EP67 – SER_DRA3436
EP68 – SER_DRA3437
EP69 – SER_DRA3438
EP70 – SER_DRA3439
EP71 – SER_DRA3440
EP72 – SER_DRA3441
EP73 – SER_DRA3442
EP74 – SER_DRA3443
EP75 – SER_DRA3444
EP76 – SER_DRA3445
EP77 – SER_DRA3446
EP78 – SER_DRA3447
EP79 – SER_DRA3448
EP80 – SER_DRA3449
EP81 – SER_DRA3450
EP82 – SER_DRA3451
EP83 – SER_DRA3452
EP84 – SER_DRA3453
EP85 – SER_DRA3454
EP86 – SER_DRA3455
EP87 – SER_DRA3456
EP88 – SER_DRA3457
EP89 – SER_DRA3458
EP90 – SER_DRA3459
EP91 – SER_DRA3460
EP92 – SER_DRA3461
EP93 – SER_DRA3462
EP94 – SER_DRA3463
EP95 – SER_DRA3464
EP96 – SER_DRA3465
EP97 – SER_DRA3466
EP98 – SER_DRA3467
EP99 – SER_DRA3468
EP100 – SER_DRA3469
EP101 – SER_DRA3470
EP102 – SER_DRA3471
EP103 – SER_DRA3472
EP104 – SER_DRA3473
EP105 – SER_DRA3474
EP106 – SER_DRA3475
EP107 – SER_DRA3476
EP108 – SER_DRA3477
EP109 – SER_DRA3478
EP110 – SER_DRA3479
EP111 – SER_DRA3480
EP112 – SER_DRA3481
EP113 – SER_DRA3482
EP114 – SER_DRA3483
EP115 – SER_DRA3484
EP116 – SER_DRA3485
EP117 – SER_DRA3486
EP118 – SER_DRA3487
EP119 – SER_DRA3488
EP120 – SER_DRA3489</t>
  </si>
  <si>
    <t>Người phụ nữ mạnh mẽ</t>
  </si>
  <si>
    <t>The Invincible Lady Cha</t>
  </si>
  <si>
    <t>EP01 – SER_DRA4288
EP02 – SER_DRA4388
EP03 – SER_DRA4389
EP04 – SER_DRA4390
EP05 – SER_DRA4391
EP06 – SER_DRA4392
EP07 – SER_DRA4393
EP08 – SER_DRA4394
EP09 – SER_DRA4395
EP10 – SER_DRA4396
EP11 – SER_DRA4397
EP12 – SER_DRA4398
EP13 – SER_DRA4399
EP14 – SER_DRA4400
EP15 – SER_DRA4401
EP16 – SER_DRA4402
EP17 – SER_DRA4403
EP18 – SER_DRA4404
EP19 – SER_DRA4405
EP20 – SER_DRA4406
EP21 – SER_DRA4407
EP22 – SER_DRA4408
EP23 – SER_DRA4409
EP24 – SER_DRA4410
EP25 – SER_DRA4411
EP26 – SER_DRA4412
EP27 – SER_DRA4413
EP28 – SER_DRA4414
EP29 – SER_DRA4415
EP30 – SER_DRA4416
EP31 – SER_DRA4417
EP32 – SER_DRA4418
EP33 – SER_DRA4419
EP34 – SER_DRA4420
EP35 – SER_DRA4421
EP36 – SER_DRA4422
EP37 – SER_DRA4423
EP38 – SER_DRA4424
EP39 – SER_DRA4425
EP40 – SER_DRA4426
EP41 – SER_DRA4427
EP42 – SER_DRA4428
EP43 – SER_DRA4429
EP44 – SER_DRA4430
EP45 – SER_DRA4431
EP46 – SER_DRA4432
EP47 – SER_DRA4433
EP48 – SER_DRA4434
EP49 – SER_DRA4435
EP50 – SER_DRA4436
EP51 – SER_DRA4437
EP52 – SER_DRA4438
EP53 – SER_DRA4439
EP54 – SER_DRA4440
EP55 – SER_DRA4441
EP56 – SER_DRA4442
EP57 – SER_DRA4443
EP58 – SER_DRA4444
EP59 – SER_DRA4445
EP60 – SER_DRA4446
EP61 – SER_DRA4447
EP62 – SER_DRA4448
EP63 – SER_DRA4449
EP64 – SER_DRA4450
EP65 – SER_DRA4451
EP66 – SER_DRA4452
EP67 – SER_DRA4453
EP68 – SER_DRA4454
EP69 – SER_DRA4455
EP70 – SER_DRA4456
EP71 – SER_DRA4457
EP72 – SER_DRA4458
EP73 – SER_DRA4459
EP74 – SER_DRA4460
EP75 – SER_DRA4461
EP76 – SER_DRA4462
EP77 – SER_DRA4463
EP78 – SER_DRA4464
EP79 – SER_DRA4465
EP80 – SER_DRA4466
EP81 – SER_DRA4467
EP82 – SER_DRA4468
EP83 – SER_DRA4469
EP84 – SER_DRA4470
EP85 – SER_DRA4471
EP86 – SER_DRA4472
EP87 – SER_DRA4473
EP88 – SER_DRA4474
EP89 – SER_DRA4475
EP90 – SER_DRA4476
EP91 – SER_DRA4477
EP92 – SER_DRA4478
EP93 – SER_DRA4479
EP94 – SER_DRA4480
EP95 – SER_DRA4481
EP96 – SER_DRA4482
EP97 – SER_DRA4483
EP98 – SER_DRA4484
EP99 – SER_DRA4485
EP100 – SER_DRA4486
EP101 – SER_DRA4487
EP102 – SER_DRA4488
EP103 – SER_DRA4489
EP104 – SER_DRA4490
EP105 – SER_DRA4491
EP106 – SER_DRA4492
EP107 – SER_DRA4493
EP108 – SER_DRA4494
EP109 – SER_DRA4495
EP110 – SER_DRA4496
EP111 – SER_DRA4497</t>
  </si>
  <si>
    <t>Bộ ba quyền lực</t>
  </si>
  <si>
    <t>Triangle</t>
  </si>
  <si>
    <t>EP01 – SER_DRA4140
EP02 – SER_DRA4141
EP03 – SER_DRA4142
EP04 – SER_DRA4143
EP05 – SER_DRA4144
EP06 – SER_DRA4145
EP07 – SER_DRA4146
EP08 – SER_DRA4147
EP09 – SER_DRA4148
EP10 – SER_DRA4149
EP11 – SER_DRA4150
EP12 – SER_DRA4151
EP13 – SER_DRA4152
EP14 – SER_DRA4153
EP15 – SER_DRA4154
EP16 – SER_DRA4155
EP17 – SER_DRA4156
EP18 – SER_DRA4157
EP19 – SER_DRA4158
EP20 – SER_DRA4159
EP21 – SER_DRA4160
EP22 – SER_DRA4161
EP23 – SER_DRA4162
EP24 – SER_DRA4163
EP25 – SER_DRA4164
EP26 – SER_DRA4165
EP27 – SER_DRA4166
EP28 – SER_DRA4167
EP29 – SER_DRA4168
EP30 – SER_DRA4169
EP31 – SER_DRA4170
EP32 – SER_DRA4171
EP33 – SER_DRA4172
EP34 – SER_DRA4173
EP35 – SER_DRA4174
EP36 – SER_DRA4175
EP37 – SER_DRA4176
EP38 – SER_DRA4177
EP39 – SER_DRA4178
EP40 – SER_DRA4179
EP41 – SER_DRA4180
EP42 – SER_DRA4181
EP43 – SER_DRA4182
EP44 – SER_DRA4183
EP45 – SER_DRA4184
EP46 – SER_DRA4185
EP47 – SER_DRA4186
EP48 – SER_DRA4187
EP49 – SER_DRA4188
EP50 – SER_DRA4189
EP51 – SER_DRA4190
EP52 – SER_DRA4191</t>
  </si>
  <si>
    <t>In the Name of Blossom (Cẩm Tú Phương Hoa)</t>
  </si>
  <si>
    <t>Romance</t>
  </si>
  <si>
    <t>Huace Media/In the Name of Blossom</t>
  </si>
  <si>
    <t>Huace Media</t>
  </si>
  <si>
    <t>Cẩm Tú Phương Hoa</t>
  </si>
  <si>
    <t>In the Name of Blossom</t>
  </si>
  <si>
    <t>in the name of blossom – bản Sub (final) – EP01→EP24
EP01 – SER_ROM3234
EP02 – SER_ROM3235
EP03 – SER_ROM3236
EP04 – SER_ROM3237
EP05 – SER_ROM3238
EP06 – SER_ROM3239
EP07 – SER_ROM3240
EP08 – SER_ROM3241
EP09 – SER_ROM3242
EP10 – SER_ROM3243
EP11 – SER_ROM3244
EP12 – SER_ROM3245
EP13 – SER_ROM3246
EP14 – SER_ROM3247
EP15 – SER_ROM3248
EP16 – SER_ROM3249
EP17 – SER_ROM3250
EP18 – SER_ROM3251
EP19 – SER_ROM3252
EP20 – SER_ROM3253
EP21 – SER_ROM3254
EP22 – SER_ROM3255
EP23 – SER_ROM3256
EP24 – SER_ROM3257
in the name of blossom – bản Voice (final) – EP01→EP24
EP01 – SER_ROM3258
EP02 – SER_ROM3259
EP03 – SER_ROM3260
EP04 – SER_ROM3261
EP05 – SER_ROM3262
EP06 – SER_ROM3263
EP07 – SER_ROM3264
EP08 – SER_ROM3265
EP09 – SER_ROM3266
EP10 – SER_ROM3267
EP11 – SER_ROM3268
EP12 – SER_ROM3269
EP13 – SER_ROM3270
EP14 – SER_ROM3271
EP15 – SER_ROM3272
EP16 – SER_ROM3273
EP17 – SER_ROM3274
EP18 – SER_ROM3275
EP19 – SER_ROM3276
EP20 – SER_ROM3277
EP21 – SER_ROM3278
EP22 – SER_ROM3279
EP23 – SER_ROM3280
EP24 – SER_ROM3281</t>
  </si>
  <si>
    <t>Crushology 101</t>
  </si>
  <si>
    <t xml:space="preserve">Viu </t>
  </si>
  <si>
    <t>Hội bạn trai của Bunny</t>
  </si>
  <si>
    <t>crushology 101 – bản sub (final)
EP01 – SER_ROM3119
EP02 – SER_ROM3120
EP03 – SER_ROM3121
EP04 – SER_ROM3122
EP05 – SER_ROM3123
EP06 – SER_ROM3124
EP07 – SER_ROM3125
EP08 – SER_ROM3126
EP09 – SER_ROM3127
EP10 – SER_ROM3128
EP11 – SER_ROM3129
EP12 – SER_ROM3130
crushology 101 – bản voice (final)
EP01 – SER_ROM3211
EP02 – SER_ROM3212
EP03 – SER_ROM3213
EP04 – SER_ROM3214
EP05 – SER_ROM3215
EP06 – SER_ROM3216
EP07 – SER_ROM3217
EP08 – SER_ROM3218
EP09 – SER_ROM3219
EP10 – SER_ROM3220
EP11 – SER_ROM3221
EP12 – SER_ROM3222
EP13 – SER_ROM3223
EP14 – SER_ROM3224
EP15 – SER_ROM3225
EP16 – SER_ROM3226
EP17 – SER_ROM3227
EP18 – SER_ROM3228</t>
  </si>
  <si>
    <t>Feud - Lin Jiang Xian (Lâm Giang Tiên)</t>
  </si>
  <si>
    <t>Costum, Drama</t>
  </si>
  <si>
    <t>Huanyu/Feud</t>
  </si>
  <si>
    <t xml:space="preserve">Huanyu </t>
  </si>
  <si>
    <t>Lâm Giang Tiên</t>
  </si>
  <si>
    <t xml:space="preserve">Feud  </t>
  </si>
  <si>
    <t>feud – bản Sub – EP01→EP32
EP01 – SER_FAN181
EP02 – SER_FAN182
EP03 – SER_FAN183
EP04 – SER_FAN184
EP05 – SER_FAN185
EP06 – SER_FAN186
EP07 – SER_FAN187
EP08 – SER_FAN188
EP09 – SER_FAN189
EP10 – SER_FAN190
EP11 – SER_FAN191
EP12 – SER_FAN192
EP13 – SER_FAN193
EP14 – SER_FAN194
EP15 – SER_FAN195
EP16 – SER_FAN196
EP17 – SER_FAN197
EP18 – SER_FAN198
EP19 – SER_FAN199
EP20 – SER_FAN200
EP21 – SER_FAN201
EP22 – SER_FAN202
EP23 – SER_FAN203
EP24 – SER_FAN204
EP25 – SER_FAN205
EP26 – SER_FAN206
EP27 – SER_FAN207
EP28 – SER_FAN208
EP29 – SER_FAN209
EP30 – SER_FAN210
EP31 – SER_FAN211
EP32 – SER_FAN212
feud – bản Voice – EP01→EP32
EP01 – SER_FAN213
EP02 – SER_FAN214
EP03 – SER_FAN215
EP04 – SER_FAN216
EP05 – SER_FAN217
EP06 – SER_FAN218
EP07 – SER_FAN219
EP08 – SER_FAN220
EP09 – SER_FAN221
EP10 – SER_FAN222
EP11 – SER_FAN223
EP12 – SER_FAN224
EP13 – SER_FAN225
EP14 – SER_FAN226
EP15 – SER_FAN227
EP16 – SER_FAN228
EP17 – SER_FAN229
EP18 – SER_FAN230
EP19 – SER_FAN231
EP20 – SER_FAN232
EP21 – SER_FAN233
EP22 – SER_FAN234
EP23 – SER_FAN235
EP24 – SER_FAN236
EP25 – SER_FAN237
EP26 – SER_FAN238
EP27 – SER_FAN239
EP28 – SER_FAN240
EP29 – SER_FAN241
EP30 – SER_FAN242
EP31 – SER_FAN243
EP32 – SER_FAN244</t>
  </si>
  <si>
    <t>My Youth (Thanh xuân của tôi)</t>
  </si>
  <si>
    <t>Thanh xuân của tôi</t>
  </si>
  <si>
    <t>My Youth</t>
  </si>
  <si>
    <t>EP01 – SER_ROM3555
EP02 – SER_ROM3556
EP03 – SER_ROM3557
EP04 – SER_ROM3558
EP05 – SER_ROM3559
EP06 – SER_ROM3560
EP07 – SER_ROM3561
EP08 – SER_ROM3562
EP09 – SER_ROM3563
EP10 – SER_ROM3564
EP11 – SER_ROM3565
EP12 – SER_ROM3566</t>
  </si>
  <si>
    <t>Võ thần</t>
  </si>
  <si>
    <t>Warrior K</t>
  </si>
  <si>
    <t>EP01 – SER_HIS626
EP02 – SER_HIS627
EP03 – SER_HIS628
EP04 – SER_HIS629
EP05 – SER_HIS630
EP06 – SER_HIS631
EP07 – SER_HIS632
EP08 – SER_HIS633
EP09 – SER_HIS634
EP10 – SER_HIS635
EP11 – SER_HIS636
EP12 – SER_HIS637
EP13 – SER_HIS638
EP14 – SER_HIS639
EP15 – SER_HIS640
EP16 – SER_HIS641
EP17 – SER_HIS642
EP18 – SER_HIS643
EP19 – SER_HIS644
EP20 – SER_HIS645
EP21 – SER_HIS646
EP22 – SER_HIS647
EP23 – SER_HIS648
EP24 – SER_HIS649
EP25 – SER_HIS650
EP26 – SER_HIS651
EP27 – SER_HIS652
EP28 – SER_HIS653
EP29 – SER_HIS654
EP30 – SER_HIS655
EP31 – SER_HIS656
EP32 – SER_HIS657
EP33 – SER_HIS658
EP34 – SER_HIS659
EP35 – SER_HIS660
EP36 – SER_HIS661
EP37 – SER_HIS662
EP38 – SER_HIS663
EP39 – SER_HIS664
EP40 – SER_HIS665
EP41 – SER_HIS666
EP42 – SER_HIS667
EP43 – SER_HIS668
EP44 – SER_HIS669
EP45 – SER_HIS670
EP46 – SER_HIS671
EP47 – SER_HIS672
EP48 – SER_HIS673
EP49 – SER_HIS674
EP50 – SER_HIS675
EP51 – SER_HIS676
EP52 – SER_HIS677
EP53 – SER_HIS678
EP54 – SER_HIS679
EP55 – SER_HIS680
EP56 – SER_HIS681
EP57 – SER_HIS682
EP58 – SER_HIS683
EP59 – SER_HIS684
EP60 – SER_HIS685
EP61 – SER_HIS686
EP62 – SER_HIS687
EP63 – SER_HIS688
EP64 – SER_HIS689
EP65 – SER_HIS690
EP66 – SER_HIS691
EP67 – SER_HIS692
EP68 – SER_HIS693
EP69 – SER_HIS694
EP70 – SER_HIS695
EP71 – SER_HIS696
EP72 – SER_HIS697
EP73 – SER_HIS698
EP74 – SER_HIS699
EP75 – SER_HIS700
EP76 – SER_HIS701
EP77 – SER_HIS702
EP78 – SER_HIS703
EP79 – SER_HIS704
EP80 – SER_HIS705
EP81 – SER_HIS706
EP82 – SER_HIS707
EP83 – SER_HIS708
EP84 – SER_HIS709
EP85 – SER_HIS710
EP86 – SER_HIS711
EP87 – SER_HIS712
EP88 – SER_HIS713
EP89 – SER_HIS714
EP90 – SER_HIS715
EP91 – SER_HIS716
EP92 – SER_HIS717
EP93 – SER_HIS718
EP94 – SER_HIS719
EP95 – SER_HIS720
EP96 – SER_HIS721
EP97 – SER_HIS722
EP98 – SER_HIS723
EP99 – SER_HIS724
EP100 – SER_HIS725
EP101 – SER_HIS726
EP102 – SER_HIS727
EP103 – SER_HIS728
EP104 – SER_HIS729
EP105 – SER_HIS730
EP106 – SER_HIS731
EP107 – SER_HIS732
EP108 – SER_HIS733
EP109 – SER_HIS734
EP110 – SER_HIS735
EP111 – SER_HIS736
EP112 – SER_HIS737</t>
  </si>
  <si>
    <t>Kề sát lưỡi dao</t>
  </si>
  <si>
    <t>Razor</t>
  </si>
  <si>
    <t>EP01 – SER_CRI2454
EP02 – SER_CRI2455
EP03 – SER_CRI2456
EP04 – SER_CRI2457
EP05 – SER_CRI2458
EP06 – SER_CRI2459
EP07 – SER_CRI2460
EP08 – SER_CRI2461
EP09 – SER_CRI2462
EP10 – SER_CRI2463
EP11 – SER_CRI2464
EP12 – SER_CRI2465
EP13 – SER_CRI2466
EP14 – SER_CRI2467
EP15 – SER_CRI2468
EP16 – SER_CRI2469
EP17 – SER_CRI2470
EP18 – SER_CRI2471
EP19 – SER_CRI2472
EP20 – SER_CRI2473
EP21 – SER_CRI2474
EP22 – SER_CRI2475
EP23 – SER_CRI2476
EP24 – SER_CRI2477
EP25 – SER_CRI2478
EP26 – SER_CRI2479
EP27 – SER_CRI2480
EP28 – SER_CRI2481
EP29 – SER_CRI2482
EP30 – SER_CRI2483
EP31 – SER_CRI2484
EP32 – SER_CRI2485
EP33 – SER_CRI2486
EP34 – SER_CRI2487
EP35 – SER_CRI2488
EP36 – SER_CRI2489
EP37 – SER_CRI2490
EP38 – SER_CRI2491
EP39 – SER_CRI2492
EP40 – SER_CRI2493
EP41 – SER_CRI2494
EP42 – SER_CRI2495
EP43 – SER_CRI2496
EP44 – SER_CRI2497
EP45 – SER_CRI2498
EP46 – SER_CRI2499
EP47 – SER_CRI2500
EP48 – SER_CRI2501</t>
  </si>
  <si>
    <t>Nữ hoàng tháng 5</t>
  </si>
  <si>
    <t>May Queen</t>
  </si>
  <si>
    <t>EP01 – SER_ROM3133
EP02 – SER_ROM3134
EP03 – SER_ROM3135
EP04 – SER_ROM3136
EP05 – SER_ROM3137
EP06 – SER_ROM3138
EP07 – SER_ROM3139
EP08 – SER_ROM3140
EP09 – SER_ROM3141
EP10 – SER_ROM3142
EP11 – SER_ROM3143
EP12 – SER_ROM3144
EP13 – SER_ROM3145
EP14 – SER_ROM3146
EP15 – SER_ROM3147
EP16 – SER_ROM3148
EP17 – SER_ROM3149
EP18 – SER_ROM3150
EP19 – SER_ROM3151
EP20 – SER_ROM3152
EP21 – SER_ROM3153
EP22 – SER_ROM3154
EP23 – SER_ROM3155
EP24 – SER_ROM3156
EP25 – SER_ROM3157
EP26 – SER_ROM3158
EP27 – SER_ROM3159
EP28 – SER_ROM3160
EP29 – SER_ROM3161
EP30 – SER_ROM3162
EP31 – SER_ROM3163
EP32 – SER_ROM3164
EP33 – SER_ROM3165
EP34 – SER_ROM3166
EP35 – SER_ROM3167
EP36 – SER_ROM3168
EP37 – SER_ROM3169
EP38 – SER_ROM3170
EP39 – SER_ROM3171
EP40 – SER_ROM3172
EP41 – SER_ROM3173
EP42 – SER_ROM3174
EP43 – SER_ROM3175
EP44 – SER_ROM3176
EP45 – SER_ROM3177
EP46 – SER_ROM3178
EP47 – SER_ROM3179
EP48 – SER_ROM3180
EP49 – SER_ROM3181
EP50 – SER_ROM3182
EP51 – SER_ROM3183
EP52 – SER_ROM3184
EP53 – SER_ROM3185
EP54 – SER_ROM3186
EP55 – SER_ROM3187
EP56 – SER_ROM3188
EP57 – SER_ROM3189
EP58 – SER_ROM3190
EP59 – SER_ROM3191
EP60 – SER_ROM3192
EP61 – SER_ROM3193
EP62 – SER_ROM3194
EP63 – SER_ROM3195
EP64 – SER_ROM3196
EP65 – SER_ROM3197
EP66 – SER_ROM3198
EP67 – SER_ROM3199
EP68 – SER_ROM3200
EP69 – SER_ROM3201
EP70 – SER_ROM3202
EP71 – SER_ROM3203
EP72 – SER_ROM3204
EP73 – SER_ROM3205
EP74 – SER_ROM3206
EP75 – SER_ROM3207
EP76 – SER_ROM3208</t>
  </si>
  <si>
    <t>Ngự y của hoàng đế</t>
  </si>
  <si>
    <t>The King's doctor</t>
  </si>
  <si>
    <t>EP01 – SER_DRA4194
EP02 – SER_DRA4195
EP03 – SER_DRA4196
EP04 – SER_DRA4197
EP05 – SER_DRA4198
EP06 – SER_DRA4199
EP07 – SER_DRA4200
EP08 – SER_DRA4201
EP09 – SER_DRA4202
EP10 – SER_DRA4203
EP11 – SER_DRA4204
EP12 – SER_DRA4205
EP13 – SER_DRA4206
EP14 – SER_DRA4207
EP15 – SER_DRA4208
EP16 – SER_DRA4209
EP17 – SER_DRA4210
EP18 – SER_DRA4211
EP19 – SER_DRA4212
EP20 – SER_DRA4213
EP21 – SER_DRA4214
EP22 – SER_DRA4215
EP23 – SER_DRA4216
EP24 – SER_DRA4217
EP25 – SER_DRA4218
EP26 – SER_DRA4219
EP27 – SER_DRA4220
EP28 – SER_DRA4221
EP29 – SER_DRA4222
EP30 – SER_DRA4223
EP31 – SER_DRA4224
EP32 – SER_DRA4225
EP33 – SER_DRA4226
EP34 – SER_DRA4227
EP35 – SER_DRA4228
EP36 – SER_DRA4229
EP37 – SER_DRA4230
EP38 – SER_DRA4231
EP39 – SER_DRA4232
EP40 – SER_DRA4233
EP41 – SER_DRA4234
EP42 – SER_DRA4235
EP43 – SER_DRA4236
EP44 – SER_DRA4237
EP45 – SER_DRA4238
EP46 – SER_DRA4239
EP47 – SER_DRA4240
EP48 – SER_DRA4241
EP49 – SER_DRA4242
EP50 – SER_DRA4243</t>
  </si>
  <si>
    <t>Taxi Driver Season 1</t>
  </si>
  <si>
    <t>SBS</t>
  </si>
  <si>
    <t>Ẩn danh 1</t>
  </si>
  <si>
    <t xml:space="preserve">Taxi Driver S1 </t>
  </si>
  <si>
    <t>EP01 – SER_ACT1546
EP02 – SER_ACT1547
EP03 – SER_ACT1548
EP04 – SER_ACT1549
EP05 – SER_ACT1550
EP06 – SER_ACT1551
EP07 – SER_ACT1552
EP08 – SER_ACT1553
EP09 – SER_ACT1554
EP10 – SER_ACT1555
EP11 – SER_ACT1556
EP12 – SER_ACT1557
EP13 – SER_ACT1558
EP14 – SER_ACT1559
EP15 – SER_ACT1560
EP16 – SER_ACT1561
EP17 – SER_ACT1562
EP18 – SER_ACT1563
EP19 – SER_ACT1564
EP20 – SER_ACT1565
EP21 – SER_ACT1566
EP22 – SER_ACT1567
EP23 – SER_ACT1568
EP24 – SER_ACT1569</t>
  </si>
  <si>
    <t>Kiêu hãnh và định kiến</t>
  </si>
  <si>
    <t>Pride and Prejudice</t>
  </si>
  <si>
    <t>EP01 – SER_DRA4096
EP02 – SER_DRA4097
EP03 – SER_DRA4098
EP04 – SER_DRA4099
EP05 – SER_DRA4100
EP06 – SER_DRA4101
EP07 – SER_DRA4102
EP08 – SER_DRA4103
EP09 – SER_DRA4104
EP10 – SER_DRA4105
EP11 – SER_DRA4106
EP12 – SER_DRA4107
EP13 – SER_DRA4108
EP14 – SER_DRA4109
EP15 – SER_DRA4110
EP16 – SER_DRA4111
EP17 – SER_DRA4112
EP18 – SER_DRA4113
EP19 – SER_DRA4114
EP20 – SER_DRA4115
EP21 – SER_DRA4116
EP22 – SER_DRA4117
EP23 – SER_DRA4118
EP24 – SER_DRA4119
EP25 – SER_DRA4120
EP26 – SER_DRA4121
EP27 – SER_DRA4122
EP28 – SER_DRA4123
EP29 – SER_DRA4124
EP30 – SER_DRA4125
EP31 – SER_DRA4126
EP32 – SER_DRA4127
EP33 – SER_DRA4128
EP34 – SER_DRA4129
EP35 – SER_DRA4130
EP36 – SER_DRA4131
EP37 – SER_DRA4132
EP38 – SER_DRA4133
EP39 – SER_DRA4134
EP40 – SER_DRA4135
EP41 – SER_DRA4136
EP42 – SER_DRA4137</t>
  </si>
  <si>
    <t>Ông hoàng khách sạn</t>
  </si>
  <si>
    <t>Hotel king</t>
  </si>
  <si>
    <t>EP01 – SER_DRA4030
EP02 – SER_DRA4031
EP03 – SER_DRA4032
EP04 – SER_DRA4033
EP05 – SER_DRA4034
EP06 – SER_DRA4035
EP07 – SER_DRA4036
EP08 – SER_DRA4037
EP09 – SER_DRA4038
EP10 – SER_DRA4039
EP11 – SER_DRA4040
EP12 – SER_DRA4041
EP13 – SER_DRA4042
EP14 – SER_DRA4043
EP15 – SER_DRA4044
EP16 – SER_DRA4045
EP17 – SER_DRA4046
EP18 – SER_DRA4047
EP19 – SER_DRA4048
EP20 – SER_DRA4049
EP21 – SER_DRA4050
EP22 – SER_DRA4051
EP23 – SER_DRA4052
EP24 – SER_DRA4053
EP25 – SER_DRA4054
EP26 – SER_DRA4055
EP27 – SER_DRA4056
EP28 – SER_DRA4057
EP29 – SER_DRA4058
EP30 – SER_DRA4059
EP31 – SER_DRA4060
EP32 – SER_DRA4061
EP33 – SER_DRA4062
EP34 – SER_DRA4063
EP35 – SER_DRA4064
EP36 – SER_DRA4065
EP37 – SER_DRA4066
EP38 – SER_DRA4067
EP39 – SER_DRA4068
EP40 – SER_DRA4069
EP41 – SER_DRA4070
EP42 – SER_DRA4071
EP43 – SER_DRA4072
EP44 – SER_DRA4073
EP45 – SER_DRA4074
EP46 – SER_DRA4075
EP47 – SER_DRA4076
EP48 – SER_DRA4077
EP49 – SER_DRA4078
EP50 – SER_DRA4079
EP51 – SER_DRA4080
EP52 – SER_DRA4081
EP53 – SER_DRA4082
EP54 – SER_DRA4083
EP55 – SER_DRA4084
EP56 – SER_DRA4085
EP57 – SER_DRA4086
EP58 – SER_DRA4087
EP59 – SER_DRA4088
EP60 – SER_DRA4089
EP61 – SER_DRA4090
EP62 – SER_DRA4091
EP63 – SER_DRA4092
EP64 – SER_DRA4093</t>
  </si>
  <si>
    <t>Nàng công chúa Aurora</t>
  </si>
  <si>
    <t>Princess Aurora</t>
  </si>
  <si>
    <t>EP01 – SER_DRA3782
EP02 – SER_DRA3783
EP03 – SER_DRA3784
EP04 – SER_DRA3785
EP05 – SER_DRA3786
EP06 – SER_DRA3787
EP07 – SER_DRA3788
EP08 – SER_DRA3789
EP09 – SER_DRA3790
EP10 – SER_DRA3791
EP11 – SER_DRA3792
EP12 – SER_DRA3793
EP13 – SER_DRA3794
EP14 – SER_DRA3795
EP15 – SER_DRA3796
EP16 – SER_DRA3797
EP17 – SER_DRA3798
EP18 – SER_DRA3799
EP19 – SER_DRA3800
EP20 – SER_DRA3801
EP21 – SER_DRA3802
EP22 – SER_DRA3803
EP23 – SER_DRA3804
EP24 – SER_DRA3805
EP25 – SER_DRA3806
EP26 – SER_DRA3807
EP27 – SER_DRA3808
EP28 – SER_DRA3809
EP29 – SER_DRA3810
EP30 – SER_DRA3811
EP31 – SER_DRA3812
EP32 – SER_DRA3813
EP33 – SER_DRA3814
EP34 – SER_DRA3815
EP35 – SER_DRA3816
EP36 – SER_DRA3817
EP37 – SER_DRA3818
EP38 – SER_DRA3819
EP39 – SER_DRA3820
EP40 – SER_DRA3821
EP41 – SER_DRA3822
EP42 – SER_DRA3823
EP43 – SER_DRA3824
EP44 – SER_DRA3825
EP45 – SER_DRA3826
EP46 – SER_DRA3827
EP47 – SER_DRA3828
EP48 – SER_DRA3829
EP49 – SER_DRA3830
EP50 – SER_DRA3831
EP51 – SER_DRA3832
EP52 – SER_DRA3833
EP53 – SER_DRA3834
EP54 – SER_DRA3835
EP55 – SER_DRA3836
EP56 – SER_DRA3837
EP57 – SER_DRA3838
EP58 – SER_DRA3839
EP59 – SER_DRA3840
EP60 – SER_DRA3841
EP61 – SER_DRA3842
EP62 – SER_DRA3843
EP63 – SER_DRA3844
EP64 – SER_DRA3845
EP65 – SER_DRA3846
EP66 – SER_DRA3847
EP67 – SER_DRA3848
EP68 – SER_DRA3849
EP69 – SER_DRA3850
EP70 – SER_DRA3851
EP71 – SER_DRA3852
EP72 – SER_DRA3853
EP73 – SER_DRA3854
EP74 – SER_DRA3855
EP75 – SER_DRA3856
EP76 – SER_DRA3857
EP77 – SER_DRA3858
EP78 – SER_DRA3859
EP79 – SER_DRA3860
EP80 – SER_DRA3861
EP81 – SER_DRA3862
EP82 – SER_DRA3863
EP83 – SER_DRA3864
EP84 – SER_DRA3865
EP85 – SER_DRA3866
EP86 – SER_DRA3867
EP87 – SER_DRA3868
EP88 – SER_DRA3869
EP89 – SER_DRA3870
EP90 – SER_DRA3871
EP91 – SER_DRA3872
EP92 – SER_DRA3873
EP93 – SER_DRA3874
EP94 – SER_DRA3875
EP95 – SER_DRA3876
EP96 – SER_DRA3877
EP97 – SER_DRA3878
EP98 – SER_DRA3879
EP99 – SER_DRA3880
EP100 – SER_DRA3881
EP101 – SER_DRA3882
EP102 – SER_DRA3883
EP103 – SER_DRA3884
EP104 – SER_DRA3885
EP105 – SER_DRA3886
EP106 – SER_DRA3887
EP107 – SER_DRA3888
EP108 – SER_DRA3889
EP109 – SER_DRA3890
EP110 – SER_DRA3891
EP111 – SER_DRA3892
EP112 – SER_DRA3893
EP113 – SER_DRA3894
EP114 – SER_DRA3895
EP115 – SER_DRA3896
EP116 – SER_DRA3897
EP117 – SER_DRA3898
EP118 – SER_DRA3899
EP119 – SER_DRA3900
EP120 – SER_DRA3901
EP121 – SER_DRA3902
EP122 – SER_DRA3903
EP123 – SER_DRA3904
EP124 – SER_DRA3905
EP125 – SER_DRA3906
EP126 – SER_DRA3907
EP127 – SER_DRA3908
EP128 – SER_DRA3909
EP129 – SER_DRA3910
EP130 – SER_DRA3911
EP131 – SER_DRA3912
EP132 – SER_DRA3913
EP133 – SER_DRA3914
EP134 – SER_DRA3915
EP135 – SER_DRA3916
EP136 – SER_DRA3917
EP137 – SER_DRA3918
EP138 – SER_DRA3919
EP139 – SER_DRA3920
EP140 – SER_DRA3921
EP141 – SER_DRA3922
EP142 – SER_DRA3923
EP143 – SER_DRA3924
EP144 – SER_DRA3925
EP145 – SER_DRA3926
EP146 – SER_DRA3927
EP147 – SER_DRA3928
EP148 – SER_DRA3929
EP149 – SER_DRA3930
EP150 – SER_DRA3931</t>
  </si>
  <si>
    <t>The Return</t>
  </si>
  <si>
    <t>Myanmar</t>
  </si>
  <si>
    <t>41A/2025/HDBQ/VSTV-Canal MM</t>
  </si>
  <si>
    <t>Canal MM</t>
  </si>
  <si>
    <t>Người cha trở lại</t>
  </si>
  <si>
    <t xml:space="preserve">The Return </t>
  </si>
  <si>
    <t>EP01 – SER_THR619
EP02 – SER_THR620
EP03 – SER_THR621
EP04 – SER_THR622
EP05 – SER_THR623
EP06 – SER_THR624
EP07 – SER_THR625
EP08 – SER_THR626
EP09 – SER_THR627
EP10 – SER_THR628
EP11 – SER_THR629
EP12 – SER_THR630
EP13 – SER_THR631
EP14 – SER_THR632
EP15 – SER_THR633
EP16 – SER_THR634
EP17 – SER_THR635
EP18 – SER_THR636
EP19 – SER_THR637
EP20 – SER_THR638
EP21 – SER_THR639
EP22 – SER_THR640
EP23 – SER_THR641
EP24 – SER_THR642
EP25 – SER_THR643
EP26 – SER_THR644
EP27 – SER_THR645
EP28 – SER_THR646
EP29 – SER_THR647
EP30 – SER_THR648</t>
  </si>
  <si>
    <t>Trapped</t>
  </si>
  <si>
    <t>Cuốn sách bí ẩn</t>
  </si>
  <si>
    <t xml:space="preserve">Trapped </t>
  </si>
  <si>
    <t>EP01 – SER_HOR67
EP02 – SER_HOR68
EP03 – SER_HOR69
EP04 – SER_HOR70
EP05 – SER_HOR71
EP06 – SER_HOR72
EP07 – SER_HOR73
EP08 – SER_HOR74
EP09 – SER_HOR75
EP10 – SER_HOR76</t>
  </si>
  <si>
    <t>THE OUTLAW DOCTOR</t>
  </si>
  <si>
    <t>Medical, life, Drama</t>
  </si>
  <si>
    <t>Taiwan</t>
  </si>
  <si>
    <t>27/2025/HDBQ/VSTV-PTS</t>
  </si>
  <si>
    <t>PTS</t>
  </si>
  <si>
    <t>Bác sĩ tha hương</t>
  </si>
  <si>
    <t xml:space="preserve">The Outlaw Doctor </t>
  </si>
  <si>
    <t>The Outlaw Doctor (11 Tập)
Bản Sub
EP01 – SER_CRI2324
EP02 – SER_CRI2325
EP03 – SER_CRI2326
EP04 – SER_CRI2327
EP05 – SER_CRI2328
EP06 – SER_CRI2329
EP07 – SER_CRI2330
EP08 – SER_CRI2331
EP09 – SER_CRI2332
EP10 – SER_CRI2333
EP11 – SER_CRI2334
Bản Voice
EP01 – SER_CRI2337
EP02 – SER_CRI2338
EP03 – SER_CRI2339
EP04 – SER_CRI2340
EP05 – SER_CRI2341
EP06 – SER_CRI2342
EP07 – SER_CRI2343
EP08 – SER_CRI2344
EP09 – SER_CRI2345
EP10 – SER_CRI2346
EP11 – SER_CRI2347</t>
  </si>
  <si>
    <t>Undercover High School</t>
  </si>
  <si>
    <t>Comedy, Drama</t>
  </si>
  <si>
    <t>PCCW VUCLIP/2025/HDBQ Undercover High School</t>
  </si>
  <si>
    <t>Điệp vụ thanh xuân</t>
  </si>
  <si>
    <t>Undercover High School
Bản Sub (12 Tập)
EP01 – SER_ACT1512
EP02 – SER_ACT1513
EP03 – SER_ACT1514
EP04 – SER_ACT1515
EP05 – SER_ACT1516
EP06 – SER_ACT1517
EP07 – SER_ACT1518
EP08 – SER_ACT1519
EP09 – SER_ACT1520
EP10 – SER_ACT1521
EP11 – SER_ACT1522
EP12 – SER_ACT1523
Bản Voice (18 Tập)
EP01 – SER_ACT1526
EP02 – SER_ACT1527
EP03 – SER_ACT1528
EP04 – SER_ACT1529
EP05 – SER_ACT1530
EP06 – SER_ACT1531
EP07 – SER_ACT1532
EP08 – SER_ACT1533
EP09 – SER_ACT1534
EP10 – SER_ACT1535
EP11 – SER_ACT1536
EP12 – SER_ACT1537
EP13 – SER_ACT1538
EP14 – SER_ACT1539
EP15 – SER_ACT1540
EP16 – SER_ACT1541
EP17 – SER_ACT1542
EP18 – SER_ACT1543</t>
  </si>
  <si>
    <t>Vòng xoáy tình yêu</t>
  </si>
  <si>
    <t>Love Twist</t>
  </si>
  <si>
    <t>EP01 – SER_FAM62
EP02 – SER_FAM63
EP03 – SER_FAM64
EP04 – SER_FAM65
EP05 – SER_FAM66
EP06 – SER_FAM67
EP07 – SER_FAM68
EP08 – SER_FAM69
EP09 – SER_FAM70
EP10 – SER_FAM71
EP11 – SER_FAM72
EP12 – SER_FAM73
EP13 – SER_FAM74
EP14 – SER_FAM75
EP15 – SER_FAM76
EP16 – SER_FAM77
EP17 – SER_FAM78
EP18 – SER_FAM79
EP19 – SER_FAM80
EP20 – SER_FAM81
EP21 – SER_FAM82
EP22 – SER_FAM83
EP23 – SER_FAM84
EP24 – SER_FAM85
EP25 – SER_FAM86
EP26 – SER_FAM87
EP27 – SER_FAM88
EP28 – SER_FAM89
EP29 – SER_FAM90
EP30 – SER_FAM91
EP31 – SER_FAM92
EP32 – SER_FAM93
EP33 – SER_FAM94
EP34 – SER_FAM95
EP35 – SER_FAM96
EP36 – SER_FAM97
EP37 – SER_FAM98
EP38 – SER_FAM99
EP39 – SER_FAM100
EP40 – SER_FAM101
EP41 – SER_FAM102
EP42 – SER_FAM103
EP43 – SER_FAM104
EP44 – SER_FAM105
EP45 – SER_FAM106
EP46 – SER_FAM107
EP47 – SER_FAM108
EP48 – SER_FAM109
EP49 – SER_FAM110
EP50 – SER_FAM111
EP51 – SER_FAM112
EP52 – SER_FAM113
EP53 – SER_FAM114
EP54 – SER_FAM115
EP55 – SER_FAM116
EP56 – SER_FAM117
EP57 – SER_FAM118
EP58 – SER_FAM119
EP59 – SER_FAM120
EP60 – SER_FAM121
EP61 – SER_FAM122
EP62 – SER_FAM123
EP63 – SER_FAM124
EP64 – SER_FAM125
EP65 – SER_FAM126
EP66 – SER_FAM127
EP67 – SER_FAM128
EP68 – SER_FAM129
EP69 – SER_FAM130
EP70 – SER_FAM131
EP71 – SER_FAM132
EP72 – SER_FAM133
EP73 – SER_FAM134
EP74 – SER_FAM135
EP75 – SER_FAM136
EP76 – SER_FAM137
EP77 – SER_FAM138
EP78 – SER_FAM139
EP79 – SER_FAM140
EP80 – SER_FAM141
EP81 – SER_FAM142
EP82 – SER_FAM143
EP83 – SER_FAM144
EP84 – SER_FAM145
EP85 – SER_FAM146
EP86 – SER_FAM147
EP87 – SER_FAM148
EP88 – SER_FAM149
EP89 – SER_FAM150
EP90 – SER_FAM151
EP91 – SER_FAM152
EP92 – SER_FAM153
EP93 – SER_FAM154
EP94 – SER_FAM155
EP95 – SER_FAM156
EP96 – SER_FAM157
EP97 – SER_FAM158
EP98 – SER_FAM159
EP99 – SER_FAM160
EP100 – SER_FAM161
EP101 – SER_FAM162
EP102 – SER_FAM163
EP103 – SER_FAM164</t>
  </si>
  <si>
    <t>Thirteen Years Dust</t>
  </si>
  <si>
    <t>Crime, Thriller</t>
  </si>
  <si>
    <t>09A/2025/HDBQ/VSTV-IQIYI</t>
  </si>
  <si>
    <t>iQiYi</t>
  </si>
  <si>
    <t>Nghi án mười ba năm</t>
  </si>
  <si>
    <t>Thirteen Years Of Dust</t>
  </si>
  <si>
    <t xml:space="preserve"> Thirteen Years Of Dust (24 Tập)
EP01 – SER_CRI2428
EP02 – SER_CRI2429
EP03 – SER_CRI2430
EP04 – SER_CRI2431
EP05 – SER_CRI2432
EP06 – SER_CRI2433
EP07 – SER_CRI2434
EP08 – SER_CRI2435
EP09 – SER_CRI2436
EP10 – SER_CRI2437
EP11 – SER_CRI2438
EP12 – SER_CRI2439
EP13 – SER_CRI2440
EP14 – SER_CRI2441
EP15 – SER_CRI2442
EP16 – SER_CRI2443
EP17 – SER_CRI2444
EP18 – SER_CRI2445
EP19 – SER_CRI2446
EP20 – SER_CRI2447
EP21 – SER_CRI2448
EP22 – SER_CRI2449
EP23 – SER_CRI2450
EP24 – SER_CRI2451</t>
  </si>
  <si>
    <t>Who's the Murder</t>
  </si>
  <si>
    <t>Drama, Crime</t>
  </si>
  <si>
    <t>Ai là hung thủ</t>
  </si>
  <si>
    <t>Who is the Murderer</t>
  </si>
  <si>
    <t>Who is the Murderer (16 Tập)
EP01 – SER_CRI2504
EP02 – SER_CRI2505
EP03 – SER_CRI2506
EP04 – SER_CRI2507
EP05 – SER_CRI2508
EP06 – SER_CRI2509
EP07 – SER_CRI2510
EP08 – SER_CRI2511
EP09 – SER_CRI2512
EP10 – SER_CRI2513
EP11 – SER_CRI2514
EP12 – SER_CRI2515
EP13 – SER_CRI2516
EP14 – SER_CRI2517
EP15 – SER_CRI2518
EP16 – SER_CRI2519</t>
  </si>
  <si>
    <t>Imperfect Victim</t>
  </si>
  <si>
    <t>Nạn nhân không hoàn hảo</t>
  </si>
  <si>
    <t>Imperfect Victim (29 Tập)
EP01 – SER_CRI2350
EP02 – SER_CRI2351
EP03 – SER_CRI2352
EP04 – SER_CRI2353
EP05 – SER_CRI2354
EP06 – SER_CRI2355
EP07 – SER_CRI2356
EP08 – SER_CRI2357
EP09 – SER_CRI2358
EP10 – SER_CRI2359
EP11 – SER_CRI2360
EP12 – SER_CRI2361
EP13 – SER_CRI2362
EP14 – SER_CRI2363
EP15 – SER_CRI2364
EP16 – SER_CRI2365
EP17 – SER_CRI2366
EP18 – SER_CRI2367
EP19 – SER_CRI2368
EP20 – SER_CRI2369
EP21 – SER_CRI2370
EP22 – SER_CRI2371
EP23 – SER_CRI2372
EP24 – SER_CRI2373
EP25 – SER_CRI2374
EP26 – SER_CRI2375
EP27 – SER_CRI2376
EP28 – SER_CRI2377
EP29 – SER_CRI2378</t>
  </si>
  <si>
    <t>Never Give Up</t>
  </si>
  <si>
    <t>Hôm nay phải cố lên</t>
  </si>
  <si>
    <t>EP01 – SER_DRA3932
EP02 – SER_DRA3933
EP03 – SER_DRA3934
EP04 – SER_DRA3935
EP05 – SER_DRA3936
EP06 – SER_DRA3937
EP07 – SER_DRA3938
EP08 – SER_DRA3939
EP09 – SER_DRA3940
EP10 – SER_DRA3941
EP11 – SER_DRA3942
EP12 – SER_DRA3943
EP13 – SER_DRA3944
EP14 – SER_DRA3945
EP15 – SER_DRA3946
EP16 – SER_DRA3947
EP17 – SER_DRA3948
EP18 – SER_DRA3949
EP19 – SER_DRA3950
EP20 – SER_DRA3951
EP21 – SER_DRA3952
EP22 – SER_DRA3953
EP23 – SER_DRA3954
EP24 – SER_DRA3955
EP25 – SER_DRA3956
EP26 – SER_DRA3957
EP27 – SER_DRA3958
EP28 – SER_DRA3959
EP29 – SER_DRA3960
EP30 – SER_DRA3961
EP31 – SER_DRA3962
EP32 – SER_DRA3963
EP33 – SER_DRA3964
EP34 – SER_DRA3965
EP35 – SER_DRA3966
EP36 – SER_DRA3967
EP37 – SER_DRA3968
EP38 – SER_DRA3969
EP39 – SER_DRA3970
EP40 – SER_DRA3971</t>
  </si>
  <si>
    <t>Phía đông vườn địa đàng</t>
  </si>
  <si>
    <t>East of Eden</t>
  </si>
  <si>
    <t>EP01 – SER_DRA3684
EP02 – SER_DRA3685
EP03 – SER_DRA3686
EP04 – SER_DRA3687
EP05 – SER_DRA3688
EP06 – SER_DRA3689
EP07 – SER_DRA3690
EP08 – SER_DRA3691
EP09 – SER_DRA3692
EP10 – SER_DRA3693
EP11 – SER_DRA3694
EP12 – SER_DRA3695
EP13 – SER_DRA3696
EP14 – SER_DRA3697
EP15 – SER_DRA3698
EP16 – SER_DRA3699
EP17 – SER_DRA3700
EP18 – SER_DRA3701
EP19 – SER_DRA3702
EP20 – SER_DRA3703
EP21 – SER_DRA3704
EP22 – SER_DRA3705
EP23 – SER_DRA3706
EP24 – SER_DRA3707
EP25 – SER_DRA3708
EP26 – SER_DRA3709
EP27 – SER_DRA3710
EP28 – SER_DRA3711
EP29 – SER_DRA3712
EP30 – SER_DRA3713
EP31 – SER_DRA3714
EP32 – SER_DRA3715
EP33 – SER_DRA3716
EP34 – SER_DRA3717
EP35 – SER_DRA3718
EP36 – SER_DRA3719
EP37 – SER_DRA3720
EP38 – SER_DRA3721
EP39 – SER_DRA3722
EP40 – SER_DRA3723
EP41 – SER_DRA3724
EP42 – SER_DRA3725
EP43 – SER_DRA3726
EP44 – SER_DRA3727
EP45 – SER_DRA3728
EP46 – SER_DRA3729
EP47 – SER_DRA3730
EP48 – SER_DRA3731
EP49 – SER_DRA3732
EP50 – SER_DRA3733
EP51 – SER_DRA3734
EP52 – SER_DRA3735
EP53 – SER_DRA3736
EP54 – SER_DRA3737
EP55 – SER_DRA3738
EP56 – SER_DRA3739</t>
  </si>
  <si>
    <t>Hoa trong ngục</t>
  </si>
  <si>
    <t>The flower in Prison</t>
  </si>
  <si>
    <t>EP01 – SER_HIS573
EP02 – SER_HIS574
EP03 – SER_HIS575
EP04 – SER_HIS576
EP05 – SER_HIS577
EP06 – SER_HIS578
EP07 – SER_HIS579
EP08 – SER_HIS580
EP09 – SER_HIS581
EP10 – SER_HIS582
EP11 – SER_HIS583
EP12 – SER_HIS584
EP13 – SER_HIS585
EP14 – SER_HIS586
EP15 – SER_HIS587
EP16 – SER_HIS588
EP17 – SER_HIS589
EP18 – SER_HIS590
EP19 – SER_HIS591
EP20 – SER_HIS592
EP21 – SER_HIS593
EP22 – SER_HIS594
EP23 – SER_HIS595
EP24 – SER_HIS596
EP25 – SER_HIS597
EP26 – SER_HIS598
EP27 – SER_HIS599
EP28 – SER_HIS600
EP29 – SER_HIS601
EP30 – SER_HIS602
EP31 – SER_HIS603
EP32 – SER_HIS604
EP33 – SER_HIS605
EP34 – SER_HIS606
EP35 – SER_HIS607
EP36 – SER_HIS608
EP37 – SER_HIS609
EP38 – SER_HIS610
EP39 – SER_HIS611
EP40 – SER_HIS612
EP41 – SER_HIS613
EP42 – SER_HIS614
EP43 – SER_HIS615
EP44 – SER_HIS616
EP45 – SER_HIS617
EP46 – SER_HIS618
EP47 – SER_HIS619
EP48 – SER_HIS620
EP49 – SER_HIS621
EP50 – SER_HIS622
EP51 – SER_HIS623</t>
  </si>
  <si>
    <t>Bố là tất cả</t>
  </si>
  <si>
    <t>Father, I'll take care of you</t>
  </si>
  <si>
    <t>EP01 – SER_DRA3318
EP02 – SER_DRA3319
EP03 – SER_DRA3320
EP04 – SER_DRA3321
EP05 – SER_DRA3322
EP06 – SER_DRA3323
EP07 – SER_DRA3324
EP08 – SER_DRA3325
EP09 – SER_DRA3326
EP10 – SER_DRA3327
EP11 – SER_DRA3328
EP12 – SER_DRA3329
EP13 – SER_DRA3330
EP14 – SER_DRA3331
EP15 – SER_DRA3332
EP16 – SER_DRA3333
EP17 – SER_DRA3334
EP18 – SER_DRA3335
EP19 – SER_DRA3336
EP20 – SER_DRA3337
EP21 – SER_DRA3338
EP22 – SER_DRA3339
EP23 – SER_DRA3340
EP24 – SER_DRA3341
EP25 – SER_DRA3342
EP26 – SER_DRA3343
EP27 – SER_DRA3344
EP28 – SER_DRA3345
EP29 – SER_DRA3346
EP30 – SER_DRA3347
EP31 – SER_DRA3348
EP32 – SER_DRA3349
EP33 – SER_DRA3350
EP34 – SER_DRA3351
EP35 – SER_DRA3352
EP36 – SER_DRA3353
EP37 – SER_DRA3354
EP38 – SER_DRA3355
EP39 – SER_DRA3356
EP40 – SER_DRA3357
EP41 – SER_DRA3358
EP42 – SER_DRA3359
EP43 – SER_DRA3360
EP44 – SER_DRA3361
EP45 – SER_DRA3362
EP46 – SER_DRA3363
EP47 – SER_DRA3364
EP48 – SER_DRA3365
EP49 – SER_DRA3366
EP50 – SER_DRA3367</t>
  </si>
  <si>
    <t>Quý tử họ Lee</t>
  </si>
  <si>
    <t>The rich son</t>
  </si>
  <si>
    <t>EP01 – SER_DRA3974
EP02 – SER_DRA3975
EP03 – SER_DRA3976
EP04 – SER_DRA3977
EP05 – SER_DRA3978
EP06 – SER_DRA3979
EP07 – SER_DRA3980
EP08 – SER_DRA3981
EP09 – SER_DRA3982
EP10 – SER_DRA3983
EP11 – SER_DRA3984
EP12 – SER_DRA3985
EP13 – SER_DRA3986
EP14 – SER_DRA3987
EP15 – SER_DRA3988
EP16 – SER_DRA3989
EP17 – SER_DRA3990
EP18 – SER_DRA3991
EP19 – SER_DRA3992
EP20 – SER_DRA3993
EP21 – SER_DRA3994
EP22 – SER_DRA3995
EP23 – SER_DRA3996
EP24 – SER_DRA3997
EP25 – SER_DRA3998
EP26 – SER_DRA3999
EP27 – SER_DRA4000
EP28 – SER_DRA4001
EP29 – SER_DRA4002
EP30 – SER_DRA4003
EP31 – SER_DRA4004
EP32 – SER_DRA4005
EP33 – SER_DRA4006
EP34 – SER_DRA4007
EP35 – SER_DRA4008
EP36 – SER_DRA4009
EP37 – SER_DRA4010
EP38 – SER_DRA4011
EP39 – SER_DRA4012
EP40 – SER_DRA4013
EP41 – SER_DRA4014
EP42 – SER_DRA4015
EP43 – SER_DRA4016
EP44 – SER_DRA4017
EP45 – SER_DRA4018
EP46 – SER_DRA4019
EP47 – SER_DRA4020
EP48 – SER_DRA4021
EP49 – SER_DRA4022
EP50 – SER_DRA4023</t>
  </si>
  <si>
    <t>Tìm lại chính mình</t>
  </si>
  <si>
    <t>Kill me, Heal Me</t>
  </si>
  <si>
    <t>EP01 – SER_ROM2921
EP02 – SER_ROM2922
EP03 – SER_ROM2923
EP04 – SER_ROM2924
EP05 – SER_ROM2925
EP06 – SER_ROM2926
EP07 – SER_ROM2927
EP08 – SER_ROM2928
EP09 – SER_ROM2929
EP10 – SER_ROM2930
EP11 – SER_ROM2931
EP12 – SER_ROM2932
EP13 – SER_ROM2933
EP14 – SER_ROM2934
EP15 – SER_ROM2935
EP16 – SER_ROM2936
EP17 – SER_ROM2937
EP18 – SER_ROM2938
EP19 – SER_ROM2939
EP20 – SER_ROM2940</t>
  </si>
  <si>
    <t>Trò chơi thương trường</t>
  </si>
  <si>
    <t>Game of wisdom</t>
  </si>
  <si>
    <t>EP01 – SER_DRA2946
EP02 – SER_DRA2947
EP03 – SER_DRA2948
EP04 – SER_DRA2949
EP05 – SER_DRA2950
EP06 – SER_DRA2951
EP07 – SER_DRA2952
EP08 – SER_DRA2953
EP09 – SER_DRA2954
EP10 – SER_DRA2955
EP11 – SER_DRA2956
EP12 – SER_DRA2957
EP13 – SER_DRA2958
EP14 – SER_DRA2959
EP15 – SER_DRA2960
EP16 – SER_DRA2961
EP17 – SER_DRA2962
EP18 – SER_DRA2963
EP19 – SER_DRA2964
EP20 – SER_DRA2965
EP21 – SER_DRA2966
EP22 – SER_DRA2967
EP23 – SER_DRA2968
EP24 – SER_DRA2969
EP25 – SER_DRA2970
EP26 – SER_DRA2971
EP27 – SER_DRA2972
EP28 – SER_DRA2973
EP29 – SER_DRA2974
EP30 – SER_DRA2975
EP31 – SER_DRA2976
EP32 – SER_DRA2977
EP33 – SER_DRA2978
EP34 – SER_DRA2979
EP35 – SER_DRA2980
EP36 – SER_DRA2981
EP37 – SER_DRA2982
EP38 – SER_DRA2983
EP39 – SER_DRA2984
EP40 – SER_DRA2985</t>
  </si>
  <si>
    <t>Flourished Peony (QUỐC SẮC PHƯƠNG HOA)</t>
  </si>
  <si>
    <t>Historical, Business, Romance</t>
  </si>
  <si>
    <t>Huace Media/Flourished Peony</t>
  </si>
  <si>
    <t>Quốc Sắc Phương Hoa</t>
  </si>
  <si>
    <t>Flourished Peony</t>
  </si>
  <si>
    <t>flourished peony – bản Sub – EP01→EP32
EP01 – SER_ROM3049
EP02 – SER_ROM3050
EP03 – SER_ROM3051
EP04 – SER_ROM3052
EP05 – SER_ROM3053
EP06 – SER_ROM3054
EP07 – SER_ROM3055
EP08 – SER_ROM3056
EP09 – SER_ROM3057
EP10 – SER_ROM3058
EP11 – SER_ROM3059
EP12 – SER_ROM3060
EP13 – SER_ROM3061
EP14 – SER_ROM3062
EP15 – SER_ROM3063
EP16 – SER_ROM3064
EP17 – SER_ROM3065
EP18 – SER_ROM3066
EP19 – SER_ROM3067
EP20 – SER_ROM3068
EP21 – SER_ROM3069
EP22 – SER_ROM3070
EP23 – SER_ROM3071
EP24 – SER_ROM3072
EP25 – SER_ROM3073
EP26 – SER_ROM3074
EP27 – SER_ROM3075
EP28 – SER_ROM3076
EP29 – SER_ROM3077
EP30 – SER_ROM3078
EP31 – SER_ROM3079
EP32 – SER_ROM3080
flourished peony – bản Voice – EP01→EP32
EP01 – SER_ROM3081
EP02 – SER_ROM3082
EP03 – SER_ROM3083
EP04 – SER_ROM3084
EP05 – SER_ROM3085
EP06 – SER_ROM3086
EP07 – SER_ROM3087
EP08 – SER_ROM3088
EP09 – SER_ROM3089
EP10 – SER_ROM3090
EP11 – SER_ROM3091
EP12 – SER_ROM3092
EP13 – SER_ROM3093
EP14 – SER_ROM3094
EP15 – SER_ROM3095
EP16 – SER_ROM3096
EP17 – SER_ROM3097
EP18 – SER_ROM3098
EP19 – SER_ROM3099
EP20 – SER_ROM3100
EP21 – SER_ROM3101
EP22 – SER_ROM3102
EP23 – SER_ROM3103
EP24 – SER_ROM3104
EP25 – SER_ROM3105
EP26 – SER_ROM3106
EP27 – SER_ROM3107
EP28 – SER_ROM3108
EP29 – SER_ROM3109
EP30 – SER_ROM3110
EP31 – SER_ROM3111
EP32 – SER_ROM3112</t>
  </si>
  <si>
    <t>The First Shot</t>
  </si>
  <si>
    <t>K+ACTION</t>
  </si>
  <si>
    <t>Thriller, Mystery</t>
  </si>
  <si>
    <t xml:space="preserve">China </t>
  </si>
  <si>
    <t>21/2025/HDBQ/VSTV-Youku</t>
  </si>
  <si>
    <t>YOUKU</t>
  </si>
  <si>
    <t>Tuyết mê cung</t>
  </si>
  <si>
    <t>EP01 – SER_THR585
EP02 – SER_THR586
EP03 – SER_THR587
EP04 – SER_THR588
EP05 – SER_THR589
EP06 – SER_THR590
EP07 – SER_THR591
EP08 – SER_THR592
EP09 – SER_THR593
EP10 – SER_THR594
EP11 – SER_THR595
EP12 – SER_THR596
EP13 – SER_THR597
EP14 – SER_THR598
EP15 – SER_THR599
EP16 – SER_THR600
EP17 – SER_THR601
EP18 – SER_THR602
EP19 – SER_THR603
EP20 – SER_THR604
EP21 – SER_THR605
EP22 – SER_THR606
EP23 – SER_THR607
EP24 – SER_THR608
EP25 – SER_THR609
EP26 – SER_THR610
EP27 – SER_THR611
EP28 – SER_THR612
EP29 – SER_THR613
EP30 – SER_THR614
EP31 – SER_THR615
EP32 – SER_THR616</t>
  </si>
  <si>
    <t>The Guardians of Dafeng (Đại phụng đả canh nhân)</t>
  </si>
  <si>
    <t xml:space="preserve">Others </t>
  </si>
  <si>
    <t xml:space="preserve">Wuxia, Comedy </t>
  </si>
  <si>
    <t>New Classic Media/HDBQ Dafeng</t>
  </si>
  <si>
    <t xml:space="preserve">NCM </t>
  </si>
  <si>
    <t>Đại Phụng Đả Canh Nhân</t>
  </si>
  <si>
    <t>Guardians of the Dafeng</t>
  </si>
  <si>
    <t>guardians of the dafeng – bản Sub – EP01→EP40
EP01 – SER_FAN93
EP02 – SER_FAN94
EP03 – SER_FAN95
EP04 – SER_FAN96
EP05 – SER_FAN97
EP06 – SER_FAN98
EP07 – SER_FAN99
EP08 – SER_FAN100
EP09 – SER_FAN101
EP10 – SER_FAN102
EP11 – SER_FAN103
EP12 – SER_FAN104
EP13 – SER_FAN105
EP14 – SER_FAN106
EP15 – SER_FAN107
EP16 – SER_FAN108
EP17 – SER_FAN109
EP18 – SER_FAN110
EP19 – SER_FAN111
EP20 – SER_FAN112
EP21 – SER_FAN113
EP22 – SER_FAN114
EP23 – SER_FAN115
EP24 – SER_FAN116
EP25 – SER_FAN117
EP26 – SER_FAN118
EP27 – SER_FAN119
EP28 – SER_FAN120
EP29 – SER_FAN121
EP30 – SER_FAN122
EP31 – SER_FAN123
EP32 – SER_FAN124
EP33 – SER_FAN125
EP34 – SER_FAN126
EP35 – SER_FAN127
EP36 – SER_FAN128
EP37 – SER_FAN129
EP38 – SER_FAN130
EP39 – SER_FAN131
EP40 – SER_FAN132
guardians of the dafeng – bản Voice – EP01→EP40
EP01 – SER_FAN137
EP02 – SER_FAN138
EP03 – SER_FAN139
EP04 – SER_FAN140
EP05 – SER_FAN141
EP06 – SER_FAN142
EP07 – SER_FAN143
EP08 – SER_FAN144
EP09 – SER_FAN145
EP10 – SER_FAN146
EP11 – SER_FAN147
EP12 – SER_FAN148
EP13 – SER_FAN149
EP14 – SER_FAN150
EP15 – SER_FAN151
EP16 – SER_FAN152
EP17 – SER_FAN153
EP18 – SER_FAN154
EP19 – SER_FAN155
EP20 – SER_FAN156
EP21 – SER_FAN157
EP22 – SER_FAN158
EP23 – SER_FAN159
EP24 – SER_FAN160
EP25 – SER_FAN161
EP26 – SER_FAN162
EP27 – SER_FAN163
EP28 – SER_FAN164
EP29 – SER_FAN165
EP30 – SER_FAN166
EP31 – SER_FAN167
EP32 – SER_FAN168
EP33 – SER_FAN169
EP34 – SER_FAN170
EP35 – SER_FAN171
EP36 – SER_FAN172
EP37 – SER_FAN173
EP38 – SER_FAN174
EP39 – SER_FAN175
EP40 – SER_FAN176</t>
  </si>
  <si>
    <t>Historical, Romance</t>
  </si>
  <si>
    <t>131/2024/HDBQ/VSTV_TKL</t>
  </si>
  <si>
    <t>TKL</t>
  </si>
  <si>
    <t>Mộng hoa lục</t>
  </si>
  <si>
    <t>A Dream of Splendor</t>
  </si>
  <si>
    <t>a dream of splendor – bản Sub – EP01→EP40
EP01 – SER_ROM3005
EP02 – SER_ROM3006
EP03 – SER_ROM3007
EP04 – SER_ROM3008
EP05 – SER_ROM3009
EP06 – SER_ROM3010
EP07 – SER_ROM3011
EP08 – SER_ROM3012
EP09 – SER_ROM3013
EP10 – SER_ROM3014
EP11 – SER_ROM3015
EP12 – SER_ROM3016
EP13 – SER_ROM3017
EP14 – SER_ROM3018
EP15 – SER_ROM3019
EP16 – SER_ROM3020
EP17 – SER_ROM3021
EP18 – SER_ROM3022
EP19 – SER_ROM3023
EP20 – SER_ROM3024
EP21 – SER_ROM3025
EP22 – SER_ROM3026
EP23 – SER_ROM3027
EP24 – SER_ROM3028
EP25 – SER_ROM3029
EP26 – SER_ROM3030
EP27 – SER_ROM3031
EP28 – SER_ROM3032
EP29 – SER_ROM3033
EP30 – SER_ROM3034
EP31 – SER_ROM3035
EP32 – SER_ROM3036
EP33 – SER_ROM3037
EP34 – SER_ROM3038
EP35 – SER_ROM3039
EP36 – SER_ROM3040
EP37 – SER_ROM3041
EP38 – SER_ROM3042
EP39 – SER_ROM3043
EP40 – SER_ROM3044
a dream of splendor – bản Voice – EP01→EP40
EP01 – SER_ROM2963
EP02 – SER_ROM2964
EP03 – SER_ROM2965
EP04 – SER_ROM2966
EP05 – SER_ROM2967
EP06 – SER_ROM2968
EP07 – SER_ROM2969
EP08 – SER_ROM2970
EP09 – SER_ROM2971
EP10 – SER_ROM2972
EP11 – SER_ROM2973
EP12 – SER_ROM2974
EP13 – SER_ROM2975
EP14 – SER_ROM2976
EP15 – SER_ROM2977
EP16 – SER_ROM2978
EP17 – SER_ROM2979
EP18 – SER_ROM2980
EP19 – SER_ROM2981
EP20 – SER_ROM2982
EP21 – SER_ROM2983
EP22 – SER_ROM2984
EP23 – SER_ROM2985
EP24 – SER_ROM2986
EP25 – SER_ROM2987
EP26 – SER_ROM2988
EP27 – SER_ROM2989
EP28 – SER_ROM2990
EP29 – SER_ROM2991
EP30 – SER_ROM2992
EP31 – SER_ROM2993
EP32 – SER_ROM2994
EP33 – SER_ROM2995
EP34 – SER_ROM2996
EP35 – SER_ROM2997
EP36 – SER_ROM2998
EP37 – SER_ROM2999
EP38 – SER_ROM3000
EP39 – SER_ROM3001
EP40 – SER_ROM3002</t>
  </si>
  <si>
    <t>Tình hồng</t>
  </si>
  <si>
    <t>Rosy lovers</t>
  </si>
  <si>
    <t>EP01 – SER_ROM2715
EP02 – SER_ROM2716
EP03 – SER_ROM2717
EP04 – SER_ROM2718
EP05 – SER_ROM2719
EP06 – SER_ROM2720
EP07 – SER_ROM2721
EP08 – SER_ROM2722
EP09 – SER_ROM2723
EP10 – SER_ROM2724
EP11 – SER_ROM2725
EP12 – SER_ROM2726
EP13 – SER_ROM2727
EP14 – SER_ROM2728
EP15 – SER_ROM2729
EP16 – SER_ROM2730
EP17 – SER_ROM2731
EP18 – SER_ROM2732
EP19 – SER_ROM2733
EP20 – SER_ROM2734
EP21 – SER_ROM2735
EP22 – SER_ROM2736
EP23 – SER_ROM2737
EP24 – SER_ROM2738
EP25 – SER_ROM2739
EP26 – SER_ROM2740
EP27 – SER_ROM2741
EP28 – SER_ROM2742
EP29 – SER_ROM2743
EP30 – SER_ROM2744
EP31 – SER_ROM2745
EP32 – SER_ROM2746
EP33 – SER_ROM2747
EP34 – SER_ROM2748
EP35 – SER_ROM2749
EP36 – SER_ROM2750
EP37 – SER_ROM2751
EP38 – SER_ROM2752
EP39 – SER_ROM2753
EP40 – SER_ROM2754
EP41 – SER_ROM2755
EP42 – SER_ROM2756
EP43 – SER_ROM2757
EP44 – SER_ROM2758
EP45 – SER_ROM2759
EP46 – SER_ROM2760
EP47 – SER_ROM2761
EP48 – SER_ROM2762
EP49 – SER_ROM2763
EP50 – SER_ROM2764
EP51 – SER_ROM2765
EP52 – SER_ROM2766</t>
  </si>
  <si>
    <t>Tình mẹ</t>
  </si>
  <si>
    <t>Mama</t>
  </si>
  <si>
    <t>EP01 – SER_DRA3219
EP02 – SER_DRA3220
EP03 – SER_DRA3221
EP04 – SER_DRA3222
EP05 – SER_DRA3223
EP06 – SER_DRA3224
EP07 – SER_DRA3225
EP08 – SER_DRA3226
EP09 – SER_DRA3227
EP10 – SER_DRA3228
EP11 – SER_DRA3229
EP12 – SER_DRA3230
EP13 – SER_DRA3231
EP14 – SER_DRA3232
EP15 – SER_DRA3233
EP16 – SER_DRA3234
EP17 – SER_DRA3235
EP18 – SER_DRA3236
EP19 – SER_DRA3237
EP20 – SER_DRA3238
EP21 – SER_DRA3239
EP22 – SER_DRA3240
EP23 – SER_DRA3241
EP24 – SER_DRA3242</t>
  </si>
  <si>
    <t>Hoàng hậu Ki</t>
  </si>
  <si>
    <t>Empress Ki</t>
  </si>
  <si>
    <t>EP01 – SER_HIS520
EP02 – SER_HIS521
EP03 – SER_HIS522
EP04 – SER_HIS523
EP05 – SER_HIS524
EP06 – SER_HIS525
EP07 – SER_HIS526
EP08 – SER_HIS527
EP09 – SER_HIS528
EP10 – SER_HIS529
EP11 – SER_HIS530
EP12 – SER_HIS531
EP13 – SER_HIS532
EP14 – SER_HIS533
EP15 – SER_HIS534
EP16 – SER_HIS535
EP17 – SER_HIS536
EP18 – SER_HIS537
EP19 – SER_HIS538
EP20 – SER_HIS539
EP21 – SER_HIS540
EP22 – SER_HIS541
EP23 – SER_HIS542
EP24 – SER_HIS543
EP25 – SER_HIS544
EP26 – SER_HIS545
EP27 – SER_HIS546
EP28 – SER_HIS547
EP29 – SER_HIS548
EP30 – SER_HIS549
EP31 – SER_HIS550
EP32 – SER_HIS551
EP33 – SER_HIS552
EP34 – SER_HIS553
EP35 – SER_HIS554
EP36 – SER_HIS555
EP37 – SER_HIS556
EP38 – SER_HIS557
EP39 – SER_HIS558
EP40 – SER_HIS559
EP41 – SER_HIS560
EP42 – SER_HIS561
EP43 – SER_HIS562
EP44 – SER_HIS563
EP45 – SER_HIS564
EP46 – SER_HIS565
EP47 – SER_HIS566
EP48 – SER_HIS567
EP49 – SER_HIS568
EP50 – SER_HIS569
EP51 – SER_HIS570</t>
  </si>
  <si>
    <t>Brewing Love</t>
  </si>
  <si>
    <t>K+CINE</t>
  </si>
  <si>
    <t xml:space="preserve">Comedy, romance </t>
  </si>
  <si>
    <t xml:space="preserve">PCCW VUCLIP/2024/HDBQ Output deal </t>
  </si>
  <si>
    <t>Men say tình yêu</t>
  </si>
  <si>
    <t>brewing love – bản Sub – EP01→EP12
EP01 – SER_ROM2809
EP02 – SER_ROM2810
EP03 – SER_ROM2811
EP04 – SER_ROM2812
EP05 – SER_ROM2813
EP06 – SER_ROM2814
EP07 – SER_ROM2815
EP08 – SER_ROM2816
EP09 – SER_ROM2817
EP10 – SER_ROM2818
EP11 – SER_ROM2819
EP12 – SER_ROM2820
brewing love – bản Voice – EP01→EP18
EP01 – SER_ROM2943
EP02 – SER_ROM2944
EP03 – SER_ROM2945
EP04 – SER_ROM2946
EP05 – SER_ROM2947
EP06 – SER_ROM2948
EP07 – SER_ROM2949
EP08 – SER_ROM2950
EP09 – SER_ROM2951
EP10 – SER_ROM2952
EP11 – SER_ROM2953
EP12 – SER_ROM2954
EP13 – SER_ROM2955
EP14 – SER_ROM2956
EP15 – SER_ROM2957
EP16 – SER_ROM2958
EP17 – SER_ROM2959
EP18 – SER_ROM2960</t>
  </si>
  <si>
    <t xml:space="preserve">Romance </t>
  </si>
  <si>
    <t>Hongkong</t>
  </si>
  <si>
    <t>Hẹn hò công sở</t>
  </si>
  <si>
    <t xml:space="preserve">Business Proposal </t>
  </si>
  <si>
    <t>EP01 – SER_ROM2788
EP02 – SER_ROM2789
EP03 – SER_ROM2790
EP04 – SER_ROM2791
EP05 – SER_ROM2792
EP06 – SER_ROM2793
EP07 – SER_ROM2794
EP08 – SER_ROM2795
EP09 – SER_ROM2796
EP10 – SER_ROM2797
EP11 – SER_ROM2798
EP12 – SER_ROM2799
EP13 – SER_ROM2800
EP14 – SER_ROM2801
EP15 – SER_ROM2802</t>
  </si>
  <si>
    <t>Philippine</t>
  </si>
  <si>
    <t>Hương vị bí mật</t>
  </si>
  <si>
    <t>Secret Ingredient</t>
  </si>
  <si>
    <t>EP01 – SER_ROM2803
EP02 – SER_ROM2804
EP03 – SER_ROM2805
EP04 – SER_ROM2806
EP05 – SER_ROM2807
EP06 – SER_ROM2808</t>
  </si>
  <si>
    <t>IN BETWEEN (Nửa thân quen, nửa xa lạ)</t>
  </si>
  <si>
    <t>Romance, Life</t>
  </si>
  <si>
    <t>Linmon Media/In between</t>
  </si>
  <si>
    <t>Linmon</t>
  </si>
  <si>
    <t>Nửa thân quen, nửa xa lạ</t>
  </si>
  <si>
    <t>In Between</t>
  </si>
  <si>
    <t>in between – bản Sub – EP01→EP27
EP01 – SER_ROM2581
EP02 – SER_ROM2582
EP03 – SER_ROM2583
EP04 – SER_ROM2584
EP05 – SER_ROM2585
EP06 – SER_ROM2586
EP07 – SER_ROM2587
EP08 – SER_ROM2588
EP09 – SER_ROM2589
EP10 – SER_ROM2590
EP11 – SER_ROM2591
EP12 – SER_ROM2592
EP13 – SER_ROM2593
EP14 – SER_ROM2594
EP15 – SER_ROM2595
EP16 – SER_ROM2596
EP17 – SER_ROM2597
EP18 – SER_ROM2598
EP19 – SER_ROM2599
EP20 – SER_ROM2600
EP21 – SER_ROM2601
EP22 – SER_ROM2602
EP23 – SER_ROM2603
EP24 – SER_ROM2604
EP25 – SER_ROM2605
EP26 – SER_ROM2606
EP27 – SER_ROM2607
in between – bản Voice – EP01→EP27
EP01 – SER_ROM2612
EP02 – SER_ROM2613
EP03 – SER_ROM2614
EP04 – SER_ROM2615
EP05 – SER_ROM2616
EP06 – SER_ROM2617
EP07 – SER_ROM2618
EP08 – SER_ROM2619
EP09 – SER_ROM2620
EP10 – SER_ROM2621
EP11 – SER_ROM2622
EP12 – SER_ROM2623
EP13 – SER_ROM2624
EP14 – SER_ROM2625
EP15 – SER_ROM2626
EP16 – SER_ROM2627
EP17 – SER_ROM2628
EP18 – SER_ROM2629
EP19 – SER_ROM2630
EP20 – SER_ROM2631
EP21 – SER_ROM2632
EP22 – SER_ROM2633
EP23 – SER_ROM2634
EP24 – SER_ROM2635
EP25 – SER_ROM2636
EP26 – SER_ROM2637
EP27 – SER_ROM2638</t>
  </si>
  <si>
    <t>Family by Choice</t>
  </si>
  <si>
    <t>Drama, romance, family</t>
  </si>
  <si>
    <t> Chọn làm người một nhà</t>
  </si>
  <si>
    <t>family by choice – bản Sub – EP01→EP16
EP01 – SER_COM677
EP02 – SER_COM678
EP03 – SER_COM679
EP04 – SER_COM680
EP05 – SER_COM681
EP06 – SER_COM682
EP07 – SER_COM683
EP08 – SER_COM684
EP09 – SER_COM685
EP10 – SER_COM686
EP11 – SER_COM687
EP12 – SER_COM688
EP13 – SER_COM689
EP14 – SER_COM690
EP15 – SER_COM691
EP16 – SER_COM692
family by choice – bản Voice – EP01→EP24
EP01 – SER_COM701
EP02 – SER_COM702
EP03 – SER_COM703
EP04 – SER_COM704
EP05 – SER_COM705
EP06 – SER_COM706
EP07 – SER_COM707
EP08 – SER_COM708
EP09 – SER_COM709
EP10 – SER_COM710
EP11 – SER_COM711
EP12 – SER_COM712
EP13 – SER_COM713
EP14 – SER_COM714
EP15 – SER_COM715
EP16 – SER_COM716
EP17 – SER_COM717
EP18 – SER_COM718
EP19 – SER_COM719
EP20 – SER_COM720
EP21 – SER_COM721
EP22 – SER_COM722
EP23 – SER_COM723
EP24 – SER_COM724</t>
  </si>
  <si>
    <t>What Comes After Love</t>
  </si>
  <si>
    <t>Drama, romance</t>
  </si>
  <si>
    <t> Câu chuyện sau chia tay</t>
  </si>
  <si>
    <t>what comes after love – bản Sub – EP01→EP06
EP01 – SER_ROM2703
EP02 – SER_ROM2704
EP03 – SER_ROM2705
EP04 – SER_ROM2706
EP05 – SER_ROM2707
EP06 – SER_ROM2708
what comes after love – bản Voice – EP01→EP09
EP01 – SER_ROM2908
EP02 – SER_ROM2909
EP03 – SER_ROM2910
EP04 – SER_ROM2911
EP05 – SER_ROM2912
EP06 – SER_ROM2913
EP07 – SER_ROM2914
EP08 – SER_ROM2915
EP09 – SER_ROM2916</t>
  </si>
  <si>
    <t xml:space="preserve"> 21-Aug-2028</t>
  </si>
  <si>
    <t>Malaysia</t>
  </si>
  <si>
    <t> Bí mật giảng đường</t>
  </si>
  <si>
    <t xml:space="preserve">The Secret </t>
  </si>
  <si>
    <t>EP01 – SER_THR428
EP02 – SER_THR429
EP03 – SER_THR430
EP04 – SER_THR431
EP05 – SER_THR432
EP06 – SER_THR433
EP07 – SER_THR434
EP08 – SER_THR435</t>
  </si>
  <si>
    <t>Cổ trang</t>
  </si>
  <si>
    <t>Đại tống cung từ</t>
  </si>
  <si>
    <t>Place of Devotion</t>
  </si>
  <si>
    <t>EP01 – SER_HIS_21_2646774
EP02 – SER_HIS_21_1616123846345_2646775
EP03 – SER_HIS_21_1616123846346_2646776
EP04 – SER_HIS_21_1616123846347_2646777
EP05 – SER_HIS_21_1616123846348_2646778
EP06 – SER_HIS_21_1616122554714_2646714
EP07 – SER_HIS_21_1616122554715_2646715
EP08 – SER_HIS_21_1616122554716_2646716
EP09 – SER_HIS_21_1616122554717_2646717
EP10 – SER_HIS_21_1616122554718_2646718
EP11 – SER_HIS_21_1616122554719_2646719
EP12 – SER_HIS_21_1616122554720_2646720
EP13 – SER_HIS_21_1616122554721_2646721
EP14 – SER_HIS_21_1616122554722_2646722
EP15 – SER_HIS_21_1616122554723_2646723
EP16 – SER_HIS_21_1616122554724_2646724
EP17 – SER_HIS_21_1616122554725_2646725
EP18 – SER_HIS_21_1616122554726_2646726
EP19 – SER_HIS_21_1616122554727_2646727
EP20 – SER_HIS_21_1616122554728_2646728
EP21 – SER_HIS_21_1616122554729_2646729
EP22 – SER_HIS_21_1616122554730_2646730
EP23 – SER_HIS_21_1616122554731_2646731
EP24 – SER_HIS_21_1616122554732_2646732
EP25 – SER_HIS_21_1616122554733_2646733
EP26 – SER_HIS_21_1616122554734_2646734
EP27 – SER_HIS_21_1616122554735_2646735
EP28 – SER_HIS_21_1616122554736_2646736
EP29 – SER_HIS_21_1616122554737_2646737
EP30 – SER_HIS_21_1616122554738_2646738
EP31 – SER_HIS_21_1616122554739_2646739
EP32 – SER_HIS_21_1616122554740_2646740
EP33 – SER_HIS_21_1616122554741_2646741
EP34 – SER_HIS_21_1616122554742_2646742
EP35 – SER_HIS_21_1616122554743_2646743
EP36 – SER_HIS_21_1616122554744_2646744
EP37 – SER_HIS_21_2646745
EP38 – SER_HIS_21_1616122554746_2646746
EP39 – SER_HIS_21_1616122554747_2646747
EP40 – SER_HIS_21_1616122554748_2646748
EP41 – SER_HIS_21_1616122554749_2646749
EP42 – SER_HIS_21_1616122554750_2646750
EP43 – SER_HIS_21_1616122554751_2646751
EP44 – SER_HIS_21_1616122554752_2646752
EP45 – SER_HIS_21_1616122554753_2646753
EP46 – SER_HIS_21_1616122554754_2646754
EP47 – SER_HIS_21_1616122554755_2646755
EP48 – SER_HIS_21_1616122554756_2646756
EP49 – SER_HIS_21_1616122554757_2646757
EP50 – SER_HIS_21_1616122554758_2646758
EP51 – SER_HIS_21_1616122554759_2646759
EP52 – SER_HIS_21_1616122554760_2646760
EP53 – SER_HIS_21_1616122554761_2646761
EP54 – SER_HIS_21_1616122554762_2646762
EP55 – SER_HIS_21_1616122554763_2646763
EP56 – SER_HIS_21_1616122554764_2646764
EP57 – SER_HIS_21_1616122554765_2646765
EP58 – SER_HIS_21_1616122554766_2646766
EP59 – SER_HIS_21_1616122554767_2646767
EP60 – SER_HIS_21_1619059955301_2648709
EP61 – SER_HIS_21_1616122554769_2646769</t>
  </si>
  <si>
    <t>Tâm lý xã hội</t>
  </si>
  <si>
    <t>Ôm em thật chặt</t>
  </si>
  <si>
    <t>Hold me tight</t>
  </si>
  <si>
    <t>EP01 – SER_DRA3168
EP02 – SER_DRA3169
EP03 – SER_DRA3170
EP04 – SER_DRA3171
EP05 – SER_DRA3172
EP06 – SER_DRA3173
EP07 – SER_DRA3174
EP08 – SER_DRA3175
EP09 – SER_DRA3176
EP10 – SER_DRA3177
EP11 – SER_DRA3178
EP12 – SER_DRA3179
EP13 – SER_DRA3180
EP14 – SER_DRA3181
EP15 – SER_DRA3182
EP16 – SER_DRA3183</t>
  </si>
  <si>
    <t>Tâm lỹ xã hội</t>
  </si>
  <si>
    <t>Trộm tốt trộm xấu</t>
  </si>
  <si>
    <t>The good thieves</t>
  </si>
  <si>
    <t>Mã Băng,Tập Phim
SER_THR509,"The good thieves, EP01"
SER_THR510,"The good thieves, EP02"
SER_THR511,"The good thieves, EP03"
SER_THR512,"The good thieves, EP04"
SER_THR513,"The good thieves, EP05"
SER_THR514,"The good thieves, EP06"
SER_THR515,"The good thieves, EP07"
SER_THR516,"The good thieves, EP08"
SER_THR517,"The good thieves, EP09"
SER_THR518,"The good thieves, EP10"
SER_THR519,"The good thieves, EP11"
SER_THR520,"The good thieves, EP12"
SER_THR521,"The good thieves, EP13"
SER_THR522,"The good thieves, EP14"
SER_THR523,"The good thieves, EP15"
SER_THR524,"The good thieves, EP16"
SER_THR525,"The good thieves, EP17"
SER_THR526,"The good thieves, EP18"
SER_THR527,"The good thieves, EP19"
SER_THR528,"The good thieves, EP20"
SER_THR529,"The good thieves, EP21"
SER_THR530,"The good thieves, EP22"
SER_THR531,"The good thieves, EP23"
SER_THR532,"The good thieves, EP24"
SER_THR533,"The good thieves, EP25"
SER_THR534,"The good thieves, EP26"
SER_THR535,"The good thieves, EP27"
SER_THR536,"The good thieves, EP28"
SER_THR537,"The good thieves, EP29"
SER_THR538,"The good thieves, EP30"
SER_THR539,"The good thieves, EP31"
SER_THR540,"The good thieves, EP32"
SER_THR541,"The good thieves, EP33"
SER_THR542,"The good thieves, EP34"
SER_THR543,"The good thieves, EP35"
SER_THR544,"The good thieves, EP36"
SER_THR545,"The good thieves, EP37"
SER_THR546,"The good thieves, EP38"
SER_THR547,"The good thieves, EP39"
SER_THR548,"The good thieves, EP40"
SER_THR549,"The good thieves, EP41"
SER_THR550,"The good thieves, EP42"
SER_THR551,"The good thieves, EP43"
SER_THR552,"The good thieves, EP44"
SER_THR553,"The good thieves, EP45"
SER_THR554,"The good thieves, EP46"
SER_THR555,"The good thieves, EP47"
SER_THR556,"The good thieves, EP48"
SER_THR557,"The good thieves, EP49"
SER_THR558,"The good thieves, EP50"</t>
  </si>
  <si>
    <t>Khu vườn hoàng kim</t>
  </si>
  <si>
    <t>Golden garden</t>
  </si>
  <si>
    <t>SER_DRA3186 - Golden garden, Ep01
SER_DRA3187 - Golden garden, Ep02
SER_DRA3188 - Golden garden, Ep03
SER_DRA3189 - Golden garden, Ep04
SER_DRA3190 - Golden garden, Ep05
SER_DRA3191 - Golden garden, Ep06
SER_DRA3192 - Golden garden, Ep07
SER_DRA3193 - Golden garden, Ep08
SER_DRA3194 - Golden garden, Ep09
SER_DRA3195 - Golden garden, Ep10
SER_DRA3196 - Golden garden, Ep11
SER_DRA3197 - Golden garden, Ep12
SER_DRA3198 - Golden garden, Ep13
SER_DRA3199 - Golden garden, Ep14
SER_DRA3200 - Golden garden, Ep15
SER_DRA3201 - Golden garden, Ep16
SER_DRA3202 - Golden garden, Ep17
SER_DRA3203 - Golden garden, Ep18
SER_DRA3204 - Golden garden, Ep19
SER_DRA3205 - Golden garden, Ep20
SER_DRA3206 - Golden garden, Ep21
SER_DRA3207 - Golden garden, Ep22
SER_DRA3208 - Golden garden, Ep23
SER_DRA3209 - Golden garden, Ep24
SER_DRA3210 - Golden garden, Ep25
SER_DRA3211 - Golden garden, Ep26
SER_DRA3212 - Golden garden, Ep27
SER_DRA3213 - Golden garden, Ep28
SER_DRA3214 - Golden garden, Ep29
SER_DRA3215 - Golden garden, Ep30</t>
  </si>
  <si>
    <t>Người vợ hoàn hảo</t>
  </si>
  <si>
    <t>The All-Round Wife</t>
  </si>
  <si>
    <t>SER_DRA3046 - The All-Round Wife, Ep01
SER_DRA3047 - The All-Round Wife, Ep02
SER_DRA3048 - The All-Round Wife, Ep03
SER_DRA3049 - The All-Round Wife, Ep04
SER_DRA3050 - The All-Round Wife, Ep05
SER_DRA3051 - The All-Round Wife, Ep06
SER_DRA3052 - The All-Round Wife, Ep07
SER_DRA3053 - The All-Round Wife, Ep08
SER_DRA3054 - The All-Round Wife, Ep09
SER_DRA3055 - The All-Round Wife, Ep10
SER_DRA3056 - The All-Round Wife, Ep11
SER_DRA3057 - The All-Round Wife, Ep12
SER_DRA3058 - The All-Round Wife, Ep13
SER_DRA3059 - The All-Round Wife, Ep14
SER_DRA3060 - The All-Round Wife, Ep15
SER_DRA3061 - The All-Round Wife, Ep16
SER_DRA3062 - The All-Round Wife, Ep17
SER_DRA3063 - The All-Round Wife, Ep18
SER_DRA3064 - The All-Round Wife, Ep19
SER_DRA3065 - The All-Round Wife, Ep20
SER_DRA3066 - The All-Round Wife, Ep21
SER_DRA3067 - The All-Round Wife, Ep22
SER_DRA3068 - The All-Round Wife, Ep23
SER_DRA3069 - The All-Round Wife, Ep24
SER_DRA3070 - The All-Round Wife, Ep25
SER_DRA3071 - The All-Round Wife, Ep26
SER_DRA3072 - The All-Round Wife, Ep27
SER_DRA3073 - The All-Round Wife, Ep28
SER_DRA3074 - The All-Round Wife, Ep29
SER_DRA3075 - The All-Round Wife, Ep30
SER_DRA3076 - The All-Round Wife, Ep31
SER_DRA3077 - The All-Round Wife, Ep32
SER_DRA3078 - The All-Round Wife, Ep33
SER_DRA3079 - The All-Round Wife, Ep34
SER_DRA3080 - The All-Round Wife, Ep35
SER_DRA3081 - The All-Round Wife, Ep36
SER_DRA3082 - The All-Round Wife, Ep37
SER_DRA3083 - The All-Round Wife, Ep38
SER_DRA3084 - The All-Round Wife, Ep39
SER_DRA3085 - The All-Round Wife, Ep40
SER_DRA3086 - The All-Round Wife, Ep41
SER_DRA3087 - The All-Round Wife, Ep42
SER_DRA3088 - The All-Round Wife, Ep43
SER_DRA3089 - The All-Round Wife, Ep44
SER_DRA3090 - The All-Round Wife, Ep45
SER_DRA3091 - The All-Round Wife, Ep46
SER_DRA3092 - The All-Round Wife, Ep47
SER_DRA3093 - The All-Round Wife, Ep48
SER_DRA3094 - The All-Round Wife, Ep49
SER_DRA3095 - The All-Round Wife, Ep50
SER_DRA3096 - The All-Round Wife, Ep51
SER_DRA3097 - The All-Round Wife, Ep52
SER_DRA3098 - The All-Round Wife, Ep53
SER_DRA3099 - The All-Round Wife, Ep54
SER_DRA3100 - The All-Round Wife, Ep55
SER_DRA3101 - The All-Round Wife, Ep56
SER_DRA3102 - The All-Round Wife, Ep57
SER_DRA3103 - The All-Round Wife, Ep58
SER_DRA3104 - The All-Round Wife, Ep59
SER_DRA3105 - The All-Round Wife, Ep60
SER_DRA3106 - The All-Round Wife, Ep61
SER_DRA3107 - The All-Round Wife, Ep62
SER_DRA3108 - The All-Round Wife, Ep63
SER_DRA3109 - The All-Round Wife, Ep64
SER_DRA3110 - The All-Round Wife, Ep65
SER_DRA3111 - The All-Round Wife, Ep66
SER_DRA3112 - The All-Round Wife, Ep67
SER_DRA3113 - The All-Round Wife, Ep68
SER_DRA3114 - The All-Round Wife, Ep69
SER_DRA3115 - The All-Round Wife, Ep70
SER_DRA3116 - The All-Round Wife, Ep71
SER_DRA3117 - The All-Round Wife, Ep72
SER_DRA3118 - The All-Round Wife, Ep73
SER_DRA3119 - The All-Round Wife, Ep74
SER_DRA3120 - The All-Round Wife, Ep75
SER_DRA3121 - The All-Round Wife, Ep76
SER_DRA3122 - The All-Round Wife, Ep77
SER_DRA3123 - The All-Round Wife, Ep78
SER_DRA3124 - The All-Round Wife, Ep79
SER_DRA3125 - The All-Round Wife, Ep80
SER_DRA3126 - The All-Round Wife, Ep81
SER_DRA3127 - The All-Round Wife, Ep82
SER_DRA3128 - The All-Round Wife, Ep83
SER_DRA3129 - The All-Round Wife, Ep84
SER_DRA3130 - The All-Round Wife, Ep85
SER_DRA3131 - The All-Round Wife, Ep86
SER_DRA3132 - The All-Round Wife, Ep87
SER_DRA3133 - The All-Round Wife, Ep88
SER_DRA3134 - The All-Round Wife, Ep89
SER_DRA3135 - The All-Round Wife, Ep90
SER_DRA3136 - The All-Round Wife, Ep91
SER_DRA3137 - The All-Round Wife, Ep92
SER_DRA3138 - The All-Round Wife, Ep93
SER_DRA3139 - The All-Round Wife, Ep94
SER_DRA3140 - The All-Round Wife, Ep95
SER_DRA3141 - The All-Round Wife, Ep96
SER_DRA3142 - The All-Round Wife, Ep97
SER_DRA3143 - The All-Round Wife, Ep98
SER_DRA3144 - The All-Round Wife, Ep99
SER_DRA3145 - The All-Round Wife, Ep100
SER_DRA3146 - The All-Round Wife, Ep101
SER_DRA3147 - The All-Round Wife, Ep102
SER_DRA3148 - The All-Round Wife, Ep103
SER_DRA3149 - The All-Round Wife, Ep104
SER_DRA3150 - The All-Round Wife, Ep105
SER_DRA3151 - The All-Round Wife, Ep106
SER_DRA3152 - The All-Round Wife, Ep107
SER_DRA3153 - The All-Round Wife, Ep108
SER_DRA3154 - The All-Round Wife, Ep109
SER_DRA3155 - The All-Round Wife, Ep110
SER_DRA3156 - The All-Round Wife, Ep111
SER_DRA3157 - The All-Round Wife, Ep112
SER_DRA3158 - The All-Round Wife, Ep113
SER_DRA3159 - The All-Round Wife, Ep114
SER_DRA3160 - The All-Round Wife, Ep115
SER_DRA3161 - The All-Round Wife, Ep116
SER_DRA3162 - The All-Round Wife, Ep117
SER_DRA3163 - The All-Round Wife, Ep118
SER_DRA3164 - The All-Round Wife, Ep119
SER_DRA3165 - The All-Round Wife, Ep120
SER_DRA3166 - The All-Round Wife, Ep121
SER_DRA3167 - The All-Round Wife, Ep122</t>
  </si>
  <si>
    <t>Không có lần 2</t>
  </si>
  <si>
    <t>Never twice</t>
  </si>
  <si>
    <t>SER_COM641 - Never twice, Ep01
SER_COM642 - Never twice, Ep02
SER_COM643 - Never twice, Ep03
SER_COM644 - Never twice, Ep04
SER_COM645 - Never twice, Ep05
SER_COM646 - Never twice, Ep06
SER_COM647 - Never twice, Ep07
SER_COM648 - Never twice, Ep08
SER_COM649 - Never twice, Ep09
SER_COM650 - Never twice, Ep10
SER_COM651 - Never twice, Ep11
SER_COM652 - Never twice, Ep12
SER_COM653 - Never twice, Ep13
SER_COM654 - Never twice, Ep14
SER_COM655 - Never twice, Ep15
SER_COM656 - Never twice, Ep16
SER_COM657 - Never twice, Ep17
SER_COM658 - Never twice, Ep18
SER_COM659 - Never twice, Ep19
SER_COM660 - Never twice, Ep20
SER_COM661 - Never twice, Ep21
SER_COM662 - Never twice, Ep22
SER_COM663 - Never twice, Ep23
SER_COM664 - Never twice, Ep24
SER_COM665 - Never twice, Ep25
SER_COM666 - Never twice, Ep26
SER_COM667 - Never twice, Ep27
SER_COM668 - Never twice, Ep28
SER_COM669 - Never twice, Ep29
SER_COM670 - Never twice, Ep30
SER_COM671 - Never twice, Ep31
SER_COM672 - Never twice, Ep32
SER_COM673 - Never twice, Ep33
SER_COM674 - Never twice, Ep34
SER_COM675 - Never twice, Ep35
SER_COM676 - Never twice, Ep36</t>
  </si>
  <si>
    <t>Mặt nạ quân chủ</t>
  </si>
  <si>
    <t>The Emperor: Owner of the Mask</t>
  </si>
  <si>
    <t>SER_DRA3244 - The Emperor: Owner of the Mask, Ep01
SER_DRA3245 - The Emperor: Owner of the Mask, Ep02
SER_DRA3246 - The Emperor: Owner of the Mask, Ep03
SER_DRA3247 - The Emperor: Owner of the Mask, Ep04
SER_DRA3248 - The Emperor: Owner of the Mask, Ep05
SER_DRA3249 - The Emperor: Owner of the Mask, Ep06
SER_DRA3250 - The Emperor: Owner of the Mask, Ep07
SER_DRA3251 - The Emperor: Owner of the Mask, Ep08
SER_DRA3252 - The Emperor: Owner of the Mask, Ep09
SER_DRA3253 - The Emperor: Owner of the Mask, Ep10
SER_DRA3254 - The Emperor: Owner of the Mask, Ep11
SER_DRA3255 - The Emperor: Owner of the Mask, Ep12
SER_DRA3256 - The Emperor: Owner of the Mask, Ep13
SER_DRA3257 - The Emperor: Owner of the Mask, Ep14
SER_DRA3258 - The Emperor: Owner of the Mask, Ep15
SER_DRA3259 - The Emperor: Owner of the Mask, Ep16
SER_DRA3260 - The Emperor: Owner of the Mask, Ep17
SER_DRA3261 - The Emperor: Owner of the Mask, Ep18
SER_DRA3262 - The Emperor: Owner of the Mask, Ep19
SER_DRA3263 - The Emperor: Owner of the Mask, Ep20
SER_DRA3264 - The Emperor: Owner of the Mask, Ep21
SER_DRA3265 - The Emperor: Owner of the Mask, Ep22
SER_DRA3266 - The Emperor: Owner of the Mask, Ep23
SER_DRA3267 - The Emperor: Owner of the Mask, Ep24
SER_DRA3268 - The Emperor: Owner of the Mask, Ep25
SER_DRA3269 - The Emperor: Owner of the Mask, Ep26
SER_DRA3270 - The Emperor: Owner of the Mask, Ep27
SER_DRA3271 - The Emperor: Owner of the Mask, Ep28
SER_DRA3272 - The Emperor: Owner of the Mask, Ep29
SER_DRA3273 - The Emperor: Owner of the Mask, Ep30
SER_DRA3274 - The Emperor: Owner of the Mask, Ep31
SER_DRA3275 - The Emperor: Owner of the Mask, Ep32
SER_DRA3276 - The Emperor: Owner of the Mask, Ep33
SER_DRA3277 - The Emperor: Owner of the Mask, Ep34
SER_DRA3278 - The Emperor: Owner of the Mask, Ep35
SER_DRA3279 - The Emperor: Owner of the Mask, Ep36
SER_DRA3280 - The Emperor: Owner of the Mask, Ep37
SER_DRA3281 - The Emperor: Owner of the Mask, Ep38
SER_DRA3282 - The Emperor: Owner of the Mask, Ep39
SER_DRA3283 - The Emperor: Owner of the Mask, Ep40</t>
  </si>
  <si>
    <t>Hiện đại</t>
  </si>
  <si>
    <t>Vô tình tìm thấy Haru</t>
  </si>
  <si>
    <t>Extra-ordinary haru</t>
  </si>
  <si>
    <t>SER_ROM2639 - Extra-ordinary Haru, Ep01
SER_ROM2640 - Extra-ordinary Haru, Ep02
SER_ROM2641 - Extra-ordinary Haru, Ep03
SER_ROM2642 - Extra-ordinary Haru, Ep04
SER_ROM2643 - Extra-ordinary Haru, Ep05
SER_ROM2644 - Extra-ordinary Haru, Ep06
SER_ROM2645 - Extra-ordinary Haru, Ep07
SER_ROM2646 - Extra-ordinary Haru, Ep08
SER_ROM2647 - Extra-ordinary Haru, Ep09
SER_ROM2648 - Extra-ordinary Haru, Ep10
SER_ROM2649 - Extra-ordinary Haru, Ep11
SER_ROM2650 - Extra-ordinary Haru, Ep12
SER_ROM2651 - Extra-ordinary Haru, Ep13
SER_ROM2652 - Extra-ordinary Haru, Ep14
SER_ROM2653 - Extra-ordinary Haru, Ep15
SER_ROM2654 - Extra-ordinary Haru, Ep16
SER_ROM2655 - Extra-ordinary Haru, Ep17
SER_ROM2656 - Extra-ordinary Haru, Ep18
SER_ROM2657 - Extra-ordinary Haru, Ep19
SER_ROM2658 - Extra-ordinary Haru, Ep20
SER_ROM2659 - Extra-ordinary Haru, Ep21
SER_ROM2660 - Extra-ordinary Haru, Ep22
SER_ROM2661 - Extra-ordinary Haru, Ep23
SER_ROM2662 - Extra-ordinary Haru, Ep24
SER_ROM2663 - Extra-ordinary Haru, Ep25
SER_ROM2664 - Extra-ordinary Haru, Ep26
SER_ROM2665 - Extra-ordinary Haru, Ep27
SER_ROM2666 - Extra-ordinary Haru, Ep28
SER_ROM2667 - Extra-ordinary Haru, Ep29
SER_ROM2668 - Extra-ordinary Haru, Ep30
SER_ROM2669 - Extra-ordinary Haru, Ep31
SER_ROM2670 - Extra-ordinary Haru, Ep32</t>
  </si>
  <si>
    <t>Y khoa</t>
  </si>
  <si>
    <t>Con tàu y đức</t>
  </si>
  <si>
    <t>Hospital Ship</t>
  </si>
  <si>
    <t>SER_DRA3006 - Hospital ship, Ep01
SER_DRA3007 - Hospital ship, Ep02
SER_DRA3008 - Hospital ship, Ep03
SER_DRA3009 - Hospital ship, Ep04
SER_DRA3010 - Hospital ship, Ep05
SER_DRA3011 - Hospital ship, Ep06
SER_DRA3012 - Hospital ship, Ep07
SER_DRA3013 - Hospital ship, Ep08
SER_DRA3014 - Hospital ship, Ep09
SER_DRA3015 - Hospital ship, Ep10
SER_DRA3016 - Hospital ship, Ep11
SER_DRA3017 - Hospital ship, Ep12
SER_DRA3018 - Hospital ship, Ep13
SER_DRA3019 - Hospital ship, Ep14
SER_DRA3020 - Hospital ship, Ep15
SER_DRA3021 - Hospital ship, Ep16
SER_DRA3022 - Hospital ship, Ep17
SER_DRA3023 - Hospital ship, Ep18
SER_DRA3024 - Hospital ship, Ep19
SER_DRA3025 - Hospital ship, Ep20
SER_DRA3026 - Hospital ship, Ep21
SER_DRA3027 - Hospital ship, Ep22
SER_DRA3028 - Hospital ship, Ep23
SER_DRA3029 - Hospital ship, Ep24
SER_DRA3030 - Hospital ship, Ep25
SER_DRA3031 - Hospital ship, Ep26
SER_DRA3032 - Hospital ship, Ep27
SER_DRA3033 - Hospital ship, Ep28
SER_DRA3034 - Hospital ship, Ep29
SER_DRA3035 - Hospital ship, Ep30
SER_DRA3036 - Hospital ship, Ep31
SER_DRA3037 - Hospital ship, Ep32
SER_DRA3038 - Hospital ship, Ep33
SER_DRA3039 - Hospital ship, Ep34
SER_DRA3040 - Hospital ship, Ep35
SER_DRA3041 - Hospital ship, Ep36
SER_DRA3042 - Hospital ship, Ep37
SER_DRA3043 - Hospital ship, Ep38
SER_DRA3044 - Hospital ship, Ep39
SER_DRA3045 - Hospital ship, Ep40</t>
  </si>
  <si>
    <t>Tâm lý tình cảm</t>
  </si>
  <si>
    <t>Tôi không phải Robot</t>
  </si>
  <si>
    <t>I am not A Robot</t>
  </si>
  <si>
    <t>SER_COM609 - I am Not A Robot, Ep01
SER_COM610 - I am Not A Robot, Ep02
SER_COM611 - I am Not A Robot, Ep03
SER_COM612 - I am Not A Robot, Ep04
SER_COM613 - I am Not A Robot, Ep05
SER_COM614 - I am Not A Robot, Ep06
SER_COM615 - I am Not A Robot, Ep07
SER_COM616 - I am Not A Robot, Ep08
SER_COM617 - I am Not A Robot, Ep09
SER_COM618 - I am Not A Robot, Ep10
SER_COM619 - I am Not A Robot, Ep11
SER_COM620 - I am Not A Robot, Ep12
SER_COM621 - I am Not A Robot, Ep13
SER_COM622 - I am Not A Robot, Ep14
SER_COM623 - I am Not A Robot, Ep15
SER_COM624 - I am Not A Robot, Ep16
SER_COM625 - I am Not A Robot, Ep17
SER_COM626 - I am Not A Robot, Ep18
SER_COM627 - I am Not A Robot, Ep19
SER_COM628 - I am Not A Robot, Ep20
SER_COM629 - I am Not A Robot, Ep21
SER_COM630 - I am Not A Robot, Ep22
SER_COM631 - I am Not A Robot, Ep23
SER_COM632 - I am Not A Robot, Ep24
SER_COM633 - I am Not A Robot, Ep25
SER_COM634 - I am Not A Robot, Ep26
SER_COM635 - I am Not A Robot, Ep27
SER_COM636 - I am Not A Robot, Ep28
SER_COM637 - I am Not A Robot, Ep29
SER_COM638 - I am Not A Robot, Ep30
SER_COM639 - I am Not A Robot, Ep31
SER_COM640 - I am Not A Robot, Ep32</t>
  </si>
  <si>
    <t>Phá án</t>
  </si>
  <si>
    <t>Tiên tri thần thám</t>
  </si>
  <si>
    <t>The game towards zero</t>
  </si>
  <si>
    <t>SER_THR440 - The Game Towards Zero, Ep01
SER_THR441 - The Game Towards Zero, Ep02
SER_THR442 - The Game Towards Zero, Ep03
SER_THR443 - The Game Towards Zero, Ep04
SER_THR444 - The Game Towards Zero, Ep05
SER_THR445 - The Game Towards Zero, Ep06
SER_THR446 - The Game Towards Zero, Ep07
SER_THR447 - The Game Towards Zero, Ep08
SER_THR448 - The Game Towards Zero, Ep09
SER_THR449 - The Game Towards Zero, Ep10
SER_THR450 - The Game Towards Zero, Ep11
SER_THR451 - The Game Towards Zero, Ep12
SER_THR452 - The Game Towards Zero, Ep13
SER_THR453 - The Game Towards Zero, Ep14
SER_THR454 - The Game Towards Zero, Ep15
SER_THR455 - The Game Towards Zero, Ep16
SER_THR456 - The Game Towards Zero, Ep17
SER_THR457 - The Game Towards Zero, Ep18
SER_THR458 - The Game Towards Zero, Ep19
SER_THR459 - The Game Towards Zero, Ep20
SER_THR460 - The Game Towards Zero, Ep21
SER_THR461 - The Game Towards Zero, Ep22
SER_THR462 - The Game Towards Zero, Ep23
SER_THR463 - The Game Towards Zero, Ep24
SER_THR464 - The Game Towards Zero, Ep25
SER_THR465 - The Game Towards Zero, Ep26
SER_THR466 - The Game Towards Zero, Ep27
SER_THR467 - The Game Towards Zero, Ep28
SER_THR468 - The Game Towards Zero, Ep29
SER_THR469 - The Game Towards Zero, Ep30
SER_THR470 - The Game Towards Zero, Ep31
SER_THR471 - The Game Towards Zero, Ep32</t>
  </si>
  <si>
    <t>Khi nhà vua yêu</t>
  </si>
  <si>
    <t>The king in love</t>
  </si>
  <si>
    <t>SER_DRA2986 - The king in love, Ep01
SER_DRA2987 - The king in love, Ep02
SER_DRA2988 - The king in love, Ep03
SER_DRA2989 - The king in love, Ep04
SER_DRA2990 - The king in love, Ep05
SER_DRA2991 - The king in love, Ep06
SER_DRA2992 - The king in love, Ep07
SER_DRA2993 - The king in love, Ep08
SER_DRA2994 - The king in love, Ep09
SER_DRA2995 - The king in love, Ep10
SER_DRA2996 - The king in love, Ep11
SER_DRA2997 - The king in love, Ep12
SER_DRA2998 - The king in love, Ep13
SER_DRA2999 - The king in love, Ep14
SER_DRA3000 - The king in love, Ep15
SER_DRA3001 - The king in love, Ep16
SER_DRA3002 - The king in love, Ep17
SER_DRA3003 - The king in love, Ep18
SER_DRA3004 - The king in love, Ep19
SER_DRA3005 - The king in love, Ep20</t>
  </si>
  <si>
    <t>Tìm em trong ký ức</t>
  </si>
  <si>
    <t>Find me in your memory</t>
  </si>
  <si>
    <t>SER_ROM2671 - Find me in your memory, Ep01
SER_ROM2672 - Find me in your memory, Ep02
SER_ROM2673 - Find me in your memory, Ep03
SER_ROM2674 - Find me in your memory, Ep04
SER_ROM2675 - Find me in your memory, Ep05
SER_ROM2676 - Find me in your memory, Ep06
SER_ROM2677 - Find me in your memory, Ep07
SER_ROM2678 - Find me in your memory, Ep08
SER_ROM2679 - Find me in your memory, Ep09
SER_ROM2680 - Find me in your memory, Ep10
SER_ROM2681 - Find me in your memory, Ep11
SER_ROM2682 - Find me in your memory, Ep12
SER_ROM2683 - Find me in your memory, Ep13
SER_ROM2684 - Find me in your memory, Ep14
SER_ROM2685 - Find me in your memory, Ep15
SER_ROM2686 - Find me in your memory, Ep16
SER_ROM2687 - Find me in your memory, Ep17
SER_ROM2688 - Find me in your memory, Ep18
SER_ROM2689 - Find me in your memory, Ep19
SER_ROM2690 - Find me in your memory, Ep20
SER_ROM2691 - Find me in your memory, Ep21
SER_ROM2692 - Find me in your memory, Ep22
SER_ROM2693 - Find me in your memory, Ep23
SER_ROM2694 - Find me in your memory, Ep24
SER_ROM2695 - Find me in your memory, Ep25
SER_ROM2696 - Find me in your memory, Ep26
SER_ROM2697 - Find me in your memory, Ep27
SER_ROM2698 - Find me in your memory, Ep28
SER_ROM2699 - Find me in your memory, Ep29
SER_ROM2700 - Find me in your memory, Ep30
SER_ROM2701 - Find me in your memory, Ep31
SER_ROM2702 - Find me in your memory, Ep32</t>
  </si>
  <si>
    <t>PARIS HAS FALLEN – SEASON 1</t>
  </si>
  <si>
    <t>ACTION, CRIME</t>
  </si>
  <si>
    <t>FRANCE</t>
  </si>
  <si>
    <t>Scale_SC+/Paris has fallen</t>
  </si>
  <si>
    <t>Studio Canal (SCALE)</t>
  </si>
  <si>
    <t>Paris thất thủ</t>
  </si>
  <si>
    <t>PARIS HAS FALLEN</t>
  </si>
  <si>
    <t>SER_ACT1496 - Paris has fallen, Ep01
SER_ACT1497 - Paris has fallen, Ep02
SER_ACT1498 - Paris has fallen, Ep03
SER_ACT1499 - Paris has fallen, Ep04
SER_ACT1500 - Paris has fallen, Ep05
SER_ACT1501 - Paris has fallen, Ep06
SER_ACT1502 - Paris has fallen, Ep07
SER_ACT1503 - Paris has fallen, Ep08</t>
  </si>
  <si>
    <t>Urban Horror</t>
  </si>
  <si>
    <t>110/2024/HDBQ/VSTV-AsiaPlay</t>
  </si>
  <si>
    <t>AsiaPlay</t>
  </si>
  <si>
    <t>Chuyện kinh hoàng đô thị</t>
  </si>
  <si>
    <t>SER_HOR29 - Urban Horror, Ep01
SER_HOR30 - Urban Horror, Ep02
SER_HOR31 - Urban Horror, Ep03
SER_HOR32 - Urban Horror, Ep04
SER_HOR33 - Urban Horror, Ep05
SER_HOR34 - Urban Horror, Ep06
SER_HOR35 - Urban Horror, Ep07
SER_HOR36 - Urban Horror, Ep08
SER_HOR37 - Urban Horror, Ep09
SER_HOR38 - Urban Horror, Ep10
SER_HOR39 - Urban Horror, Ep11
SER_HOR40 - Urban Horror, Ep12
SER_HOR41 - Urban Horror, Ep13
SER_HOR42 - Urban Horror, Ep14
SER_HOR43 - Urban Horror, Ep15
SER_HOR44 - Urban Horror, Ep16
SER_HOR45 - Urban Horror, Ep17
SER_HOR46 - Urban Horror, Ep18
SER_HOR47 - Urban Horror, Ep19
SER_HOR48 - Urban Horror, Ep20
SER_HOR49 - Urban Horror, Ep21
SER_HOR50 - Urban Horror, Ep22
SER_HOR51 - Urban Horror, Ep23
SER_HOR52 - Urban Horror, Ep24
SER_HOR53 - Urban Horror, Ep25
SER_HOR54 - Urban Horror, Ep26
SER_HOR55 - Urban Horror, Ep27
SER_HOR56 - Urban Horror, Ep28
SER_HOR57 - Urban Horror, Ep29
SER_HOR58 - Urban Horror, Ep30
SER_HOR59 - Urban Horror, Ep31
SER_HOR60 - Urban Horror, Ep32
SER_HOR61 - Urban Horror, Ep33
SER_HOR62 - Urban Horror, Ep34</t>
  </si>
  <si>
    <t>Cinderella at 2am</t>
  </si>
  <si>
    <t xml:space="preserve">Comedy, Romance </t>
  </si>
  <si>
    <t>Lọ lem 2 giờ sáng</t>
  </si>
  <si>
    <t>Cinderella at 2am – Bản Sub (EP01→EP10)
SER_ROM2531 - Cinderella at 2am, Ep01
SER_ROM2532 - Cinderella at 2am, Ep02
SER_ROM2533 - Cinderella at 2am, Ep03
SER_ROM2534 - Cinderella at 2am, Ep04
SER_ROM2535 - Cinderella at 2am, Ep05
SER_ROM2536 - Cinderella at 2am, Ep06
SER_ROM2537 - Cinderella at 2am, Ep07
SER_ROM2538 - Cinderella at 2am, Ep08
SER_ROM2539 - Cinderella at 2am, Ep09
SER_ROM2540 - Cinderella at 2am, Ep10
Cinderella at 2am – Bản Voice (EP01→EP15)
SER_ROM2771 - (VOICE) Cinderella at 2am, Ep01
SER_ROM2772 - (VOICE) Cinderella at 2am, Ep02
SER_ROM2773 - (VOICE) Cinderella at 2am, Ep03
SER_ROM2774 - (VOICE) Cinderella at 2am, Ep04
SER_ROM2775 - (VOICE) Cinderella at 2am, Ep05
SER_ROM2776 - (VOICE) Cinderella at 2am, Ep06
SER_ROM2777 - (VOICE) Cinderella at 2am, Ep07
SER_ROM2778 - (VOICE) Cinderella at 2am, Ep08
SER_ROM2779 - (VOICE) Cinderella at 2am, Ep09
SER_ROM2780 - (VOICE) Cinderella at 2am, Ep10
SER_ROM2781 - (VOICE) Cinderella at 2am, Ep11
SER_ROM2782 - (VOICE) Cinderella at 2am, Ep12
SER_ROM2783 - (VOICE) Cinderella at 2am, Ep13
SER_ROM2784 - (VOICE) Cinderella at 2am, Ep14
SER_ROM2785 - (VOICE) Cinderella at 2am, Ep15</t>
  </si>
  <si>
    <t>Modern, drama, romance</t>
  </si>
  <si>
    <t>Bản sửa đổi số 1 của HD 16/2023/HDBQ/VSTV-HT</t>
  </si>
  <si>
    <t>Định luật tình yêu 80/20</t>
  </si>
  <si>
    <t>She and her perfect husband</t>
  </si>
  <si>
    <t>SER_ROM_23_2695214 - She and her perfect husband, Ep01
SER_ROM_23_2695216 - She and her perfect husband, Ep02
SER_ROM_23_2695215 - She and her perfect husband, Ep03
SER_ROM_23_2695217 - She and her perfect husband, Ep04
SER_ROM_23_2695218 - She and her perfect husband, Ep05
SER_ROM_23_2695221 - She and her perfect husband, Ep06
SER_ROM_23_2695219 - She and her perfect husband, Ep07
SER_ROM_23_2695220 - She and her perfect husband, Ep08
SER_ROM_23_2695223 - She and her perfect husband, Ep09
SER_ROM_23_2695222 - She and her perfect husband, Ep10
SER_ROM_23_2695225 - She and her perfect husband, Ep11
SER_ROM_23_2695224 - She and her perfect husband, Ep12
SER_ROM_23_2695227 - She and her perfect husband, Ep13
SER_ROM_23_2695226 - She and her perfect husband, Ep14
SER_ROM_23_2695229 - She and her perfect husband, Ep15
SER_ROM_23_2695230 - She and her perfect husband, Ep16
SER_ROM_23_2695231 - She and her perfect husband, Ep17
SER_ROM_23_2695232 - She and her perfect husband, Ep18
SER_ROM_23_2695233 - She and her perfect husband, Ep19
SER_ROM_23_2695234 - She and her perfect husband, Ep20
SER_ROM_23_2695235 - She and her perfect husband, Ep21
SER_ROM_23_2695236 - She and her perfect husband, Ep22
SER_ROM_23_2695237 - She and her perfect husband, Ep23
SER_ROM_23_2695238 - She and her perfect husband, Ep24
SER_ROM_23_2695239 - She and her perfect husband, Ep25
SER_ROM_23_2695240 - She and her perfect husband, Ep26
SER_ROM_23_2695241 - She and her perfect husband, Ep27
SER_ROM_23_2695242 - She and her perfect husband, Ep28
SER_ROM_23_2695243 - She and her perfect husband, Ep29
SER_ROM_23_2695245 - She and her perfect husband, Ep30
SER_ROM_23_2695244 - She and her perfect husband, Ep31
SER_ROM_23_2695246 - She and her perfect husband, Ep32
SER_ROM_23_2695247 - She and her perfect husband, Ep33
SER_ROM_23_2695248 - She and her perfect husband, Ep34
SER_ROM_23_2695250 - She and her perfect husband, Ep35
SER_ROM_23_2695249 - She and her perfect husband, Ep36
SER_ROM_23_2695251 - She and her perfect husband, Ep37
SER_ROM_23_2695252 - She and her perfect husband, Ep38
SER_ROM_23_2695253 - She and her perfect husband, Ep39
SER_ROM_23_2695254 - She and her perfect husband, Ep40</t>
  </si>
  <si>
    <t>Drama, Costume</t>
  </si>
  <si>
    <t>Tinh hán xán lạn</t>
  </si>
  <si>
    <t>Love like the Galaxy</t>
  </si>
  <si>
    <t>SER_COS_23_2695254 - Love like the Galaxy, Ep01
SER_COS_23_2695255 - Love like the Galaxy, Ep02
SER_COS_23_2695256 - Love like the Galaxy, Ep03
SER_COS_23_2695257 - Love like the Galaxy, Ep04
SER_COS_23_2695260 - Love like the Galaxy, Ep05
SER_COS_23_2695258 - Love like the Galaxy, Ep06
SER_COS_23_2695259 - Love like the Galaxy, Ep07
SER_COS_23_2695261 - Love like the Galaxy, Ep08
SER_COS_23_2695262 - Love like the Galaxy, Ep09
SER_COS_23_2695263 - Love like the Galaxy, Ep10
SER_COS_23_2695264 - Love like the Galaxy, Ep11
SER_COS_23_2695265 - Love like the Galaxy, Ep12
SER_COS_23_2695268 - Love like the Galaxy, Ep13
SER_COS_23_2695267 - Love like the Galaxy, Ep14
SER_COS_23_2695266 - Love like the Galaxy, Ep15
SER_COS_23_2695269 - Love like the Galaxy, Ep16
SER_COS_23_2695270 - Love like the Galaxy, Ep17
SER_COS_23_2695271 - Love like the Galaxy, Ep18
SER_COS_23_2695272 - Love like the Galaxy, Ep19
SER_COS_23_2695273 - Love like the Galaxy, Ep20
SER_COS_23_2695274 - Love like the Galaxy, Ep21
SER_COS_23_2695276 - Love like the Galaxy, Ep22
SER_COS_23_2695275 - Love like the Galaxy, Ep23
SER_COS_23_2695277 - Love like the Galaxy, Ep24
SER_COS_23_2695278 - Love like the Galaxy, Ep25
SER_COS_23_2695279 - Love like the Galaxy, Ep26
SER_COS_23_2695280 - Love like the Galaxy, Ep27
SER_COS_23_2695281 - Love like the Galaxy, Ep28
SER_COS_23_2695282 - Love like the Galaxy, Ep29
SER_COS_23_2695283 - Love like the Galaxy, Ep30
SER_COS_23_2695284 - Love like the Galaxy, Ep31
SER_COS_23_2695285 - Love like the Galaxy, Ep32
SER_COS_23_2695286 - Love like the Galaxy, Ep33
SER_COS_23_2695287 - Love like the Galaxy, Ep34
SER_COS_23_2695288 - Love like the Galaxy, Ep35
SER_COS_23_2695289 - Love like the Galaxy, Ep36
SER_COS_23_2695290 - Love like the Galaxy, Ep37
SER_COS_23_2695291 - Love like the Galaxy, Ep38
SER_COS_23_2695292 - Love like the Galaxy, Ep39
SER_COS_23_2695293 - Love like the Galaxy, Ep40
SER_COS_23_2695294 - Love like the Galaxy, Ep41
SER_COS_23_2695295 - Love like the Galaxy, Ep42
SER_COS_23_2695296 - Love like the Galaxy, Ep43
SER_COS_23_2695297 - Love like the Galaxy, Ep44
SER_COS_23_2695298 - Love like the Galaxy, Ep45
SER_COS_23_2695299 - Love like the Galaxy, Ep46
SER_COS_23_2695300 - Love like the Galaxy, Ep47
SER_COS_23_2695301 - Love like the Galaxy, Ep48
SER_COS_23_2695303 - Love like the Galaxy, Ep49
SER_COS_23_2695302 - Love like the Galaxy, Ep50
SER_COS_23_2695304 - Love like the Galaxy, Ep51
SER_COS_23_2695305 - Love like the Galaxy, Ep52
SER_COS_23_2695306 - Love like the Galaxy, Ep53
SER_COS_23_2695307 - Love like the Galaxy, Ep54
SER_COS_23_2695308 - Love like the Galaxy, Ep55
SER_COS_23_2695309 - Love like the Galaxy, Ep56</t>
  </si>
  <si>
    <t>Missing: The Other Side</t>
  </si>
  <si>
    <t>Thriller, Mystery, Supernatural</t>
  </si>
  <si>
    <t>CJ ENM/Blind Hapiness Chimera Missing</t>
  </si>
  <si>
    <t>CJ ENM</t>
  </si>
  <si>
    <t>Mất tích: Thế giới bên kia</t>
  </si>
  <si>
    <t>Missing: The Other Side – EP01→EP18
EP01 – SER_THR472
EP02 – SER_THR490
EP03 – SER_THR491
EP04 – SER_THR492
EP05 – SER_THR493
EP06 – SER_THR494
EP07 – SER_THR495
EP08 – SER_THR496
EP09 – SER_THR497
EP10 – SER_THR498
EP11 – SER_THR499
EP12 – SER_THR500
EP13 – SER_THR501
EP14 – SER_THR502
EP15 – SER_THR503
EP16 – SER_THR504
EP17 – SER_THR505
EP18 – SER_THR506</t>
  </si>
  <si>
    <t>Happiness</t>
  </si>
  <si>
    <t>Chung cư có độc</t>
  </si>
  <si>
    <t>SER_ACT1476 - Happiness, Ep01
SER_ACT1477 - Happiness, Ep02
SER_ACT1478 - Happiness, Ep03
SER_ACT1479 - Happiness, Ep04
SER_ACT1480 - Happiness, Ep05
SER_ACT1481 - Happiness, Ep06
SER_ACT1482 - Happiness, Ep07
SER_ACT1483 - Happiness, Ep08
SER_ACT1484 - Happiness, Ep09
SER_ACT1485 - Happiness, Ep10
SER_ACT1486 - Happiness, Ep11
SER_ACT1487 - Happiness, Ep12
SER_ACT1488 - Happiness, Ep13
SER_ACT1489 - Happiness, Ep14
SER_ACT1490 - Happiness, Ep15
SER_ACT1491 - Happiness, Ep16
SER_ACT1492 - Happiness, Ep17
SER_ACT1493 - Happiness, Ep18</t>
  </si>
  <si>
    <t>Blind</t>
  </si>
  <si>
    <t>Tội ác vô hình</t>
  </si>
  <si>
    <t>Blind
SER_THR390 - Blind, Ep01
SER_THR391 - Blind, Ep02
SER_THR392 - Blind, Ep03
SER_THR393 - Blind, Ep04
SER_THR394 - Blind, Ep05
SER_THR395 - Blind, Ep06
SER_THR396 - Blind, Ep07
SER_THR397 - Blind, Ep08
SER_THR398 - Blind, Ep09
SER_THR399 - Blind, Ep10
SER_THR400 - Blind, Ep11
SER_THR401 - Blind, Ep12
SER_THR402 - Blind, Ep13
SER_THR403 - Blind, Ep14
SER_THR404 - Blind, Ep15
SER_THR405 - Blind, Ep16
SER_THR406 - Blind, Ep17
SER_THR407 - Blind, Ep18
SER_THR408 - Blind, Ep19
SER_THR409 - Blind, Ep20
SER_THR410 - Blind, Ep21
SER_THR411 - Blind, Ep22
SER_THR412 - Blind, Ep23
SER_THR413 - Blind, Ep24</t>
  </si>
  <si>
    <t>Romance, Sport, Boy love</t>
  </si>
  <si>
    <t>Thailand</t>
  </si>
  <si>
    <t>Trận Bóng Này Cho Anh</t>
  </si>
  <si>
    <t xml:space="preserve">The Rebound </t>
  </si>
  <si>
    <t>The Rebound
SER_ROM2410 - The Rebound, Ep01
SER_ROM2411 - The Rebound, Ep02
SER_ROM2412 - The Rebound, Ep03
SER_ROM2413 - The Rebound, Ep04
SER_ROM2414 - The Rebound, Ep05
SER_ROM2415 - The Rebound, Ep06
SER_ROM2416 - The Rebound, Ep07
SER_ROM2417 - The Rebound, Ep08
SER_ROM2418 - The Rebound, Ep09
SER_ROM2419 - The Rebound, Ep10
SER_ROM2420 - The Rebound, Ep11
SER_ROM2421 - The Rebound, Ep12</t>
  </si>
  <si>
    <t>The Legend of Heroes - Hot Blooded (Thiết Huyết Đan Tâm)</t>
  </si>
  <si>
    <t>Action</t>
  </si>
  <si>
    <t>Martial Arts, Historical, Adventure, Action</t>
  </si>
  <si>
    <t>47/2024/HDBQ/VSTV-Youhug Media</t>
  </si>
  <si>
    <t>Youhug</t>
  </si>
  <si>
    <t>Thế giới võ hiệp Kim Dung: Thiết Huyết Đan Tâm</t>
  </si>
  <si>
    <t>The Legend of Heroes: Hot Blooded</t>
  </si>
  <si>
    <t>the legend of heroes: hot blooded – bản Sub – EP01→EP30
EP01 – SER_COS700
EP02 – SER_COS701
EP03 – SER_COS702
EP04 – SER_COS703
EP05 – SER_COS704
EP06 – SER_COS705
EP07 – SER_COS706
EP08 – SER_COS707
EP09 – SER_COS708
EP10 – SER_COS709
EP11 – SER_COS710
EP12 – SER_COS711
EP13 – SER_COS712
EP14 – SER_COS713
EP15 – SER_COS714
EP16 – SER_COS715
EP17 – SER_COS716
EP18 – SER_COS717
EP19 – SER_COS718
EP20 – SER_COS719
EP21 – SER_COS720
EP22 – SER_COS721
EP23 – SER_COS722
EP24 – SER_COS723
EP25 – SER_COS724
EP26 – SER_COS725
EP27 – SER_COS726
EP28 – SER_COS727
EP29 – SER_COS728
EP30 – SER_COS729
the legend of heroes: hot blooded – bản Voice – EP01→EP30
EP01 – SER_COS730
EP02 – SER_COS731
EP03 – SER_COS732
EP04 – SER_COS733
EP05 – SER_COS734
EP06 – SER_COS735
EP07 – SER_COS736
EP08 – SER_COS737
EP09 – SER_COS738
EP10 – SER_COS739
EP11 – SER_COS740
EP12 – SER_COS741
EP13 – SER_COS742
EP14 – SER_COS743
EP15 – SER_COS744
EP16 – SER_COS745
EP17 – SER_COS746
EP18 – SER_COS747
EP19 – SER_COS748
EP20 – SER_COS749
EP21 – SER_COS750
EP22 – SER_COS751
EP23 – SER_COS752
EP24 – SER_COS753
EP25 – SER_COS754
EP26 – SER_COS755
EP27 – SER_COS756
EP28 – SER_COS757
EP29 – SER_COS758
EP30 – SER_COS759</t>
  </si>
  <si>
    <t>The tale of Rose (Câu chuyện Hoa Hồng)</t>
  </si>
  <si>
    <t>New Classic Media/HDBQ The tale of Rose</t>
  </si>
  <si>
    <t>Câu Chuyện Hoa Hồng</t>
  </si>
  <si>
    <t>The Tale of Rose</t>
  </si>
  <si>
    <t>the tale of rose – bản Sub – EP01→EP38
EP01 – SER_ROM2366
EP02 – SER_ROM2367
EP03 – SER_ROM2368
EP04 – SER_ROM2369
EP05 – SER_ROM2370
EP06 – SER_ROM2371
EP07 – SER_ROM2372
EP08 – SER_ROM2373
EP09 – SER_ROM2374
EP10 – SER_ROM2375
EP11 – SER_ROM2377
EP12 – SER_ROM2376
EP13 – SER_ROM2378
EP14 – SER_ROM2379
EP15 – SER_ROM2380
EP16 – SER_ROM2381
EP17 – SER_ROM2382
EP18 – SER_ROM2383
EP19 – SER_ROM2384
EP20 – SER_ROM2385
EP21 – SER_ROM2386
EP22 – SER_ROM2387
EP23 – SER_ROM2388
EP24 – SER_ROM2389
EP25 – SER_ROM2390
EP26 – SER_ROM2391
EP27 – SER_ROM2392
EP28 – SER_ROM2393
EP29 – SER_ROM2394
EP30 – SER_ROM2395
EP31 – SER_ROM2396
EP32 – SER_ROM2397
EP33 – SER_ROM2398
EP34 – SER_ROM2399
EP35 – SER_ROM2400
EP36 – SER_ROM2401
EP37 – SER_ROM2402
EP38 – SER_ROM2403
the tale of rose – bản Voice – EP01→EP38
EP01 – SER_ROM2432
EP02 – SER_ROM2433
EP03 – SER_ROM2434
EP04 – SER_ROM2435
EP05 – SER_ROM2436
EP06 – SER_ROM2437
EP07 – SER_ROM2438
EP08 – SER_ROM2439
EP09 – SER_ROM2440
EP10 – SER_ROM2441
EP11 – SER_ROM2442
EP12 – SER_ROM2443
EP13 – SER_ROM2444
EP14 – SER_ROM2445
EP15 – SER_ROM2446
EP16 – SER_ROM2447
EP17 – SER_ROM2448
EP18 – SER_ROM2449
EP19 – SER_ROM2450
EP20 – SER_ROM2451
EP21 – SER_ROM2452
EP22 – SER_ROM2453
EP23 – SER_ROM2454
EP24 – SER_ROM2455
EP25 – SER_ROM2456
EP26 – SER_ROM2457
EP27 – SER_ROM2458
EP28 – SER_ROM2459
EP29 – SER_ROM2460
EP30 – SER_ROM2461
EP31 – SER_ROM2462
EP32 – SER_ROM2463
EP33 – SER_ROM2464
EP34 – SER_ROM2465
EP35 – SER_ROM2466
EP36 – SER_ROM2467
EP37 – SER_ROM2468
EP38 – SER_ROM2469</t>
  </si>
  <si>
    <t>Castle in the Time</t>
  </si>
  <si>
    <t>app K+</t>
  </si>
  <si>
    <t>Comedy, Romance</t>
  </si>
  <si>
    <t>V20240827</t>
  </si>
  <si>
    <t>Cappu Films</t>
  </si>
  <si>
    <t>Tòa thành thời gian</t>
  </si>
  <si>
    <t>EP01 – SER_ROM2543
EP02 – SER_ROM2544
EP03 – SER_ROM2545
EP04 – SER_ROM2546
EP05 – SER_ROM2547
EP06 – SER_ROM2548
EP07 – SER_ROM2549
EP08 – SER_ROM2550
EP09 – SER_ROM2551
EP10 – SER_ROM2552
EP11 – SER_ROM2553
EP12 – SER_ROM2554
EP13 – SER_ROM2555
EP14 – SER_ROM2556
EP15 – SER_ROM2557
EP16 – SER_ROM2558
EP17 – SER_ROM2559
EP18 – SER_ROM2560
EP19 – SER_ROM2561
EP20 – SER_ROM2562
EP21 – SER_ROM2563
EP22 – SER_ROM2564
EP23 – SER_ROM2565
EP24 – SER_ROM2566
EP25 – SER_ROM2567
EP26 – SER_ROM2568
EP27 – SER_ROM2569
EP28 – SER_ROM2570
EP29 – SER_ROM2571
EP30 – SER_ROM2572
EP31 – SER_ROM2573
EP32 – SER_ROM2574
EP33 – SER_ROM2575
EP34 – SER_ROM2576
EP35 – SER_ROM2577
EP36 – SER_ROM2578
EP37 – SER_ROM2579
EP38 – SER_ROM2580</t>
  </si>
  <si>
    <t>Romance, Life, Drama</t>
  </si>
  <si>
    <t>Huace Media/Meet Yourself</t>
  </si>
  <si>
    <t>Đi đến nơi có gió</t>
  </si>
  <si>
    <t>Meet Yourself</t>
  </si>
  <si>
    <t>EP01 – SER_ROM2480
EP02 – SER_ROM2481
EP03 – SER_ROM2482
EP04 – SER_ROM2483
EP05 – SER_ROM2484
EP06 – SER_ROM2485
EP07 – SER_ROM2486
EP08 – SER_ROM2487
EP09 – SER_ROM2488
EP10 – SER_ROM2489
EP11 – SER_ROM2490
EP12 – SER_ROM2491
EP13 – SER_ROM2492
EP14 – SER_ROM2493
EP15 – SER_ROM2494
EP16 – SER_ROM2495
EP17 – SER_ROM2496
EP18 – SER_ROM2497
EP19 – SER_ROM2498
EP20 – SER_ROM2499
EP21 – SER_ROM2500
EP22 – SER_ROM2501
EP23 – SER_ROM2502
EP24 – SER_ROM2503
EP25 – SER_ROM2504
EP26 – SER_ROM2505
EP27 – SER_ROM2506
EP28 – SER_ROM2507
EP29 – SER_ROM2508
EP30 – SER_ROM2509
EP31 – SER_ROM2510
EP32 – SER_ROM2511
EP33 – SER_ROM2512
EP34 – SER_ROM2513
EP35 – SER_ROM2514
EP36 – SER_ROM2515
EP37 – SER_ROM2516
EP38 – SER_ROM2517
EP39 – SER_ROM2518
EP40 – SER_ROM2519</t>
  </si>
  <si>
    <t>The Escape Of The Seven: Resurrection</t>
  </si>
  <si>
    <t xml:space="preserve">Unlimited run </t>
  </si>
  <si>
    <t>Modern, thriller</t>
  </si>
  <si>
    <t>Cuộc chiến sinh tồn P2: Hồi sinh</t>
  </si>
  <si>
    <t>The Escape of the Seven: Resurrection</t>
  </si>
  <si>
    <t>the escape of the seven: resurrection – bản Sub – EP01→EP16
EP01 – SER_THR_24_2714792
EP02 – SER_THR_24_2714793
EP03 – SER_THR_24_2714794
EP04 – SER_THR_24_2714795
EP05 – SER_THR_24_2714796
EP06 – SER_THR_24_2714797
EP07 – SER_THR_24_2714798
EP08 – SER_THR_24_2714799
EP09 – SER_THR_24_2714800
EP10 – SER_THR_24_2714801
EP11 – SER_THR_24_2714802
EP12 – SER_THR_24_2714803
EP13 – SER_THR_24_2714804
EP14 – SER_THR_24_2714805
EP15 – SER_THR_24_2714806
EP16 – SER_THR_24_2714807
the escape of the seven: resurrection – bản Voice – EP01→EP24
EP01 – SER_THR340
EP02 – SER_THR341
EP03 – SER_THR342
EP04 – SER_THR343
EP05 – SER_THR344
EP06 – SER_THR345
EP07 – SER_THR346
EP08 – SER_THR347
EP09 – SER_THR348
EP10 – SER_THR349
EP11 – SER_THR350
EP12 – SER_THR351
EP13 – SER_THR352
EP14 – SER_THR353
EP15 – SER_THR354
EP16 – SER_THR355
EP17 – SER_THR356
EP18 – SER_THR357
EP19 – SER_THR358
EP20 – SER_THR359
EP21 – SER_THR360
EP22 – SER_THR361
EP23 – SER_THR362
EP24 – SER_THR363</t>
  </si>
  <si>
    <t>Queen of Divorce (Nữ hoàng ly hôn)</t>
  </si>
  <si>
    <t>Modern, drama</t>
  </si>
  <si>
    <t>Nữ hoàng ly hôn</t>
  </si>
  <si>
    <t>Queen of Divorce</t>
  </si>
  <si>
    <t>queen of divorce – bản Sub – EP01→EP12
EP01 – SER_DRA_24_2711807
EP02 – SER_DRA_24_2711808
EP03 – SER_DRA_24_2711809
EP04 – SER_DRA_24_2711810
EP05 – SER_DRA_24_2711811
EP06 – SER_DRA_24_2711812
EP07 – SER_DRA_24_2711813
EP08 – SER_DRA_24_2711814
EP09 – SER_DRA_24_2711815
EP10 – SER_DRA_24_2711816
EP11 – SER_DRA_24_2711817
EP12 – SER_DRA_24_2711818
queen of divorce – bản voice – EP01→EP18
EP01 – SER_DRA_24_2716181
EP02 – SER_DRA_24_2716182
EP03 – SER_DRA_24_2716183
EP04 – SER_DRA_24_2716184
EP05 – SER_DRA_24_2716185
EP06 – SER_DRA_24_2716186
EP07 – SER_DRA_24_2716187
EP08 – SER_DRA_24_2716188
EP09 – SER_DRA_24_2716189
EP10 – SER_DRA_24_2716190
EP11 – SER_DRA_24_2716191
EP12 – SER_DRA_24_2716192
EP13 – SER_DRA_24_2716193
EP14 – SER_DRA_24_2716194
EP15 – SER_DRA_24_2716195
EP16 – SER_DRA_24_2716196
EP17 – SER_DRA_24_2716197
EP18 – SER_DRA_24_2716198</t>
  </si>
  <si>
    <t>Romance, Drama, Comedy</t>
  </si>
  <si>
    <t>160A/2023/HDBQ/VSTV_TKL</t>
  </si>
  <si>
    <t>Rất nhớ, rất nhớ anh</t>
  </si>
  <si>
    <t>Love Me, Love My Voice</t>
  </si>
  <si>
    <t>EP01 – SER_ROM_23__2708824 
EP02 – SER_ROM_23_2708825
EP03 – SER_ROM_23_2708826
EP04 – SER_ROM_23_2708827
EP05 – SER_ROM_23_2708828
EP06 – SER_ROM_23_2708829
EP07 – SER_ROM_23_2708830
EP08 – SER_ROM_23_2708831
EP09 – SER_ROM_23_2708832
EP10 – SER_ROM_23_2708833
EP11 – SER_ROM_23_2708834
EP12 – SER_ROM_23_2708835
EP13 – SER_ROM_23_2708836
EP14 – SER_ROM_23_2708837
EP15 – SER_ROM_23_2708838
EP16 – SER_ROM_23_2708839
EP17 – SER_ROM_23_2708840
EP18 – SER_ROM_23_2708841
EP19 – SER_ROM_23_2708842
EP20 – SER_ROM_23_2708843
EP21 – SER_ROM_23_2708844
EP22 – SER_ROM_23_2708845
EP23 – SER_ROM_23_2708846
EP24 – SER_ROM_23_2708847
EP25 – SER_ROM_23_2708848
EP26 – SER_ROM_23_2708849
EP27 – SER_ROM_23_2708850
EP28 – SER_ROM_23_2708851
EP29 – SER_ROM_23_2708852
EP30 – SER_ROM_23_2708853
EP31 – SER_ROM_23_2708854
EP32 – SER_ROM_23_2708855
EP33 – SER_ROM_23_2708856</t>
  </si>
  <si>
    <t>GANGS OF LONDON season 2</t>
  </si>
  <si>
    <t>12 months Pay TV, nonexclusive VOD</t>
  </si>
  <si>
    <t>Crime, Action, Drama</t>
  </si>
  <si>
    <t>Băng đảng London - Mùa 2</t>
  </si>
  <si>
    <t>GANGS OF LONDON S2</t>
  </si>
  <si>
    <t>EP01 – SER_CRI_24_2712184
EP02 – SER_CRI_24_2712185
EP03 – SER_CRI_24_2712186
EP04 – SER_CRI_24_2712187
EP05 – SER_CRI_24_2712188
EP06 – SER_CRI_24_2712189
EP07 – SER_CRI_24_2712190
EP08 – SER_CRI_24_2712191</t>
  </si>
  <si>
    <t>Romantic Drama</t>
  </si>
  <si>
    <t>Indonesia</t>
  </si>
  <si>
    <t>Sự hoán đổi huyền diệu</t>
  </si>
  <si>
    <t>Switch</t>
  </si>
  <si>
    <t>EP01 – SER_ROM2310
EP02 – SER_ROM2311
EP03 – SER_ROM2312
EP04 – SER_ROM2313
EP05 – SER_ROM2314
EP06 – SER_ROM2315
EP07 – SER_ROM2316
EP08 – SER_ROM2317
EP09 – SER_ROM2318
EP10 – SER_ROM2319
EP11 – SER_ROM2320
EP12 – SER_ROM2321
EP13 – SER_ROM2322</t>
  </si>
  <si>
    <t>Drama,Comedy</t>
  </si>
  <si>
    <t>Đội trộm siêu sao</t>
  </si>
  <si>
    <t>Star Stealer</t>
  </si>
  <si>
    <t>EP01 – SER_COM589
EP02 – SER_COM590
EP03 – SER_COM591
EP04 – SER_COM592
EP05 – SER_COM593
EP06 – SER_COM594
EP07 – SER_COM595
EP08 – SER_COM596
EP09 – SER_COM597
EP10 – SER_COM598</t>
  </si>
  <si>
    <t>Romance,Comedy</t>
  </si>
  <si>
    <t>Trai xấu và gái hư</t>
  </si>
  <si>
    <t>Bad Boys Vs Crazy Girls</t>
  </si>
  <si>
    <t>EP01 – SER_ROM2290
EP02 – SER_ROM2291
EP03 – SER_ROM2292
EP04 – SER_ROM2293
EP05 – SER_ROM2294
EP06 – SER_ROM2295
EP07 – SER_ROM2296
EP08 – SER_ROM2297
EP09 – SER_ROM2298
EP10 – SER_ROM2299</t>
  </si>
  <si>
    <t>Bất ngờ tìm được tình yêu P2</t>
  </si>
  <si>
    <t>Assalamualaikum Calon Imam Season 2</t>
  </si>
  <si>
    <t>EP01 – SER_ROM2300
EP02 – SER_ROM2301
EP03 – SER_ROM2302
EP04 – SER_ROM2303
EP05 – SER_ROM2304
EP06 – SER_ROM2305
EP07 – SER_ROM2306
EP08 – SER_ROM2307
EP09 – SER_ROM2308
EP10 – SER_ROM2309</t>
  </si>
  <si>
    <t>Bất ngờ tìm được tình yêu P1</t>
  </si>
  <si>
    <t>Assalamualaikum Calon Imam Season 1</t>
  </si>
  <si>
    <t>EP01 – SER_ROM2277
EP02 – SER_ROM2278
EP03 – SER_ROM2279
EP04 – SER_ROM2280
EP05 – SER_ROM2281
EP06 – SER_ROM2282
EP07 – SER_ROM2283
EP08 – SER_ROM2284
EP09 – SER_ROM2285
EP10 – SER_ROM2286
EP11 – SER_ROM2287
EP12 – SER_ROM2288
EP13 – SER_ROM2289</t>
  </si>
  <si>
    <t>Music, Comedy, Romance, Supernatural</t>
  </si>
  <si>
    <t>Yêu em lần nữa</t>
  </si>
  <si>
    <t>Love Me Again</t>
  </si>
  <si>
    <t>EP01 – SER_ROM2258
EP02 – SER_ROM2259
EP03 – SER_ROM2260
EP04 – SER_ROM2261
EP05 – SER_ROM2262
EP06 – SER_ROM2263</t>
  </si>
  <si>
    <t>Drama, Suspense, Thriller</t>
  </si>
  <si>
    <t>Bóng đè</t>
  </si>
  <si>
    <t>The Shadow</t>
  </si>
  <si>
    <t>EP01 – SER_THR322
EP02 – SER_THR323
EP03 – SER_THR324
EP04 – SER_THR325
EP05 – SER_THR326
EP06 – SER_THR327
EP07 – SER_THR328
EP08 – SER_THR329
EP09 – SER_THR330
EP10 – SER_THR331
EP11 – SER_THR332
EP12 – SER_THR333
EP13 – SER_THR334
EP14 – SER_THR335</t>
  </si>
  <si>
    <t>Drama, Romantic, Coming of Age</t>
  </si>
  <si>
    <t>Cuộc chiến học bổng</t>
  </si>
  <si>
    <t>Get Rich</t>
  </si>
  <si>
    <t>EP01 – SER_DRA_24_2716279
EP02 – SER_DRA_24_2716280
EP03 – SER_DRA_24_2716281
EP04 – SER_DRA_24_2716282
EP05 – SER_DRA_24_2716283
EP06 – SER_DRA_24_2716284
EP07 – SER_DRA_24_2716285
EP08 – SER_DRA_24_2716286
EP09 – SER_DRA_24_2716287
EP10 – SER_DRA_24_2716288
EP11 – SER_DRA_24_2716289
EP12 – SER_DRA_24_2716290
EP13 – SER_DRA_24_2716291
EP14 – SER_DRA_24_2716292
EP15 – SER_DRA_24_2716293
EP16 – SER_DRA_24_2716294</t>
  </si>
  <si>
    <t>Romantic Comedy, Crime</t>
  </si>
  <si>
    <t>Tìm lại trái tim</t>
  </si>
  <si>
    <t>Return Man</t>
  </si>
  <si>
    <t>EP01 – SER_ROM2265
EP02 – SER_ROM2266
EP03 – SER_ROM2267
EP04 – SER_ROM2268
EP05 – SER_ROM2269
EP06 – SER_ROM2270
EP07 – SER_ROM2271
EP08 – SER_ROM2272
EP09 – SER_ROM2273
EP10 – SER_ROM2274
EP11 – SER_ROM2275
EP12 – SER_ROM2276</t>
  </si>
  <si>
    <t>Coming of Age, Musical(Hip-Hop), Romance, Drama</t>
  </si>
  <si>
    <t>Mơ ước thanh xuân</t>
  </si>
  <si>
    <t>Wannabe</t>
  </si>
  <si>
    <t>EP01 – SER_DRA_24_2716123
EP02 – SER_DRA_24_2716124
EP03 – SER_DRA_24_2716125
EP04 – SER_DRA_24_2716126
EP05 – SER_DRA_24_2716127
EP06 – SER_DRA_24_2716128
EP07 – SER_DRA_24_2716129
EP08 – SER_DRA_24_2716130
EP09 – SER_DRA_24_2716131
EP10 – SER_DRA_24_2716132
EP11 – SER_DRA_24_2716133
EP12 – SER_DRA_24_2716134
EP13 – SER_DRA_24_2716135
EP14 – SER_DRA_24_2716136
EP15 – SER_DRA_24_2716137
EP16 – SER_DRA_24_2716138</t>
  </si>
  <si>
    <t>Action,Romance,Comedy</t>
  </si>
  <si>
    <t>Kẻ lừa đảo chân chính</t>
  </si>
  <si>
    <t>Real Fake</t>
  </si>
  <si>
    <t>EP01 – SER_COM_24_2716111
EP02 – SER_COM_24_2716112
EP03 – SER_COM_24_2716113
EP04 – SER_COM_24_2716114
EP05 – SER_COM_24_2716115
EP06 – SER_COM_24_2716116
EP07 – SER_COM_24_2716117
EP08 – SER_COM_24_2716118
EP09 – SER_COM_24_2716119
EP10 – SER_COM_24_2716120
EP11 – SER_COM_24_2716121
EP12 – SER_COM_24_2716122</t>
  </si>
  <si>
    <t>Romance, Comedy, Sport</t>
  </si>
  <si>
    <t>Huấn luyện viên xinh đẹp</t>
  </si>
  <si>
    <t>My Coach</t>
  </si>
  <si>
    <t>EP01 – SER_ROM_24_2716139
EP02 – SER_ROM_24_2716140
EP03 – SER_ROM_24_2716141
EP04 – SER_ROM_24_2716142
EP05 – SER_ROM_24_2716143
EP06 – SER_ROM_24_2716144
EP07 – SER_ROM_24_2716145
EP08 – SER_ROM_24_2716146
EP09 – SER_ROM_24_2716147
EP10 – SER_ROM_24_2716148
EP11 – SER_ROM_24_2716149
EP12 – SER_ROM_24_2716150
EP13 – SER_ROM_24_2716151
EP14 – SER_ROM_24_2716152
EP15 – SER_ROM_24_2716153
EP16 – SER_ROM_24_2716154</t>
  </si>
  <si>
    <t>Historical, Mystery, Romance, Fantasy</t>
  </si>
  <si>
    <t>Cô dâu xuyên không</t>
  </si>
  <si>
    <t>The Story of Park’s Marriage Contract</t>
  </si>
  <si>
    <t>EP01 – SER_ROM_24_2715854
EP02 – SER_ROM_24_2715855
EP03 – SER_ROM_24_2715856
EP04 – SER_ROM_24_2715857
EP05 – SER_ROM_24_2715858
EP06 – SER_ROM_24_2715859
EP07 – SER_ROM_24_2715860
EP08 – SER_ROM_24_2715861
EP09 – SER_ROM_24_2715862
EP10 – SER_ROM_24_2715863
EP11 – SER_ROM_24_2715864
EP12 – SER_ROM_24_2715865</t>
  </si>
  <si>
    <t>Thriller, Historical, Romance, Fantasy</t>
  </si>
  <si>
    <t>Trăng lên ban ngày</t>
  </si>
  <si>
    <t>Moon in the Day</t>
  </si>
  <si>
    <t>EP01 – SER_FAN_24_2715441
EP02 – SER_FAN_24_2715442
EP03 – SER_FAN_24_2715443
EP04 – SER_FAN_24_2715444
EP05 – SER_FAN_24_2715445
EP06 – SER_FAN_24_2715446
EP07 – SER_FAN_24_2715447
EP08 – SER_FAN_24_2715448
EP09 – SER_FAN_24_2715449
EP10 – SER_FAN_24_2715450
EP11 – SER_FAN_24_2715451
EP12 – SER_FAN_24_2715452
EP13 – SER_FAN_24_2715453
EP14 – SER_FAN_24_2715454</t>
  </si>
  <si>
    <t>Romance, Drama, Fantasy, Supernatural</t>
  </si>
  <si>
    <t>Ngày đẹp để trở thành cún - Tập đặc biệt</t>
  </si>
  <si>
    <t>A Good Day to be a Dog (Special Episode)</t>
  </si>
  <si>
    <t>SER_ROM_24_2715469</t>
  </si>
  <si>
    <t>Ngày đẹp để trở thành cún</t>
  </si>
  <si>
    <t>A Good Day to be a Dog</t>
  </si>
  <si>
    <t>EP01 – SER_ROM_24_2715455
EP02 – SER_ROM_24_2715456
EP03 – SER_ROM_24_2715457
EP04 – SER_ROM_24_2715458
EP05 – SER_ROM_24_2715459
EP06 – SER_ROM_24_2715460
EP07 – SER_ROM_24_2715461
EP08 – SER_ROM_24_2715462
EP09 – SER_ROM_24_2715463
EP10 – SER_ROM_24_2715464
EP11 – SER_ROM_24_2715465
EP12 – SER_ROM_24_2715466
EP13 – SER_ROM_24_2715467
EP14 – SER_ROM_24_2715468</t>
  </si>
  <si>
    <t>Mystery, Romance, Drama</t>
  </si>
  <si>
    <t>Người lạ hoàn hảo</t>
  </si>
  <si>
    <t>My Perfect Stranger</t>
  </si>
  <si>
    <t>EP01 – SER_ROM_24_2714889
EP02 – SER_ROM_24_2714890
EP03 – SER_ROM_24_2714891
EP04 – SER_ROM_24_2714892
EP05 – SER_ROM_24_2714893
EP06 – SER_ROM_24_2714894
EP07 – SER_ROM_24_2714895
EP08 – SER_ROM_24_2714896
EP09 – SER_ROM_24_2714897
EP10 – SER_ROM_24_2714898
EP11 – SER_ROM_24_2714899
EP12 – SER_ROM_24_2714900
EP13 – SER_ROM_24_2714901
EP14 – SER_ROM_24_2714902
EP15 – SER_ROM_24_2714903
EP16 – SER_ROM_24_2714904</t>
  </si>
  <si>
    <t xml:space="preserve">Talkshow </t>
  </si>
  <si>
    <t>Ẩn danh 2: Đội Cầu Vồng</t>
  </si>
  <si>
    <t>Taxi Driver 2 Special: Rainbow Crew</t>
  </si>
  <si>
    <t>MOV_K_T_24__2713583</t>
  </si>
  <si>
    <t>action</t>
  </si>
  <si>
    <t>Ẩn danh 2: Câu chuyện vụ án</t>
  </si>
  <si>
    <t>Taxi Driver 2 Special: Crime Story</t>
  </si>
  <si>
    <t>MOV_ACT_24__2713582</t>
  </si>
  <si>
    <t>Law, Drama</t>
  </si>
  <si>
    <t>Đế chế pháp luật</t>
  </si>
  <si>
    <t>The Empire</t>
  </si>
  <si>
    <t>EP01 – SER_DRA_24_2714873
EP02 – SER_DRA_24_2714874
EP03 – SER_DRA_24_2714875
EP04 – SER_DRA_24_2714876
EP05 – SER_DRA_24_2714877
EP06 – SER_DRA_24_2714878
EP07 – SER_DRA_24_2714879
EP08 – SER_DRA_24_2714880
EP09 – SER_DRA_24_2714881
EP10 – SER_DRA_24_2714882
EP11 – SER_DRA_24_2714883
EP12 – SER_DRA_24_2714884
EP13 – SER_DRA_24_2714885
EP14 – SER_DRA_24_2714886
EP15 – SER_DRA_24_2714887
EP16 – SER_DRA_24_2714888</t>
  </si>
  <si>
    <t>Tiệm café luật</t>
  </si>
  <si>
    <t>The Law Café</t>
  </si>
  <si>
    <t>EP01 – SER_COM_24_2714857
EP02 – SER_COM_24_2714858
EP03 – SER_COM_24_2714859
EP04 – SER_COM_24_2714860
EP05 – SER_COM_24_2714861
EP06 – SER_COM_24_2714862
EP07 – SER_COM_24_2714863
EP08 – SER_COM_24_2714864
EP09 – SER_COM_24_2714865
EP10 – SER_COM_24_2714866
EP11 – SER_COM_24_2714867
EP12 – SER_COM_24_2714868
EP13 – SER_COM_24_2714869
EP14 – SER_COM_24_2714870
EP15 – SER_COM_24_2714871
EP16 – SER_COM_24_2714872</t>
  </si>
  <si>
    <t>Romance, life, drama</t>
  </si>
  <si>
    <t>Nói tôi nghe điều ước của bạn</t>
  </si>
  <si>
    <t>If You Wish Upon Me</t>
  </si>
  <si>
    <t>EP01 – SER_ROM_24_2714508
EP02 – SER_ROM_24_2714509
EP03 – SER_ROM_24_2714510
EP04 – SER_ROM_24_2714511
EP05 – SER_ROM_24_2714512
EP06 – SER_ROM_24_2714513
EP07 – SER_ROM_24_2714514
EP08 – SER_ROM_24_2714515
EP09 – SER_ROM_24_2714516
EP10 – SER_ROM_24_2714517
EP11 – SER_ROM_24_2714518
EP12 – SER_ROM_24_2714519
EP13 – SER_ROM_24_2714520
EP14 – SER_ROM_24_2714521
EP15 – SER_ROM_24_2714522
EP16 – SER_ROM_24_2714523</t>
  </si>
  <si>
    <t>Comedy, drama</t>
  </si>
  <si>
    <t>Webtoon đời tôi</t>
  </si>
  <si>
    <t>Today’s Webtoon</t>
  </si>
  <si>
    <t>EP01 – SER_COM_24_2714491
EP02 – SER_COM_24_2714492
EP03 – SER_COM_24_2714493
EP04 – SER_COM_24_2714494
EP05 – SER_COM_24_2714495
EP06 – SER_COM_24_2714496
EP07 – SER_COM_24_2714497
EP08 – SER_COM_24_2714498
EP09 – SER_COM_24_2714499
EP10 – SER_COM_24_2714500
EP11 – SER_COM_24_2714501
EP12 – SER_COM_24_2714502
EP13 – SER_COM_24_2714503
EP14 – SER_COM_24_2714504
EP15 – SER_COM_24_2714505
EP16 – SER_COM_24_2714506</t>
  </si>
  <si>
    <t>Phép màu</t>
  </si>
  <si>
    <t>Miracle</t>
  </si>
  <si>
    <t>EP01 – SER_ROM_24_2714477
EP02 – SER_ROM_24_2714478
EP03 – SER_ROM_24_2714479
EP04 – SER_ROM_24_2714480
EP05 – SER_ROM_24_2714481
EP06 – SER_ROM_24_2714482
EP07 – SER_ROM_24_2714483
EP08 – SER_ROM_24_2714484
EP09 – SER_ROM_24_2714485
EP10 – SER_ROM_24_2714486
EP11 – SER_ROM_24_2714487
EP12 – SER_ROM_24_2714488
EP13 – SER_ROM_24_2714489
EP14 – SER_ROM_24_2714490</t>
  </si>
  <si>
    <t xml:space="preserve"> Comedy, Romance, Drama</t>
  </si>
  <si>
    <t>Trinh nữ Woori</t>
  </si>
  <si>
    <t>Woori the Virgin</t>
  </si>
  <si>
    <t>EP01 – SER_DRA_24_2714095
EP02 – SER_DRA_24_2714096
EP03 – SER_DRA_24_2714097
EP04 – SER_DRA_24_2714098
EP05 – SER_DRA_24_2714099
EP06 – SER_DRA_24_2714100
EP07 – SER_DRA_24_2714101
EP08 – SER_DRA_24_2714102
EP09 – SER_DRA_24_2714103
EP10 – SER_DRA_24_2714104
EP11 – SER_DRA_24_2714105
EP12 – SER_DRA_24_2714106
EP13 – SER_DRA_24_2714107
EP14 – SER_DRA_24_2714108</t>
  </si>
  <si>
    <t>Mystery, law</t>
  </si>
  <si>
    <t>Tại sao lại là Oh Soo Jae?</t>
  </si>
  <si>
    <t>Why Her?</t>
  </si>
  <si>
    <t>SER_DRA_24_2714094	Why Her?, Ep16
SER_DRA_24_2714093	Why Her?, Ep15
SER_DRA_24_2714091	Why Her?, Ep13
SER_DRA_24_2714090	Why Her?, Ep12
SER_DRA_24_2714092	Why Her?, Ep14
SER_DRA_24_2714089	Why Her?, Ep11
SER_DRA_24_2714087	Why Her?, Ep09
SER_DRA_24_2714088	Why Her?, Ep10
SER_DRA_24_2714086	Why Her?, Ep08
SER_DRA_24_2714085	Why Her?, Ep07
SER_DRA_24_2714084	Why Her?, Ep06
SER_DRA_24_2714083	Why Her?, Ep05
SER_DRA_24_2714082	Why Her?, Ep04
SER_DRA_24_2714080	Why Her?, Ep02
SER_DRA_24_2714081	Why Her?, Ep03
SER_DRA_24__2714079	Why Her?, Ep01</t>
  </si>
  <si>
    <t>Comedy, Fantasy</t>
  </si>
  <si>
    <t>Diễn nào, ma ơi!</t>
  </si>
  <si>
    <t>From Now On, Showtime!</t>
  </si>
  <si>
    <t>EP01 – SER_COM_24_2714023
EP02 – SER_COM_24_2714024
EP03 – SER_COM_24_2714025
EP04 – SER_COM_24_2714026
EP05 – SER_COM_24_2714027
EP06 – SER_COM_24_2714028
EP07 – SER_COM_24_2714029
EP08 – SER_COM_24_2714030
EP09 – SER_COM_24_2714031
EP10 – SER_COM_24_2714032
EP11 – SER_COM_24_2714033
EP12 – SER_COM_24_2714034
EP13 – SER_COM_24_2714035
EP14 – SER_COM_24_2714036
EP15 – SER_COM_24_2714037
EP16 – SER_COM_24_2714038</t>
  </si>
  <si>
    <t>Mystery, Law, Drama, Fantasy</t>
  </si>
  <si>
    <t>Công tố viên chuyển sinh</t>
  </si>
  <si>
    <t>Again My Life</t>
  </si>
  <si>
    <t>EP01 – SER_CRI_24_2713584
EP02 – SER_CRI_24_2713585
EP03 – SER_CRI_24_2713586
EP04 – SER_CRI_24_2713587
EP05 – SER_CRI_24_2713588
EP06 – SER_CRI_24_2713589
EP07 – SER_CRI_24_2713590
EP08 – SER_CRI_24_2713591
EP09 – SER_CRI_24_2713592
EP10 – SER_CRI_24_2713593
EP11 – SER_CRI_24_2713594
EP12 – SER_CRI_24_2713595
EP13 – SER_CRI_24_2713596
EP14 – SER_CRI_24_2713597
EP15 – SER_CRI_24_2713598
EP16 – SER_CRI_24_2713599</t>
  </si>
  <si>
    <t>Giờ mình chia tay</t>
  </si>
  <si>
    <t>Now, We Are Breaking Up</t>
  </si>
  <si>
    <t>EP01 – SER_ROM_24_2713503
EP02 – SER_ROM_24_2713504
EP03 – SER_ROM_24_2713505
EP04 – SER_ROM_24_2713506
EP05 – SER_ROM_24_2713507
EP06 – SER_ROM_24_2713508
EP07 – SER_ROM_24_2713509
EP08 – SER_ROM_24_2713510
EP09 – SER_ROM_24_2713511
EP10 – SER_ROM_24_2713512
EP11 – SER_ROM_24_2713513
EP12 – SER_ROM_24_2713514
EP13 – SER_ROM_24_2713515
EP14 – SER_ROM_24_2713516
EP15 – SER_ROM_24_2713517
EP16 – SER_ROM_24_2713518</t>
  </si>
  <si>
    <t>The Matchmakers</t>
  </si>
  <si>
    <t>8 runs</t>
  </si>
  <si>
    <t>Exclusive All TV and All VOD Rights during LP.</t>
  </si>
  <si>
    <t>Historical, Romance, Comedy</t>
  </si>
  <si>
    <t xml:space="preserve">PCCW VUCLIP/2023/HDBQ E7 &amp; Match </t>
  </si>
  <si>
    <t xml:space="preserve">PCCW VUCLIP </t>
  </si>
  <si>
    <t>Hôn Lễ Đại Chiến</t>
  </si>
  <si>
    <t xml:space="preserve">The Matchmakers </t>
  </si>
  <si>
    <t>the matchmakers – bản Sub
EP01 – SER_COS_23_2706370
EP02 – SER_COS_23_2706371
EP03 – SER_COS_23_2706372
EP04 – SER_COS_23_2706373
EP05 – SER_COS_23_2706374
EP06 – SER_COS_23_2706375
EP07 – SER_COS_23_2706376
EP08 – SER_COS_23_2706377
EP09 – SER_COS_23_2706378
EP10 – SER_COS_23_2706379
EP11 – SER_COS_23_2706380
EP12 – SER_COS_23_2706381
EP13 – SER_COS_23_2706382
EP14 – SER_COS_23_2706383
EP15 – SER_COS_23_2706384
EP16 – SER_COS_23_2706385
the matchmakers – bản Voice
EP01 – SER_COS_23_2707633
EP02 – SER_COS_23_2707634
EP03 – SER_COS_23_2707635
EP04 – SER_COS_23_2707636
EP05 – SER_COS_23_2707637
EP06 – SER_COS_23_2707638
EP07 – SER_COS_23_2707639
EP08 – SER_COS_23_2707640
EP09 – SER_COS_23_2707641
EP10 – SER_COS_23_2707642
EP11 – SER_COS_23_2707643
EP12 – SER_COS_23_2707644
EP13 – SER_COS_23_2707645
EP14 – SER_COS_23_2707646
EP15 – SER_COS_23_2707647
EP16 – SER_COS_23_2707648
EP17 – SER_COS_23_2707649
EP18 – SER_COS_23_2707650
EP19 – SER_COS_23_2707651
EP20 – SER_COS_23_2707652
EP21 – SER_COS_23_2707653
EP22 – SER_COS_23_2707654
EP23 – SER_COS_23_2707655
EP24 – SER_COS_23_2707656</t>
  </si>
  <si>
    <t>Chimera</t>
  </si>
  <si>
    <t>Quái vật Chimera</t>
  </si>
  <si>
    <t>EP01 – SER_THR364
EP02 – SER_THR365
EP03 – SER_THR366
EP04 – SER_THR367
EP05 – SER_THR368
EP06 – SER_THR369
EP07 – SER_THR370
EP08 – SER_THR371
EP09 – SER_THR372
EP10 – SER_THR373
EP11 – SER_THR374
EP12 – SER_THR375
EP13 – SER_THR376
EP14 – SER_THR377
EP15 – SER_THR378
EP16 – SER_THR379
EP17 – SER_THR380
EP18 – SER_THR381
EP19 – SER_THR382
EP20 – SER_THR383
EP21 – SER_THR384
EP22 – SER_THR385
EP23 – SER_THR386
EP24 – SER_THR387</t>
  </si>
  <si>
    <t>The Mask (Dã bình phàm: Điệp vụ sinh tử)</t>
  </si>
  <si>
    <t>9 months from 18 Mar'24</t>
  </si>
  <si>
    <t>Action, Investigation, Drama</t>
  </si>
  <si>
    <t>10A/2024/HDBQ/VSTV-Y&amp;K</t>
  </si>
  <si>
    <t>Y&amp;K</t>
  </si>
  <si>
    <t xml:space="preserve">Dã Bình Phàm: Điệp vụ sinh tử </t>
  </si>
  <si>
    <t>The Mask</t>
  </si>
  <si>
    <t>EP01 – SER_CRI_24_2710627
EP02 – SER_CRI_24_2710628
EP03 – SER_CRI_24_2710629
EP04 – SER_CRI_24_2710630
EP05 – SER_CRI_24_2710631
EP06 – SER_CRI_24_2710632
EP07 – SER_CRI_24_2710633
EP08 – SER_CRI_24_2710634
EP09 – SER_CRI_24_2710635
EP10 – SER_CRI_24_2710636
EP11 – SER_CRI_24_2710637
EP12 – SER_CRI_24_2710638
EP13 – SER_CRI_24_2710639
EP14 – SER_CRI_24_2710640
EP15 – SER_CRI_24_2710641
EP16 – SER_CRI_24_2710642
EP17 – SER_CRI_24_2710643
EP18 – SER_CRI_24_2710644
EP19 – SER_CRI_24_2710645
EP20 – SER_CRI_24_2710646
EP21 – SER_CRI_24_2710647
EP22 – SER_CRI_24_2710648
EP23 – SER_CRI_24_2710649
EP24 – SER_CRI_24_2710650
EP25 – SER_CRI_24_2710651
EP26 – SER_CRI_24_2710652
EP27 – SER_CRI_24_2710653
EP28 – SER_CRI_24_2710654
EP29 – SER_CRI_24_2710655
EP30 – SER_CRI_24_2710656
EP31 – SER_CRI_24_2710657</t>
  </si>
  <si>
    <t>Lake Pyar S2</t>
  </si>
  <si>
    <t xml:space="preserve">Non-Exclusive All TV Rights and All VOD Rights during LP </t>
  </si>
  <si>
    <t>Crime</t>
  </si>
  <si>
    <t>112/2022/HDBQ/VSTV-Canal MM</t>
  </si>
  <si>
    <t>Nữ thanh tra  xinh đẹp</t>
  </si>
  <si>
    <t>EP01 – SER_CRI_22_2678536
EP02 – SER_CRI_22_2678537
EP03 – SER_CRI_22_2678538
EP04 – SER_CRI_22_2678539
EP05 – SER_CRI_22_2678540
EP06 – SER_CRI_22_2678541
EP07 – SER_CRI_22_2678542
EP08 – SER_CRI_22_2678543</t>
  </si>
  <si>
    <t>Crime Puzzle</t>
  </si>
  <si>
    <t>Thriller, Mystery, Psychological, Crime</t>
  </si>
  <si>
    <t>KT StudioGenie/Nemesis Crime Puzzle</t>
  </si>
  <si>
    <t>KT StudioGenie</t>
  </si>
  <si>
    <t>Mảnh ghép tội phạm</t>
  </si>
  <si>
    <t>EP01 – SER_CRI_23_2699218
EP02 – SER_CRI_23_2699219
EP03 – SER_CRI_23_2699220
EP04 – SER_CRI_23_2699221
EP05 – SER_CRI_23_2699222
EP06 – SER_CRI_23_2699223
EP07 – SER_CRI_23_2699224
EP08 – SER_CRI_23_2699225
EP09 – SER_CRI_23_2699226
EP10 – SER_CRI_23_2699227
EP11 – SER_CRI_23_2699228
EP12 – SER_CRI_23_2699229
EP13 – SER_CRI_23_2699230
EP14 – SER_CRI_23_2699231
EP15 – SER_CRI_23_2699232</t>
  </si>
  <si>
    <t>Non-exclusive all  TV rights and VOD rights</t>
  </si>
  <si>
    <t>Costume, historical</t>
  </si>
  <si>
    <t>16/2023/HDBQ/VSTV-HT</t>
  </si>
  <si>
    <t>Cửu Nghĩa Nhân</t>
  </si>
  <si>
    <t>Faithful</t>
  </si>
  <si>
    <t>EP01 – SER_COS_23_2704414
EP02 – SER_COS_23_2704415
EP03 – SER_COS_23_2704416
EP04 – SER_COS_23_2704417
EP05 – SER_COS_23_2704418
EP06 – SER_COS_23_2704419
EP07 – SER_COS_23_2704420
EP08 – SER_COS_23_2704421
EP09 – SER_COS_23_2704422
EP10 – SER_COS_23_2704423
EP11 – SER_COS_23_2704424
EP12 – SER_COS_23_2704425
EP13 – SER_COS_23_2704426
EP14 – SER_COS_23_2704427
EP15 – SER_COS_23_2704428
EP16 – SER_COS_23_2704429
EP17 – SER_COS_23_2704430
EP18 – SER_COS_23_2704431
EP19 – SER_COS_23_2704432
EP20 – SER_COS_23_2704433
EP21 – SER_COS_23_2704434
EP22 – SER_COS_23_2704435
EP23 – SER_COS_23_2704436
EP24 – SER_COS_23_2704437
EP25 – SER_COS_23_2704438</t>
  </si>
  <si>
    <t>Perfect Family</t>
  </si>
  <si>
    <t xml:space="preserve">Mystery </t>
  </si>
  <si>
    <t>Gia đình hoàn hảo</t>
  </si>
  <si>
    <t xml:space="preserve">Perfect Family </t>
  </si>
  <si>
    <t>Perfect Family – bản Voice
EP01 – SER_THR561
EP02 – SER_THR562
EP03 – SER_THR563
EP04 – SER_THR564
EP05 – SER_THR565
EP06 – SER_THR566
EP07 – SER_THR567
EP08 – SER_THR568
EP09 – SER_THR569
EP10 – SER_THR570
EP11 – SER_THR571
EP12 – SER_THR572
EP13 – SER_THR573
EP14 – SER_THR574
EP15 – SER_THR575
EP16 – SER_THR576
EP17 – SER_THR577
EP18 – SER_THR578
Perfect Family – bản Sub
EP01 – SER_THR414
EP02 – SER_THR415
EP03 – SER_THR416
EP04 – SER_THR417
EP05 – SER_THR418
EP06 – SER_THR419
EP07 – SER_THR420
EP08 – SER_THR421
EP09 – SER_THR422
EP10 – SER_THR423
EP11 – SER_THR424
EP12 – SER_THR425</t>
  </si>
  <si>
    <t>Lake Pyar S1</t>
  </si>
  <si>
    <t>EP01 – SER_CRI_22_2677452
EP02 – SER_CRI_22_2677453
EP03 – SER_CRI_22_2677454
EP04 – SER_CRI_22_2677455
EP05 – SER_CRI_22_2677456
EP06 – SER_CRI_22_2677457
EP07 – SER_CRI_22_2677458
EP08 – SER_CRI_22_2677459</t>
  </si>
  <si>
    <t>Miraculous Brothers</t>
  </si>
  <si>
    <t>Exclusive All TV Rights during LP.
Exclusive All VOD during first 6 months of LP. Non-exclusive All VOD Rights the remaining LP</t>
  </si>
  <si>
    <t>Fantasy, Comedy, Mystery, Human , Investigation</t>
  </si>
  <si>
    <t>SLL/Miraculous Brothers</t>
  </si>
  <si>
    <t>SLL</t>
  </si>
  <si>
    <t xml:space="preserve"> Huynh đệ kỳ tích</t>
  </si>
  <si>
    <t>EP01 – SER_DRA_23_2702525
EP02 – SER_DRA_23_2702526
EP03 – SER_DRA_23_2702527
EP04 – SER_DRA_23_2702528
EP05 – SER_DRA_23_2702529
EP06 – SER_DRA_23_2702530
EP07 – SER_DRA_23_2702531
EP08 – SER_DRA_23_2702532
EP09 – SER_DRA_23_2702533
EP10 – SER_DRA_23_2702534
EP11 – SER_DRA_23_2702535
EP12 – SER_DRA_23_2702536
EP13 – SER_DRA_23_2702537
EP14 – SER_DRA_23_2702538
EP15 – SER_DRA_23_2702539
EP16 – SER_DRA_23_2702540</t>
  </si>
  <si>
    <t>The Knockout</t>
  </si>
  <si>
    <t>32/2024/HDBQ/VSTV-IQIYI</t>
  </si>
  <si>
    <t>Cuồng phong</t>
  </si>
  <si>
    <t>EP01 – SER_CRI2253
EP02 – SER_CRI2254
EP03 – SER_CRI2255
EP04 – SER_CRI2256
EP05 – SER_CRI2257
EP06 – SER_CRI2258
EP07 – SER_CRI2259
EP08 – SER_CRI2260
EP09 – SER_CRI2261
EP10 – SER_CRI2262
EP11 – SER_CRI2263
EP12 – SER_CRI2264
EP13 – SER_CRI2265
EP14 – SER_CRI2266
EP15 – SER_CRI2267
EP16 – SER_CRI2268
EP17 – SER_CRI2269
EP18 – SER_CRI2270
EP19 – SER_CRI2271
EP20 – SER_CRI2272
EP21 – SER_CRI2273
EP22 – SER_CRI2274
EP23 – SER_CRI2275
EP24 – SER_CRI2276
EP25 – SER_CRI2277
EP26 – SER_CRI2278
EP27 – SER_CRI2279
EP28 – SER_CRI2280
EP29 – SER_CRI2281
EP30 – SER_CRI2282
EP31 – SER_CRI2283
EP32 – SER_CRI2284
EP33 – SER_CRI2285
EP34 – SER_CRI2286
EP35 – SER_CRI2287
EP36 – SER_CRI2288
EP37 – SER_CRI2289
EP38 – SER_CRI2290
EP39 – SER_CRI2291</t>
  </si>
  <si>
    <t>The Escape of the Seven</t>
  </si>
  <si>
    <t>Thriller, Mystery, Drama</t>
  </si>
  <si>
    <t>Cuộc chiến sinh tồn P1</t>
  </si>
  <si>
    <t>The Escape of the Seven: War for Survival</t>
  </si>
  <si>
    <t>The Escape of the Seven: War for Survival – bản Voice
EP01 – SER_THR_23_2707603
EP02 – SER_THR_23_2707604
EP03 – SER_THR_23_2707605
EP04 – SER_THR_23_2707606
EP05 – SER_THR_23_2707607
EP06 – SER_THR_23_2707608
EP07 – SER_THR_23_2707609
EP08 – SER_THR_23_2707610
EP09 – SER_THR_23_2707611
EP10 – SER_THR_23_2707612
EP11 – SER_THR_23_2707613
EP12 – SER_THR_23_2707614
EP13 – SER_THR_23_2707615
EP14 – SER_THR_23_2707616
EP15 – SER_THR_23_2707617
EP16 – SER_THR_23_2707618
EP17 – SER_THR_23_2707619
EP18 – SER_THR_23_2707620
EP19 – SER_THR_23_2707621
EP20 – SER_THR_23_2707622
EP21 – SER_THR_23_2707623
EP22 – SER_THR_23_2707624
EP23 – SER_THR_23_2707625
EP24 – SER_THR_23_2707626
EP25 – SER_THR_23_2707627
EP26 – SER_THR_23_2707628
EP27 – SER_THR_23_2707629
EP28 – SER_THR_23_2707630
EP29 – SER_THR_23_2707631
EP30 – SER_THR_23_2707632
The Escape of the Seven: War for Survival S1 – bản Sub
EP01 – SER_THR_23_2703855
EP02 – SER_THR_23_2703856
EP03 – SER_THR_23_2703857
EP04 – SER_THR_23_2703858
EP05 – SER_THR_23_2703859
EP06 – SER_THR_23_2703860
EP07 – SER_THR_23_2703861
EP08 – SER_THR_23_2703862
EP09 – SER_THR_23_2703863
EP10 – SER_THR_23_2703864
EP11 – SER_THR_23_2703865
EP12 – SER_THR_23_2703866
EP13 – SER_THR_23_2703867
EP14 – SER_THR_23_2703868
EP15 – SER_THR_23_2703869
EP16 – SER_THR_23_2703870
EP17 – SER_THR_23_2703871</t>
  </si>
  <si>
    <t>Good partner</t>
  </si>
  <si>
    <t>Law, Life, Drama</t>
  </si>
  <si>
    <t>Cộng sự hoàn hảo</t>
  </si>
  <si>
    <t>SER_DRA2926	Good Partner, Ep05
SER_DRA2925	Good Partner, Ep04
SER_DRA2924	Good Partner, Ep03
SER_DRA2923	Good Partner, Ep02
SER_DRA2922	Good Partner, Ep01</t>
  </si>
  <si>
    <t>OF MONEY AND BLOOD - SEASON 1</t>
  </si>
  <si>
    <t>Exlcusive all TV + VOD rights during LP</t>
  </si>
  <si>
    <t>Crime, Drama</t>
  </si>
  <si>
    <t>Scale_SC+/Money and blood</t>
  </si>
  <si>
    <t>Studio Canal TV</t>
  </si>
  <si>
    <t>Tiền và Máu</t>
  </si>
  <si>
    <t xml:space="preserve">OF MONEY AND BLOOD – SEASON 1 </t>
  </si>
  <si>
    <t>SER_CRI_23_2707140	Of Money And Blood S1, Ep11
SER_CRI_23_2707141	Of Money And Blood S1, Ep12
SER_CRI_23_2707139	Of Money And Blood S1, Ep10
SER_CRI_23_2707138	Of Money And Blood S1, Ep09
SER_CRI_23_2707137	Of Money And Blood S1, Ep08
SER_CRI_23__2707136	Of Money And Blood S1, Ep07
SER_CRI_23_2707131	Of Money And Blood S1, Ep06
SER_CRI_23_2707130	Of Money And Blood S1, Ep05
SER_CRI_23_2707128	Of Money And Blood S1, Ep03
SER_CRI_23_2707129	Of Money And Blood S1, Ep04
SER_CRI_23_2707127	Of Money And Blood S1, Ep02
SER_CRI_23__2707126	Of Money And Blood S1, Ep01</t>
  </si>
  <si>
    <t>Crying Forest</t>
  </si>
  <si>
    <t>Non-exclusive all TV rights and VOD rights</t>
  </si>
  <si>
    <t xml:space="preserve">Myanmar </t>
  </si>
  <si>
    <t>99/2023/HDBQ/VSTV-Canal MM</t>
  </si>
  <si>
    <t>Bí ẩn rừng già</t>
  </si>
  <si>
    <t xml:space="preserve">Crying Forest </t>
  </si>
  <si>
    <t>SER_HOR_23_2691022	Crying forest, Ep10
SER_HOR_23_2691021	Crying forest, Ep09
SER_HOR_23_2691020	Crying forest, Ep08
SER_HOR_23_2691019	Crying forest, Ep07
SER_HOR_23_2691018	Crying forest, Ep06
SER_HOR_23_2691016	Crying forest, Ep04
SER_HOR_23_2691017	Crying forest, Ep05
SER_HOR_23_2691014	Crying forest, Ep02
SER_HOR_23_2691015	Crying forest, Ep03
SER_HOR_23__2691013	Crying forest, Ep01</t>
  </si>
  <si>
    <t>B.R.I - Season 1</t>
  </si>
  <si>
    <t>Scale_SC+/BRIGADE</t>
  </si>
  <si>
    <t>Đội đặc nhiệm B.R.I</t>
  </si>
  <si>
    <t>B.R.I</t>
  </si>
  <si>
    <t>SER_ACT_23_2695771	B.R.I S1, Ep08
SER_ACT_23_2695770	B.R.I S1, Ep07
SER_ACT_23_2695769	B.R.I S1, Ep06
SER_ACT_23_2695768	B.R.I S1, Ep05
SER_ACT_23_2695767	B.R.I S1, Ep04
SER_ACT_23_2695766	B.R.I S1, Ep03
SER_ACT_23_2695765	B.R.I S1, Ep02
SER_ACT_23__2695764	B.R.I S1, Ep01</t>
  </si>
  <si>
    <t>Non-exclusive VOD rights</t>
  </si>
  <si>
    <t>Thổ Nhĩ Kỳ</t>
  </si>
  <si>
    <t>Mùa hè đáng nhớ</t>
  </si>
  <si>
    <t>Last summer</t>
  </si>
  <si>
    <t>EP01 – SER_CRI_23_2708073
EP02 – SER_CRI_23_2708074
EP03 – SER_CRI_23_2708075
EP04 – SER_CRI_23_2708076
EP05 – SER_CRI_23_2708077
EP06 – SER_CRI_23_2708078
EP07 – SER_CRI_23_2708079
EP08 – SER_CRI_23_2708080
EP09 – SER_CRI_23_2708081
EP10 – SER_CRI_23_2708082
EP11 – SER_CRI_23_2708083
EP12 – SER_CRI_23_2708084
EP13 – SER_CRI_23_2708085
EP14 – SER_CRI_23_2708086
EP15 – SER_CRI_23_2708087
EP16 – SER_CRI_23_2708088
EP17 – SER_CRI_23_2708089
EP18 – SER_CRI_23_2708090
EP19 – SER_CRI_23_2708091
EP20 – SER_CRI_23_2708092
EP21 – SER_CRI_23_2708093
EP22 – SER_CRI_23_2708094
EP23 – SER_CRI_23_2708095
EP24 – SER_CRI_23_2708096
EP25 – SER_CRI_23_2708097
EP26 – SER_CRI_23_2708098
EP27 – SER_CRI_23_2708099
EP28 – SER_CRI_23_2708100
EP29 – SER_CRI_23_2708101
EP30 – SER_CRI_23_2708102
EP31 – SER_CRI_23_2708103
EP32 – SER_CRI_23_2708104
EP33 – SER_CRI_23_2708105
EP34 – SER_CRI_23_2708106
EP35 – SER_CRI_23_2708107
EP36 – SER_CRI_23_2708108
EP37 – SER_CRI_23_2708109
EP38 – SER_CRI_23_2708110
EP39 – SER_CRI_23_2708111
EP40 – SER_CRI_23_2708112
EP41 – SER_CRI_23_2708113
EP42 – SER_CRI_23_2708114
EP43 – SER_CRI_23_2708115
EP44 – SER_CRI_23_2708116
EP45 – SER_CRI_23_2708117
EP46 – SER_CRI_23_2708118
EP47 – SER_CRI_23_2708119
EP48 – SER_CRI_23_2708120
EP49 – SER_CRI_23_2708121
EP50 – SER_CRI_23_2708122
EP51 – SER_CRI_23_2708123
EP52 – SER_CRI_23_2708124
EP53 – SER_CRI_23_2708125
EP54 – SER_CRI_23_2708126
EP55 – SER_CRI_23_2708127
EP56 – SER_CRI_23_2708128
EP57 – SER_CRI_23_2708129
EP58 – SER_CRI_23_2708130
EP59 – SER_CRI_23_2708131
EP60 – SER_CRI_23_2708132
EP61 – SER_CRI_23_2708133
EP62 – SER_CRI_23_2708134
EP63 – SER_CRI_23_2708135
EP64 – SER_CRI_23_2708136
EP65 – SER_CRI_23_2708137
EP66 – SER_CRI_23_2708138
EP67 – SER_CRI_23_2708139
EP68 – SER_CRI_23_2708140
EP69 – SER_CRI_23_2708141
EP70 – SER_CRI_23_2708142
EP71 – SER_CRI_23_2708143
EP72 – SER_CRI_23_2708144
EP73 – SER_CRI_23_2708145
EP74 – SER_CRI_23_2708146
EP75 – SER_CRI_23_2708147
EP76 – SER_CRI_23_2708148
EP77 – SER_CRI_23_2708149
EP78 – SER_CRI_23_2708150
EP79 – SER_CRI_23_2708151
EP80 – SER_CRI_23_2708152
EP81 – SER_CRI_23_2708153
EP82 – SER_CRI_23_2708154
EP83 – SER_CRI_23_2708155
EP84 – SER_CRI_23_2708156
EP85 – SER_CRI_23_2708157
EP86 – SER_CRI_23_2708158
EP87 – SER_CRI_23_2708159
EP88 – SER_CRI_23_2708160
EP89 – SER_CRI_23_2708161
EP90 – SER_CRI_23_2708162
EP91 – SER_CRI_23_2708163
EP92 – SER_CRI_23_2708164
EP93 – SER_CRI_23_2708165</t>
  </si>
  <si>
    <t>Hạnh phúc ban mai</t>
  </si>
  <si>
    <t>Be my sunshine</t>
  </si>
  <si>
    <t>EP01 – SER_ROM2823
EP02 – SER_ROM2824
EP03 – SER_ROM2825
EP04 – SER_ROM2826
EP05 – SER_ROM2827
EP06 – SER_ROM2828
EP07 – SER_ROM2829
EP08 – SER_ROM2830
EP09 – SER_ROM2831
EP10 – SER_ROM2832
EP11 – SER_ROM2833
EP12 – SER_ROM2834
EP13 – SER_ROM2835
EP14 – SER_ROM2836
EP15 – SER_ROM2837
EP16 – SER_ROM2838
EP17 – SER_ROM2839
EP18 – SER_ROM2840
EP19 – SER_ROM2841
EP20 – SER_ROM2842
EP21 – SER_ROM2843
EP22 – SER_ROM2844
EP23 – SER_ROM2845
EP24 – SER_ROM2846
EP25 – SER_ROM2847
EP26 – SER_ROM2848
EP27 – SER_ROM2849
EP28 – SER_ROM2850
EP29 – SER_ROM2851
EP30 – SER_ROM2852
EP31 – SER_ROM2853
EP32 – SER_ROM2854
EP33 – SER_ROM2855
EP34 – SER_ROM2856
EP35 – SER_ROM2857
EP36 – SER_ROM2858
EP37 – SER_ROM2859
EP38 – SER_ROM2860
EP39 – SER_ROM2861
EP40 – SER_ROM2862
EP41 – SER_ROM2863
EP42 – SER_ROM2864
EP43 – SER_ROM2865
EP44 – SER_ROM2866
EP45 – SER_ROM2867
EP46 – SER_ROM2868
EP47 – SER_ROM2869
EP48 – SER_ROM2870
EP49 – SER_ROM2871
EP50 – SER_ROM2872
EP51 – SER_ROM2873
EP52 – SER_ROM2874
EP53 – SER_ROM2875
EP54 – SER_ROM2876
EP55 – SER_ROM2877
EP56 – SER_ROM2878
EP57 – SER_ROM2879
EP58 – SER_ROM2880
EP59 – SER_ROM2881
EP60 – SER_ROM2882
EP61 – SER_ROM2883
EP62 – SER_ROM2884
EP63 – SER_ROM2885
EP64 – SER_ROM2886
EP65 – SER_ROM2887
EP66 – SER_ROM2888
EP67 – SER_ROM2889
EP68 – SER_ROM2890
EP69 – SER_ROM2891
EP70 – SER_ROM2892
EP71 – SER_ROM2893
EP72 – SER_ROM2894
EP73 – SER_ROM2895
EP74 – SER_ROM2896
EP75 – SER_ROM2897
EP76 – SER_ROM2898
EP77 – SER_ROM2899
EP78 – SER_ROM2900
EP79 – SER_ROM2901
EP80 – SER_ROM2902
EP81 – SER_ROM2903
EP82 – SER_ROM2904
EP83 – SER_ROM2905</t>
  </si>
  <si>
    <t>Trò chơi phù thủy</t>
  </si>
  <si>
    <t>Game of witch</t>
  </si>
  <si>
    <t>EP01 – SER_DRA3603
EP02 – SER_DRA3604
EP03 – SER_DRA3605
EP04 – SER_DRA3606
EP05 – SER_DRA3607
EP06 – SER_DRA3608
EP07 – SER_DRA3609
EP08 – SER_DRA3610
EP09 – SER_DRA3611
EP10 – SER_DRA3612
EP11 – SER_DRA3613
EP12 – SER_DRA3614
EP13 – SER_DRA3615
EP14 – SER_DRA3616
EP15 – SER_DRA3617
EP16 – SER_DRA3618
EP17 – SER_DRA3619
EP18 – SER_DRA3620
EP19 – SER_DRA3621
EP20 – SER_DRA3622
EP21 – SER_DRA3623
EP22 – SER_DRA3624
EP23 – SER_DRA3625
EP24 – SER_DRA3626
EP25 – SER_DRA3627
EP26 – SER_DRA3628
EP27 – SER_DRA3629
EP28 – SER_DRA3630
EP29 – SER_DRA3631
EP30 – SER_DRA3632
EP31 – SER_DRA3633
EP32 – SER_DRA3634
EP33 – SER_DRA3635
EP34 – SER_DRA3636
EP35 – SER_DRA3637
EP36 – SER_DRA3638
EP37 – SER_DRA3639
EP38 – SER_DRA3640
EP39 – SER_DRA3641
EP40 – SER_DRA3642
EP41 – SER_DRA3643
EP42 – SER_DRA3644
EP43 – SER_DRA3645
EP44 – SER_DRA3646
EP45 – SER_DRA3647
EP46 – SER_DRA3648
EP47 – SER_DRA3649
EP48 – SER_DRA3650
EP49 – SER_DRA3651
EP50 – SER_DRA3652
EP51 – SER_DRA3653
EP52 – SER_DRA3654
EP53 – SER_DRA3655
EP54 – SER_DRA3656
EP55 – SER_DRA3657
EP56 – SER_DRA3658
EP57 – SER_DRA3659
EP58 – SER_DRA3660
EP59 – SER_DRA3661
EP60 – SER_DRA3662
EP61 – SER_DRA3663
EP62 – SER_DRA3664
EP63 – SER_DRA3665
EP64 – SER_DRA3666
EP65 – SER_DRA3667
EP66 – SER_DRA3668
EP67 – SER_DRA3669
EP68 – SER_DRA3670
EP69 – SER_DRA3671
EP70 – SER_DRA3672
EP71 – SER_DRA3673
EP72 – SER_DRA3674
EP73 – SER_DRA3675
EP74 – SER_DRA3676
EP75 – SER_DRA3677
EP76 – SER_DRA3678
EP77 – SER_DRA3679
EP78 – SER_DRA3680
EP79 – SER_DRA3681</t>
  </si>
  <si>
    <t>Ngôi nhà bí mật</t>
  </si>
  <si>
    <t>The secret house</t>
  </si>
  <si>
    <t>EP01 – SER_ROM_24_2714302
EP02 – SER_ROM_24_2714303
EP03 – SER_ROM_24_2714304
EP04 – SER_ROM_24_2714305
EP05 – SER_ROM_24_2714306
EP06 – SER_ROM_24_2714307
EP07 – SER_ROM_24_2714308
EP08 – SER_ROM_24_2714309
EP09 – SER_ROM_24_2714310
EP10 – SER_ROM_24_2714311
EP11 – SER_ROM_24_2714312
EP12 – SER_ROM_24_2714313
EP13 – SER_ROM_24_2714314
EP14 – SER_ROM_24_2714315
EP15 – SER_ROM_24_2714316
EP16 – SER_ROM_24_2714317
EP17 – SER_ROM_24_2714318
EP18 – SER_ROM_24_2714319
EP19 – SER_ROM_24_2714320
EP20 – SER_ROM_24_2714321
EP21 – SER_ROM_24_2714322
EP22 – SER_ROM_24_2714323
EP23 – SER_ROM_24_2714324
EP24 – SER_ROM_24_2714325
EP25 – SER_ROM_24_2714326
EP26 – SER_ROM_24_2714327
EP27 – SER_ROM_24_2714328
EP28 – SER_ROM_24_2714329
EP29 – SER_ROM_24_2714330
EP30 – SER_ROM_24_2714331
EP31 – SER_ROM_24_2714332
EP32 – SER_ROM_24_2714333
EP33 – SER_ROM_24_2714334
EP34 – SER_ROM_24_2714335
EP35 – SER_ROM_24_2714336
EP36 – SER_ROM_24_2714337
EP37 – SER_ROM_24_2714338
EP38 – SER_ROM_24_2714339
EP39 – SER_ROM_24_2714340
EP40 – SER_ROM_24_2714341
EP41 – SER_ROM_24_2714342
EP42 – SER_ROM_24_2714343
EP43 – SER_ROM_24_2714344
EP44 – SER_ROM_24_2714345
EP45 – SER_ROM_24_2714346
EP46 – SER_ROM_24_2714347
EP47 – SER_ROM_24_2714348
EP48 – SER_ROM_24_2714349
EP49 – SER_ROM_24_2714350
EP50 – SER_ROM_24_2714351
EP51 – SER_ROM_24_2714352
EP52 – SER_ROM_24_2714353
EP53 – SER_ROM_24_2714354
EP54 – SER_ROM_24_2714355
EP55 – SER_ROM_24_2714356
EP56 – SER_ROM_24_2714357
EP57 – SER_ROM_24_2714358
EP58 – SER_ROM_24_2714359
EP59 – SER_ROM_24_2714360
EP60 – SER_ROM_24_2714361
EP61 – SER_ROM_24_2714362
EP62 – SER_ROM_24_2714363
EP63 – SER_ROM_24_2714364
EP64 – SER_ROM_24_2714365
EP65 – SER_ROM_24_2714366
EP66 – SER_ROM_24_2714367
EP67 – SER_ROM_24_2714368
EP68 – SER_ROM_24_2714369
EP69 – SER_ROM_24_2714370
EP70 – SER_ROM_24_2714371
EP71 – SER_ROM_24_2714372
EP72 – SER_ROM_24_2714373
EP73 – SER_ROM_24_2714374
EP74 – SER_ROM_24_2714375
EP75 – SER_ROM_24_2714376
EP76 – SER_ROM_24_2714377
EP77 – SER_ROM_24_2714378
EP78 – SER_ROM_24_2714379
EP79 – SER_ROM_24_2714380
EP80 – SER_ROM_24_2714381</t>
  </si>
  <si>
    <t>Bí mật hôn nhân</t>
  </si>
  <si>
    <t>All about marriage</t>
  </si>
  <si>
    <t>EP01 – SER_DRA3497
EP02 – SER_DRA3498
EP03 – SER_DRA3499
EP04 – SER_DRA3500
EP05 – SER_DRA3501
EP06 – SER_DRA3502
EP07 – SER_DRA3503
EP08 – SER_DRA3504
EP09 – SER_DRA3505
EP10 – SER_DRA3506
EP11 – SER_DRA3507
EP12 – SER_DRA3508
EP13 – SER_DRA3509
EP14 – SER_DRA3510
EP15 – SER_DRA3511
EP16 – SER_DRA3512
EP17 – SER_DRA3513
EP18 – SER_DRA3514
EP19 – SER_DRA3515
EP20 – SER_DRA3516
EP21 – SER_DRA3517
EP22 – SER_DRA3518
EP23 – SER_DRA3519
EP24 – SER_DRA3520
EP25 – SER_DRA3521
EP26 – SER_DRA3522
EP27 – SER_DRA3523
EP28 – SER_DRA3524
EP29 – SER_DRA3525
EP30 – SER_DRA3526
EP31 – SER_DRA3527
EP32 – SER_DRA3528
EP33 – SER_DRA3529
EP34 – SER_DRA3530
EP35 – SER_DRA3531
EP36 – SER_DRA3532
EP37 – SER_DRA3533
EP38 – SER_DRA3534
EP39 – SER_DRA3535
EP40 – SER_DRA3536
EP41 – SER_DRA3537
EP42 – SER_DRA3538
EP43 – SER_DRA3539
EP44 – SER_DRA3540
EP45 – SER_DRA3541
EP46 – SER_DRA3542
EP47 – SER_DRA3543
EP48 – SER_DRA3544
EP49 – SER_DRA3545
EP50 – SER_DRA3546
EP51 – SER_DRA3547
EP52 – SER_DRA3548
EP53 – SER_DRA3549
EP54 – SER_DRA3550
EP55 – SER_DRA3551
EP56 – SER_DRA3552
EP57 – SER_DRA3553
EP58 – SER_DRA3554
EP59 – SER_DRA3555
EP60 – SER_DRA3556
EP61 – SER_DRA3557
EP62 – SER_DRA3558
EP63 – SER_DRA3559
EP64 – SER_DRA3560
EP65 – SER_DRA3561
EP66 – SER_DRA3562
EP67 – SER_DRA3563
EP68 – SER_DRA3564
EP69 – SER_DRA3565
EP70 – SER_DRA3566
EP71 – SER_DRA3567
EP72 – SER_DRA3568
EP73 – SER_DRA3569
EP74 – SER_DRA3570
EP75 – SER_DRA3571
EP76 – SER_DRA3572
EP77 – SER_DRA3573
EP78 – SER_DRA3574
EP79 – SER_DRA3575
EP80 – SER_DRA3576
EP81 – SER_DRA3577
EP82 – SER_DRA3578
EP83 – SER_DRA3579
EP84 – SER_DRA3580
EP85 – SER_DRA3581
EP86 – SER_DRA3582
EP87 – SER_DRA3583
EP88 – SER_DRA3584
EP89 – SER_DRA3585
EP90 – SER_DRA3586
EP91 – SER_DRA3587
EP92 – SER_DRA3588
EP93 – SER_DRA3589
EP94 – SER_DRA3590
EP95 – SER_DRA3591
EP96 – SER_DRA3592
EP97 – SER_DRA3593
EP98 – SER_DRA3594
EP99 – SER_DRA3595
EP100 – SER_DRA3596
EP101 – SER_DRA3597
EP102 – SER_DRA3598
EP103 – SER_DRA3599
EP104 – SER_DRA3600</t>
  </si>
  <si>
    <t>Strange Tales of Tang Dynasty (Đường triều qủy sự lụ)</t>
  </si>
  <si>
    <t>Strange Tales of Tang Dynasty (Đường triều qủy sự lục)</t>
  </si>
  <si>
    <t xml:space="preserve">Exclusive All TV Rights for 6 months and
Non exclusive All SVOD and TVOD during LP </t>
  </si>
  <si>
    <t>K+LIFE</t>
  </si>
  <si>
    <t>59/2023/HDBQ/VSTV-HT</t>
  </si>
  <si>
    <t>Đường Triều Quỷ Sự Lục</t>
  </si>
  <si>
    <t xml:space="preserve">Strange Tales of Tang Dynasty </t>
  </si>
  <si>
    <t>EP01 – SER_THR_23_2690901
EP02 – SER_THR_23_2690902
EP03 – SER_THR_23_2690903
EP04 – SER_THR_23_2690904
EP05 – SER_THR_23_2690905
EP06 – SER_THR_23_2690906
EP07 – SER_THR_23_2690907
EP08 – SER_THR_23_2690908
EP09 – SER_THR_23_2690909
EP10 – SER_THR_23_2690910
EP11 – SER_THR_23_2690911
EP12 – SER_THR_23_2690912
EP13 – SER_THR_23_2690913
EP14 – SER_THR_23_2690914
EP15 – SER_THR_23_2690915
EP16 – SER_THR_23_2690916
EP17 – SER_THR_23_2690917
EP18 – SER_THR_23_2690918
EP19 – SER_THR_23_2690919
EP20 – SER_THR_23_2690920
EP21 – SER_THR_23_2690921
EP22 – SER_THR_23_2690922
EP23 – SER_THR_23_2690923
EP24 – SER_THR_23_2690924
EP25 – SER_THR_23_2690925
EP26 – SER_THR_23_2690926
EP27 – SER_THR_23_2690927
EP28 – SER_THR_23_2690928
EP29 – SER_THR_23_2690929
EP30 – SER_THR_23_2690930
EP31 – SER_THR_23_2690931
EP32 – SER_THR_23_2690932
EP33 – SER_THR_23_2690933
EP34 – SER_THR_23_2690934
EP35 – SER_THR_23_2690935
EP36 – SER_THR_23_2690936</t>
  </si>
  <si>
    <t>Taxi Driver Season 2</t>
  </si>
  <si>
    <t>Exclusive All TV Rights during LP and Exclusive All VOD rights for first 4 months</t>
  </si>
  <si>
    <t>Action, Crime</t>
  </si>
  <si>
    <t>PCCW VUCLIP/2023/HDBQ The Secret Romantic Guesthouse</t>
  </si>
  <si>
    <t>Ẩn danh 2</t>
  </si>
  <si>
    <t>Voice: EP01 – SER_ACT_2696867
EP02 – SER_ACT_2696868
EP03 – SER_ACT_2696869
EP04 – SER_ACT_2696870
EP05 – SER_ACT_2696871
EP06 – SER_ACT_2696872
EP07 – SER_ACT_2696873
EP08 – SER_ACT_2696874
EP09 – SER_ACT_2696875
EP10 – SER_ACT_2696876
EP11 – SER_ACT_2696877
EP12 – SER_ACT_2696878
EP13 – SER_ACT_2696879
EP14 – SER_ACT_2696880
EP15 – SER_ACT_2696881
EP16 – SER_ACT_2696882
EP17 – SER_ACT_2696883
EP18 – SER_ACT_2696884
EP19 – SER_ACT_2696885
EP20 – SER_ACT_2696886
EP21 – SER_ACT_2696887
EP22 – SER_ACT_2696888
EP23 – SER_ACT_2696889
EP24 – SER_ACT_2696890
Sub: EP01 – SER_ACT_2690473
EP02 – SER_ACT_2690474
EP03 – SER_ACT_2690475
EP04 – SER_ACT_2690476
EP05 – SER_ACT_2690477
EP06 – SER_ACT_2690478
EP07 – SER_ACT_2690479
EP08 – SER_ACT_2690480
EP09 – SER_ACT_2690481
EP10 – SER_ACT_2690482
EP11 – SER_ACT_2690483
EP12 – SER_ACT_2690484
EP13 – SER_ACT_2690485
EP14 – SER_ACT_2690486
EP15 – SER_ACT_2690487
EP16 – SER_ACT_2690488</t>
  </si>
  <si>
    <t>Are You Safe</t>
  </si>
  <si>
    <t>Exclusive All TV Rights and Non-exclusive with All Catch-up TV Rights; All VOD Rights during LP</t>
  </si>
  <si>
    <t>Action, Suspense, Crime, Thriller, Drama</t>
  </si>
  <si>
    <t>132A/2022/HDBQ/VSTV_Youhug media</t>
  </si>
  <si>
    <t>Youhug Media</t>
  </si>
  <si>
    <t>Bạn có an toàn</t>
  </si>
  <si>
    <t>EP01 – SER_ACT_22_2686518
EP02 – SER_ACT_22_2686519
EP03 – SER_ACT_22_2686520
EP04 – SER_ACT_22_2686521
EP05 – SER_ACT_22_2686522
EP06 – SER_ACT_22_2686523
EP07 – SER_ACT_22_2686524
EP08 – SER_ACT_22_2686525
EP09 – SER_ACT_22_2686526
EP10 – SER_ACT_22_2686527
EP11 – SER_ACT_22_2686528
EP12 – SER_ACT_22_2686529
EP13 – SER_ACT_22_2686530
EP14 – SER_ACT_22_2686531
EP15 – SER_ACT_22_2686532
EP16 – SER_ACT_22_2686533
EP17 – SER_ACT_22_2686534
EP18 – SER_ACT_22_2686535
EP19 – SER_ACT_22_2686536
EP20 – SER_ACT_22_2686537
EP21 – SER_ACT_22_2686538
EP22 – SER_ACT_22_2686539
EP23 – SER_ACT_22_2686540
EP24 – SER_ACT_22_2686541</t>
  </si>
  <si>
    <t>Under the Microscope</t>
  </si>
  <si>
    <t>Exclusive all Pay TV Rights, Non exclusive all SVOD + TVOD rights during LP</t>
  </si>
  <si>
    <t>Historical, Mystery, Crime</t>
  </si>
  <si>
    <t>87/2023/HDBQ/VSTV-IQIYI</t>
  </si>
  <si>
    <t>Đại Minh dưới kính hiển vi</t>
  </si>
  <si>
    <t>EP01 – SER_COS_23_2698582
EP02 – SER_COS_23_2698583
EP03 – SER_COS_23_2698584
EP04 – SER_COS_23_2698585
EP05 – SER_COS_23_2698586
EP06 – SER_COS_23_2698587
EP07 – SER_COS_23_2698588
EP08 – SER_COS_23_2698589
EP09 – SER_COS_23_2698590
EP10 – SER_COS_23_2698591
EP11 – SER_COS_23_2698592
EP12 – SER_COS_23_2698593
EP13 – SER_COS_23_2698594
EP14 – SER_COS_23_2698595</t>
  </si>
  <si>
    <t>Delivery Man</t>
  </si>
  <si>
    <t xml:space="preserve">Comedy, fantasy, supernatural </t>
  </si>
  <si>
    <t>PCCW VUCLIP</t>
  </si>
  <si>
    <t>Taxi ma quái</t>
  </si>
  <si>
    <t>sub: EP01 – SER_FAN_23_2691051
EP02 – SER_FAN_23_2691052
EP03 – SER_FAN_23_2691053
EP04 – SER_FAN_23_2691054
EP05 – SER_FAN_23_2691055
EP06 – SER_FAN_23_2691056
EP07 – SER_FAN_23_2691057
EP08 – SER_FAN_23_2691058
EP09 – SER_FAN_23_2691059
EP10 – SER_FAN_23_2691060
EP11 – SER_FAN_23_2691061
EP12 – SER_FAN_23_2691062
Voice:
EP01 (edited) – SER_FAN_23_2694150
EP02 (edited) – SER_FAN_23_2694151
EP03 (edited) – SER_FAN_23_2694152
EP04 (edited) – SER_FAN_23_2694153
EP05 (edited) – SER_FAN_23_2694154
EP06 (edited) – SER_FAN_23_2694155
EP07 (edited) – SER_FAN_23_2694156
EP08 (edited) – SER_FAN_23_2694157
EP09 (edited) – SER_FAN_23_2694158
EP10 (edited) – SER_FAN_23_2694159
EP11 (edited) – SER_FAN_23_2694160
EP12 (edited) – SER_FAN_23_2694161
EP13 (edited) – SER_FAN_23_2694162
EP14 (edited) – SER_FAN_23_2694163
EP15 (edited) – SER_FAN_23_2694164
EP16 (edited) – SER_FAN_23_2694165
EP17 (edited) – SER_FAN_23_2694166
EP18 (edited) – SER_FAN_23_2694167</t>
  </si>
  <si>
    <t>Luo Yang (Lạc Dương)</t>
  </si>
  <si>
    <t>Exclusive all TV Rights
Non ex SVOD + TVOD</t>
  </si>
  <si>
    <t>99/2023/HDBQ/VSTV-IQIYI</t>
  </si>
  <si>
    <t>Lạc Dương</t>
  </si>
  <si>
    <t>Luo Yang</t>
  </si>
  <si>
    <t>EP01 – SER_COS_22_2667367
EP02 – SER_COS_22_2667368
EP03 – SER_COS_22_2667369
EP04 – SER_COS_22_2667370
EP05 – SER_COS_22_2667371
EP06 – SER_COS_22_2667372
EP07 – SER_COS_22_2667373
EP08 – SER_COS_22_2667374
EP09 – SER_COS_22_2667375
EP10 – SER_COS_22_2667376
EP11 – SER_COS_22_2667377
EP12 – SER_COS_22_2667378
EP13 – SER_COS_22_2667379
EP14 – SER_COS_22_2667380
EP15 – SER_COS_22_2667381
EP16 – SER_COS_22_2667382
EP17 – SER_COS_22_2667383
EP18 – SER_COS_22_2667384
EP19 – SER_COS_22_2667385
EP20 – SER_COS_22_2667386
EP21 – SER_COS_22_2667387
EP22 – SER_COS_22_2667388
EP23 – SER_COS_22_2667389
EP24 – SER_COS_22_2667390
EP25 – SER_COS_22_2667391
EP26 – SER_COS_22_2667392
EP27 – SER_COS_22_2667393
EP28 – SER_COS_22_2667394
EP29 – SER_COS_22_2667395
EP30 – SER_COS_22_2667396
EP31 – SER_COS_22_2667397
EP32 – SER_COS_22_2667398
EP33 – SER_COS_22_2667399
EP34 – SER_COS_22_2667400
EP35 – SER_COS_22_2667401
EP36 – SER_COS_22_2667402
EP37 – SER_COS_22_2667403
EP38 – SER_COS_22_2667404
EP39 – SER_COS_22_2667405</t>
  </si>
  <si>
    <t>Night Has Come</t>
  </si>
  <si>
    <t>Mystery, Thriller</t>
  </si>
  <si>
    <t>/Night Has Come</t>
  </si>
  <si>
    <t>LG U+</t>
  </si>
  <si>
    <t>Màn đêm kinh hoàng</t>
  </si>
  <si>
    <t>Night Has Come — bản Voice
EP01 – SER_THR_23_2710046
EP02 – SER_THR_23_2710047
EP03 – SER_THR_23_2710048
EP04 – SER_THR_23_2710049
EP05 – SER_THR_23_2710050
EP06 – SER_THR_23_2710051
EP07 – SER_THR_23_2710052
EP08 – SER_THR_23_2710053
EP09 – SER_THR_23_2710054
EP10 – SER_THR_23_2710055
EP11 – SER_THR_23_2710056
EP12 – SER_THR_23_2710057
Night Has Come — bản Sub
EP01 – SER_THR_23_2707998
EP02 – SER_THR_23_2707999
EP03 – SER_THR_23_2708000
EP04 – SER_THR_23_2708001
EP05 – SER_THR_23_2708002
EP06 – SER_THR_23_2708003
EP07 – SER_THR_23_2708004
EP08 – SER_THR_23_2708005
EP09 – SER_THR_23_2708006
EP10 – SER_THR_23_2708007
EP11 – SER_THR_23_2708008
EP12 – SER_THR_23_2708009</t>
  </si>
  <si>
    <t>The Wind Blows From Long Xi (Phong khởi Lũng Tây)</t>
  </si>
  <si>
    <t>Exclusive All TV Rights the first 6 months of LP
Non-exclusive with All Catch-up TV Rights; All VOD Rights during LP</t>
  </si>
  <si>
    <t>Action, Adventure</t>
  </si>
  <si>
    <t>Historical, Mystery, Crime, War</t>
  </si>
  <si>
    <t>131/2022/HDBQ/VSTV_TKL</t>
  </si>
  <si>
    <t>Phong khởi Lũng Tây</t>
  </si>
  <si>
    <t>The Wind Blows from Longxi</t>
  </si>
  <si>
    <t>EP01 – SER_HIS_22_2685963
EP02 – SER_HIS_22_2685964
EP03 – SER_HIS_22_2685965
EP04 – SER_HIS_22_2685966
EP05 – SER_HIS_22_2685967
EP06 – SER_HIS_22_2685968
EP07 – SER_HIS_22_2685969
EP08 – SER_HIS_22_2685970
EP09 – SER_HIS_22_2685971
EP10 – SER_HIS_22_2685972
EP11 – SER_HIS_22_2685973
EP12 – SER_HIS_22_2685974
EP13 – SER_HIS_22_2685975
EP14 – SER_HIS_22_2685976
EP15 – SER_HIS_22_2685977
EP16 – SER_HIS_22_2685978
EP17 – SER_HIS_22_2685979
EP18 – SER_HIS_22_2685980
EP19 – SER_HIS_22_2685981
EP20 – SER_HIS_22_2685982
EP21 – SER_HIS_22_2685983
EP22 – SER_HIS_22_2685984
EP23 – SER_HIS_22_2685985
EP24 – SER_HIS_22_2685986</t>
  </si>
  <si>
    <t>The Legend of Shen Li (Dữ phượng hành)</t>
  </si>
  <si>
    <t>Custom, Xianxia, Romance</t>
  </si>
  <si>
    <t>New Classic Media/HDBQ Legend of Shen Li</t>
  </si>
  <si>
    <t>NCM</t>
  </si>
  <si>
    <t>Dữ Phượng Hành</t>
  </si>
  <si>
    <t>Legend of Shen Li</t>
  </si>
  <si>
    <t>the legend of shen li – bản voice
SER_ROM_24_2716199 (VOICE) The Legend of Shen Li, Ep01
SER_ROM_24_2716200 (VOICE) The Legend of Shen Li, Ep02
SER_ROM_24_2716201 (VOICE) The Legend of Shen Li, Ep03
SER_ROM_24_2716202 (VOICE) The Legend of Shen Li, Ep04
SER_ROM_24_2716203 (VOICE) The Legend of Shen Li, Ep05
SER_ROM_24_2716204 (VOICE) The Legend of Shen Li, Ep06
SER_ROM_24_2716205 (VOICE) The Legend of Shen Li, Ep07
SER_ROM_24_2716206 (VOICE) The Legend of Shen Li, Ep08
SER_ROM_24_2716207 (VOICE) The Legend of Shen Li, Ep09
SER_ROM_24_2716208 (VOICE) The Legend of Shen Li, Ep10
SER_ROM_24_2716209 (VOICE) The Legend of Shen Li, Ep11
SER_ROM_24_2716210 (VOICE) The Legend of Shen Li, Ep12
SER_ROM_24_2716211 (VOICE) The Legend of Shen Li, Ep13
SER_ROM_24_2716212 (VOICE) The Legend of Shen Li, Ep14
SER_ROM_24_2716213 (VOICE) The Legend of Shen Li, Ep15
SER_ROM_24_2716214 (VOICE) The Legend of Shen Li, Ep16
SER_ROM_24_2716215 (VOICE) The Legend of Shen Li, Ep17
SER_ROM_24_2716216 (VOICE) The Legend of Shen Li, Ep18
SER_ROM_24_2716217 (VOICE) The Legend of Shen Li, Ep19
SER_ROM_24_2716218 (VOICE) The Legend of Shen Li, Ep20
SER_ROM_24_2716219 (VOICE) The Legend of Shen Li, Ep21
SER_ROM_24_2716220 (VOICE) The Legend of Shen Li, Ep22
SER_ROM_24_2716221 (VOICE) The Legend of Shen Li, Ep23
SER_ROM_24_2716222 (VOICE) The Legend of Shen Li, Ep24
SER_ROM_24_2716223 (VOICE) The Legend of Shen Li, Ep25
SER_ROM_24_2716224 (VOICE) The Legend of Shen Li, Ep26
SER_ROM_24_2716225 (VOICE) The Legend of Shen Li, Ep27
SER_ROM_24_2716226 (VOICE) The Legend of Shen Li, Ep28
SER_ROM_24_2716227 (VOICE) The Legend of Shen Li, Ep29
SER_ROM_24_2716228 (VOICE) The Legend of Shen Li, Ep30
SER_ROM_24_2716229 (VOICE) The Legend of Shen Li, Ep31
SER_ROM_24_2716230 (VOICE) The Legend of Shen Li, Ep32
SER_ROM_24_2716231 (VOICE) The Legend of Shen Li, Ep33
SER_ROM_24_2716232 (VOICE) The Legend of Shen Li, Ep34
SER_ROM_24_2716233 (VOICE) The Legend of Shen Li, Ep35
SER_ROM_24_2716234 (VOICE) The Legend of Shen Li, Ep36
SER_ROM_24_2716235 (VOICE) The Legend of Shen Li, Ep37
SER_ROM_24_2716236 (VOICE) The Legend of Shen Li, Ep38
SER_ROM_24_2716237 (VOICE) The Legend of Shen Li, Ep39
the legend of shen li – bản sub
SER_ROM_24_2713881 The Legend of Shen Li, Ep01
SER_ROM_24_2713882 The Legend of Shen Li, Ep02
SER_ROM_24_2713883 The Legend of Shen Li, Ep03
SER_ROM_24_2713884 The Legend of Shen Li, Ep04
SER_ROM_24_2713885 The Legend of Shen Li, Ep05
SER_ROM_24_2713886 The Legend of Shen Li, Ep06
SER_ROM_24_2713887 The Legend of Shen Li, Ep07
SER_ROM_24_2713888 The Legend of Shen Li, Ep08
SER_ROM_24_2713889 The Legend of Shen Li, Ep09
SER_ROM_24_2713890 The Legend of Shen Li, Ep10
SER_ROM_24_2713891 The Legend of Shen Li, Ep11
SER_ROM_24_2713892 The Legend of Shen Li, Ep12
SER_ROM_24_2713893 The Legend of Shen Li, Ep13
SER_ROM_24_2713894 The Legend of Shen Li, Ep14
SER_ROM_24_2713895 The Legend of Shen Li, Ep15
SER_ROM_24_2713896 The Legend of Shen Li, Ep16
SER_ROM_24_2713897 The Legend of Shen Li, Ep17
SER_ROM_24_2713898 The Legend of Shen Li, Ep18
SER_ROM_24_2713899 The Legend of Shen Li, Ep19
SER_ROM_24_2713900 The Legend of Shen Li, Ep20
SER_ROM_24_2713901 The Legend of Shen Li, Ep21
SER_ROM_24_2713902 The Legend of Shen Li, Ep22
SER_ROM_24_2713903 The Legend of Shen Li, Ep23
SER_ROM_24_2713904 The Legend of Shen Li, Ep24
SER_ROM_24_2713905 The Legend of Shen Li, Ep25
SER_ROM_24_2713906 The Legend of Shen Li, Ep26
SER_ROM_24_2713907 The Legend of Shen Li, Ep27
SER_ROM_24_2713908 The Legend of Shen Li, Ep28
SER_ROM_24_2713909 The Legend of Shen Li, Ep29
SER_ROM_24_2713910 The Legend of Shen Li, Ep30
SER_ROM_24_2713911 The Legend of Shen Li, Ep31
SER_ROM_24_2713912 The Legend of Shen Li, Ep32
SER_ROM_24_2713913 The Legend of Shen Li, Ep33
SER_ROM_24_2713914 The Legend of Shen Li, Ep34
SER_ROM_24_2713915 The Legend of Shen Li, Ep35
SER_ROM_24_2713916 The Legend of Shen Li, Ep36
SER_ROM_24_2713917 The Legend of Shen Li, Ep37
SER_ROM_24_2713918 The Legend of Shen Li, Ep38
SER_ROM_24_2713919 The Legend of Shen Li, Ep39</t>
  </si>
  <si>
    <t>A JOURNEY TO LOVE (Nhất niệm quan sơn)</t>
  </si>
  <si>
    <t>Romance, Wuxia, Drama, Political</t>
  </si>
  <si>
    <t>Linmon Media/ A journey to Love</t>
  </si>
  <si>
    <t>Linmon Media</t>
  </si>
  <si>
    <t>Nhất Niệm Quan Sơn</t>
  </si>
  <si>
    <t>A Journey to Love</t>
  </si>
  <si>
    <t xml:space="preserve">Voice: SER_COS_24_2710320 A Journey to Love, Ep01
SER_COS_24_2710321 A Journey to Love, Ep02
SER_COS_24_2710322 A Journey to Love, Ep03
SER_COS_24_2710323 A Journey to Love, Ep04
SER_COS_24_2710324 A Journey to Love, Ep05
SER_COS_24_2710325 A Journey to Love, Ep06
SER_COS_24_2710326 A Journey to Love, Ep07
SER_COS_24_2710327 A Journey to Love, Ep08
SER_COS_24_2710328 A Journey to Love, Ep09
SER_COS_24_2710329 A Journey to Love, Ep10
SER_COS_24_2710330 A Journey to Love, Ep11
SER_COS_24_2710331 A Journey to Love, Ep12
SER_COS_24_2710332 A Journey to Love, Ep13
SER_COS_24_2710333 A Journey to Love, Ep14
SER_COS_24_2710334 A Journey to Love, Ep15
SER_COS_24_2710335 A Journey to Love, Ep16
SER_COS_24_2710336 A Journey to Love, Ep17
SER_COS_24_2710337 A Journey to Love, Ep18
SER_COS_24_2710338 A Journey to Love, Ep19
SER_COS_24_2710339 A Journey to Love, Ep20
SER_COS_24_2710340 A Journey to Love, Ep21
SER_COS_24_2710341 A Journey to Love, Ep22
SER_COS_24_2710342 A Journey to Love, Ep23
SER_COS_24_2710343 A Journey to Love, Ep24
SER_COS_24_2710344 A Journey to Love, Ep25
SER_COS_24_2710345 A Journey to Love, Ep26
SER_COS_24_2710346 A Journey to Love, Ep27
SER_COS_24_2710347 A Journey to Love, Ep28
SER_COS_24_2710348 A Journey to Love, Ep29
SER_COS_24_2710349 A Journey to Love, Ep30
SER_COS_24_2710350 A Journey to Love, Ep31
SER_COS_24_2710351 A Journey to Love, Ep32
SER_COS_24_2710352 A Journey to Love, Ep33
SER_COS_24_2710353 A Journey to Love, Ep34
SER_COS_24_2710354 A Journey to Love, Ep35
SER_COS_24_2710355 A Journey to Love, Ep36
SER_COS_24_2710356 A Journey to Love, Ep37
SER_COS_24_2710357 A Journey to Love, Ep38
SER_COS_24_2710358 A Journey to Love, Ep39
SER_COS_24_2710359 A Journey to Love, Ep40
sub: SER_COS_23_2709564 (SUB) A Journey to Love, Ep01
SER_COS_23_2709565 (SUB) A Journey to Love, Ep02
SER_COS_23_2709566 (SUB) A Journey to Love, Ep03
SER_COS_23_2709567 (SUB) A Journey to Love, Ep04
SER_COS_23_2709568 (SUB) A Journey to Love, Ep05
SER_COS_23_2709569 (SUB) A Journey to Love, Ep06
SER_COS_23_2709570 (SUB) A Journey to Love, Ep07
SER_COS_23_2709571 (SUB) A Journey to Love, Ep08
SER_COS_23_2709572 (SUB) A Journey to Love, Ep09
SER_COS_23_2709573 (SUB) A Journey to Love, Ep10
SER_COS_23_2709574 (SUB) A Journey to Love, Ep11
SER_COS_23_2709575 (SUB) A Journey to Love, Ep12
SER_COS_23_2709576 (SUB) A Journey to Love, Ep13
SER_COS_23_2709577 (SUB) A Journey to Love, Ep14
SER_COS_23_2709578 (SUB) A Journey to Love, Ep15
SER_COS_23_2709579 (SUB) A Journey to Love, Ep16
SER_COS_23_2709580 (SUB) A Journey to Love, Ep17
SER_COS_23_2709581 (SUB) A Journey to Love, Ep18
SER_COS_23_2709582 (SUB) A Journey to Love, Ep19
SER_COS_23_2709583 (SUB) A Journey to Love, Ep20
SER_COS_23_2709584 (SUB) A Journey to Love, Ep21
SER_COS_23_2709585 (SUB) A Journey to Love, Ep22
SER_COS_23_2709586 (SUB) A Journey to Love, Ep23
SER_COS_23_2709587 (SUB) A Journey to Love, Ep24
SER_COS_23_2709588 (SUB) A Journey to Love, Ep25
SER_COS_23_2709589 (SUB) A Journey to Love, Ep26
SER_COS_23_2709590 (SUB) A Journey to Love, Ep27
SER_COS_23_2709591 (SUB) A Journey to Love, Ep28
SER_COS_23_2709592 (SUB) A Journey to Love, Ep29
SER_COS_23_2709593 (SUB) A Journey to Love, Ep30
SER_COS_23_2709594 (SUB) A Journey to Love, Ep31
SER_COS_23_2709595 (SUB) A Journey to Love, Ep32
SER_COS_23_2709596 (SUB) A Journey to Love, Ep33
SER_COS_23_2709597 (SUB) A Journey to Love, Ep34
SER_COS_23_2709598 (SUB) A Journey to Love, Ep35
SER_COS_23_2709599 (SUB) A Journey to Love, Ep36
SER_COS_23_2709600 (SUB) A Journey to Love, Ep37
SER_COS_23_2709601 (SUB) A Journey to Love, Ep38
SER_COS_23_2709602 (SUB) A Journey to Love, Ep39
SER_COS_23_2709603 (SUB) A Journey to Love, Ep40
</t>
  </si>
  <si>
    <t>All those things we never said - season 1</t>
  </si>
  <si>
    <t>Exclusive all rights</t>
  </si>
  <si>
    <t>Romance Drama</t>
  </si>
  <si>
    <t>Scale_SC+/All those things</t>
  </si>
  <si>
    <t>Mọi Điều Ta Chưa Nói</t>
  </si>
  <si>
    <t>All Those Things We Never Said</t>
  </si>
  <si>
    <t>S01 EP01 – SER_DRA_22_2678186
S01 EP02 – SER_DRA_22_2678187
S01 EP03 – SER_DRA_22_2678188
S01 EP04 – SER_DRA_22_2678189
S01 EP05 – SER_DRA_22_2678190
S01 EP06 – SER_DRA_22_2678191
S01 EP07 – SER_DRA_22_2678192
S01 EP08 – SER_DRA_22_2678193
S01 EP09 – SER_DRA_22_2678194</t>
  </si>
  <si>
    <t>ONLY FOR LOVE (TRÊU NHẦM YÊU THẬT)</t>
  </si>
  <si>
    <t>Huace Media/Only For Love</t>
  </si>
  <si>
    <t>Trêu nhầm yêu thật</t>
  </si>
  <si>
    <t>Only For Love</t>
  </si>
  <si>
    <t>Sub: SER_ROM_23_2706323	(SUB) Only For Love, Ep36
SER_ROM_23_2706322	(SUB) Only For Love, Ep35
SER_ROM_23_2706320	(SUB) Only For Love, Ep33
SER_ROM_23_2706321	(SUB) Only For Love, Ep34
SER_ROM_23_2706318	(SUB) Only For Love, Ep31
SER_ROM_23_2706319	(SUB) Only For Love, Ep32
SER_ROM_23_2706317	(SUB) Only For Love, Ep30
SER_ROM_23_2706314	(SUB) Only For Love, Ep27
SER_ROM_23_2706316	(SUB) Only For Love, Ep29
SER_ROM_23_2706315	(SUB) Only For Love, Ep28
SER_ROM_23_2706313	(SUB) Only For Love, Ep26
SER_ROM_23_2706312	(SUB) Only For Love, Ep25
SER_ROM_23_2706309	(SUB) Only For Love, Ep22
SER_ROM_23_2706310	(SUB) Only For Love, Ep23
SER_ROM_23_2706311	(SUB) Only For Love, Ep24
SER_ROM_23_2706308	(SUB) Only For Love, Ep21
SER_ROM_23_2706307	(SUB) Only For Love, Ep20
SER_ROM_23_2706306	(SUB) Only For Love, Ep19
SER_ROM_23_2706305	(SUB) Only For Love, Ep18
SER_ROM_23_2706304	(SUB) Only For Love, Ep17
SER_ROM_23_2706303	(SUB) Only For Love, Ep16
SER_ROM_23_2706302	(SUB) Only For Love, Ep15
SER_ROM_23_2706301	(SUB) Only For Love, Ep14
SER_ROM_23_2706300	(SUB) Only For Love, Ep13
SER_ROM_23_2706298	(SUB) Only For Love, Ep11
SER_ROM_23_2706299	(SUB) Only For Love, Ep12
SER_ROM_23_2706297	(SUB) Only For Love, Ep10
SER_ROM_23_2706296	(SUB) Only For Love, Ep09
SER_ROM_23_2706295	(SUB) Only For Love, Ep08
SER_ROM_23_2706293	(SUB) Only For Love, Ep06
SER_ROM_23_2706294	(SUB) Only For Love, Ep07
SER_ROM_23_2706292	(SUB) Only For Love, Ep05
SER_ROM_23_2706291	(SUB) Only For Love, Ep04
SER_ROM_23_2706290	(SUB) Only For Love, Ep03
SER_ROM_23_2706289	(SUB) Only For Love, Ep02
SER_ROM_23__2706288	(SUB) Only For Love, Ep01
Voice: 
SER_ROM_23_2707694	Only For Love, Ep34
SER_ROM_23_2707696	Only For Love, Ep36
SER_ROM_23_2707695	Only For Love, Ep35
SER_ROM_23_2707692	Only For Love, Ep32
SER_ROM_23_2707693	Only For Love, Ep33
SER_ROM_23_2707691	Only For Love, Ep31
SER_ROM_23_2707689	Only For Love, Ep29
SER_ROM_23_2707690	Only For Love, Ep30
SER_ROM_23_2707687	Only For Love, Ep27
SER_ROM_23_2707688	Only For Love, Ep28
SER_ROM_23_2707684	Only For Love, Ep24
SER_ROM_23_2707685	Only For Love, Ep25
SER_ROM_23_2707686	Only For Love, Ep26
SER_ROM_23_2707682	Only For Love, Ep22
SER_ROM_23_2707683	Only For Love, Ep23
SER_ROM_23_2707680	Only For Love, Ep20
SER_ROM_23_2707681	Only For Love, Ep21
SER_ROM_23_2707678	Only For Love, Ep18
SER_ROM_23_2707679	Only For Love, Ep19
SER_ROM_23_2707677	Only For Love, Ep17
SER_ROM_23_2707676	Only For Love, Ep16
SER_ROM_23_2707675	Only For Love, Ep15
SER_ROM_23_2707674	Only For Love, Ep14
SER_ROM_23_2707672	Only For Love, Ep12
SER_ROM_23_2707673	Only For Love, Ep13
SER_ROM_23_2707670	Only For Love, Ep10
SER_ROM_23_2707671	Only For Love, Ep11
SER_ROM_23_2707669	Only For Love, Ep09
SER_ROM_23_2707668	Only For Love, Ep08
SER_ROM_23_2707666	Only For Love, Ep06
SER_ROM_23_2707665	Only For Love, Ep05
SER_ROM_23_2707667	Only For Love, Ep07
SER_ROM_23_2707663	Only For Love, Ep03
SER_ROM_23_2707664	Only For Love, Ep04
SER_ROM_23_2707662	Only For Love, Ep02
SER_ROM_23_2707661	Only For Love, Ep01</t>
  </si>
  <si>
    <t>One Day Off</t>
  </si>
  <si>
    <t>Exclusive All TV Rights during LP.
Exclusive All VOD during first year of LP. Non-exclusive All VOD Rights the remaining 3 years of LP</t>
  </si>
  <si>
    <t>Romance, Drama, Travel, Slice-of-life</t>
  </si>
  <si>
    <t>90A/2023/HDBQ/VSTV_Wave</t>
  </si>
  <si>
    <t>wavve</t>
  </si>
  <si>
    <t>Nhật ký lãng du</t>
  </si>
  <si>
    <t>Sub: 
SER_ROM_23_2697871	(Old) One day off, Ep08
SER_ROM_23_2697869	(Old) One day off, Ep06
SER_ROM_23_2697870	(Old) One day off, Ep07
SER_ROM_23_2697868	(Old) One day off, Ep05
SER_ROM_23_2697867	(Old) One day off, Ep04
SER_ROM_23_2697866	(Old) One day off, Ep03
SER_ROM_23_2697865	(Old) One day off, Ep02
SER_ROM_23__2697864	(Old) One day off, Ep01
Voice:
SER_ROM_23_2698231	One day off, Ep07
SER_ROM_23_2698232	One day off, Ep08
SER_ROM_23_2698228	One day off, Ep04
SER_ROM_23_2698229	One day off, Ep05
SER_ROM_23_2698230	One day off, Ep06
SER_ROM_23_2698227	One day off, Ep03
SER_ROM_23_2698226	One day off, Ep02
SER_ROM_23__2698225	One day off, Ep01</t>
  </si>
  <si>
    <t>Reborn Rich (Cậu út nhà tài phiệt)</t>
  </si>
  <si>
    <t>Exclusive All TV Rights the first 9 months of LP
Non-exclusive with All Catch-up TV Rights; All VOD Rights during LP</t>
  </si>
  <si>
    <t>Drama , Fantasy , Revenge</t>
  </si>
  <si>
    <t>55/2023/HDBQ/VSTV_Pro Partner</t>
  </si>
  <si>
    <t>Pro Partner</t>
  </si>
  <si>
    <t>Cậu út nhà tài phiệt</t>
  </si>
  <si>
    <t>Reborn Rich (VIU)</t>
  </si>
  <si>
    <t>EP01 – SER_DRA_22_2686542
EP02 – SER_DRA_22_2686543
EP03 – SER_DRA_22_2686544
EP04 – SER_DRA_22_2691063
EP05 – SER_DRA_22_2686546
EP06 – SER_DRA_22_2686547
EP07 – SER_DRA_22_2686548
EP08 – SER_DRA_22_2686549
EP09 – SER_DRA_22_2686550
EP10 – SER_DRA_22_2691064
EP11 – SER_DRA_22_2686552
EP12 – SER_DRA_22_2691065
EP13 – SER_DRA_22_2686554
EP14 – SER_DRA_22_2686555
EP15 – SER_DRA_22_2686556
EP16 – SER_DRA_22_2686557
EP17 – SER_DRA_22_2686558
EP18 – SER_DRA_22_2686559
EP19 – SER_DRA_22_2686560
EP20 – SER_DRA_22_2686561
EP21 – SER_DRA_22_2686562
EP22 – SER_DRA_22_2686563
EP23 – SER_DRA_22_2686564
EP24 – SER_DRA_22_2686565
EP25 – SER_DRA_22_2686566
EP26 – SER_DRA_22_2686567</t>
  </si>
  <si>
    <t>Nemesis</t>
  </si>
  <si>
    <t>Comedy, Drama, Melodrama</t>
  </si>
  <si>
    <t>Biệt đội mỹ nhân báo thù</t>
  </si>
  <si>
    <t>EP01 – SER_COM_23_2699233
EP02 – SER_COM_23_2699234
EP03 – SER_COM_23_2699235
EP04 – SER_COM_23_2699236
EP05 – SER_COM_23_2699237</t>
  </si>
  <si>
    <t>My Fireworks on Earth/Fireworks of My Heart (Khói lửa nhân gian của tôi)</t>
  </si>
  <si>
    <t>Action, Romance, Medical</t>
  </si>
  <si>
    <t>95/2023/HDBQ/VSTV_Youhug media</t>
  </si>
  <si>
    <t>Khói lửa nhân gian của tôi</t>
  </si>
  <si>
    <t>Fireworks of My Heart</t>
  </si>
  <si>
    <t>Voice:
EP01 – SER_ROM_23_2702541
EP02 – SER_ROM_23_2702542
EP03 – SER_ROM_23_2702543
EP04 – SER_ROM_23_2702544
EP05 – SER_ROM_23_2702545
EP06 – SER_ROM_23_2702546
EP07 – SER_ROM_23_2702547
EP08 – SER_ROM_23_2702548
EP09 – SER_ROM_23_2702549
EP10 – SER_ROM_23_2702550
EP11 – SER_ROM_23_2702551
EP12 – SER_ROM_23_2702552
EP13 – SER_ROM_23_2702553
EP14 – SER_ROM_23_2702554
EP15 – SER_ROM_23_2702555
EP16 – SER_ROM_23_2702556
EP17 – SER_ROM_23_2702557
EP18 – SER_ROM_23_2702558
EP19 – SER_ROM_23_2702559
EP20 – SER_ROM_23_2702560
EP21 – SER_ROM_23_2702561
EP22 – SER_ROM_23_2702562
EP23 – SER_ROM_23_2702563
EP24 – SER_ROM_23_2702564
EP25 – SER_ROM_23_2702565
EP26 – SER_ROM_23_2702566
EP27 – SER_ROM_23_2702567
EP28 – SER_ROM_23_2702568
EP29 – SER_ROM_23_2702569
EP30 – SER_ROM_23_2702570
EP31 – SER_ROM_23_2702571
EP32 – SER_ROM_23_2702572
EP33 – SER_ROM_23_2702573
EP34 – SER_ROM_23_2702574
EP35 – SER_ROM_23_2702575
EP36 – SER_ROM_23_2702576
EP37 – SER_ROM_23_2702577
EP38 – SER_ROM_23_2702578
EP39 – SER_ROM_23_2702579
EP40 – SER_ROM_23_2702580
Sub:
SER_ROM_23_2699474	(SUB) Fireworks of my heart, Ep40
SER_ROM_23_2699473	(SUB) Fireworks of my heart, Ep39
SER_ROM_23_2699472	(SUB) Fireworks of my heart, Ep38
SER_ROM_23_2699471	(SUB) Fireworks of my heart, Ep37
SER_ROM_23_2699468	(SUB) Fireworks of my heart, Ep34
SER_ROM_23_2699470	(SUB) Fireworks of my heart, Ep36
SER_ROM_23_2699469	(SUB) Fireworks of my heart, Ep35
SER_ROM_23_2699466	(SUB) Fireworks of my heart, Ep32
SER_ROM_23_2699467	(SUB) Fireworks of my heart, Ep33
SER_ROM_23_2699464	(SUB) Fireworks of my heart, Ep30
SER_ROM_23_2699463	(SUB) Fireworks of my heart, Ep29
SER_ROM_23_2699465	(SUB) Fireworks of my heart, Ep31
SER_ROM_23_2699461	(SUB) Fireworks of my heart, Ep27
SER_ROM_23_2699462	(SUB) Fireworks of my heart, Ep28
SER_ROM_23_2699460	(SUB) Fireworks of my heart, Ep26
SER_ROM_23_2699459	(SUB) Fireworks of my heart, Ep25
SER_ROM_23_2699458	(SUB) Fireworks of my heart, Ep24
SER_ROM_23_2699455	(SUB) Fireworks of my heart, Ep21
SER_ROM_23_2699457	(SUB) Fireworks of my heart, Ep23
SER_ROM_23_2699456	(SUB) Fireworks of my heart, Ep22
SER_ROM_23_2699453	(SUB) Fireworks of my heart, Ep19
SER_ROM_23_2699454	(SUB) Fireworks of my heart, Ep20
SER_ROM_23_2699451	(SUB) Fireworks of my heart, Ep17
SER_ROM_23_2699452	(SUB) Fireworks of my heart, Ep18
SER_ROM_23_2699450	(SUB) Fireworks of my heart, Ep16
SER_ROM_23_2699449	(SUB) Fireworks of my heart, Ep15
SER_ROM_23_2699448	(SUB) Fireworks of my heart, Ep14
SER_ROM_23_2699446	(SUB) Fireworks of my heart, Ep12
SER_ROM_23_2699447	(SUB) Fireworks of my heart, Ep13
SER_ROM_23_2699445	(SUB) Fireworks of my heart, Ep11
SER_ROM_23_2699444	(SUB) Fireworks of my heart, Ep10
SER_ROM_23_2699443	(SUB) Fireworks of my heart, Ep09
SER_ROM_23_2699441	(SUB) Fireworks of my heart, Ep07
SER_ROM_23_2699442	(SUB) Fireworks of my heart, Ep08
SER_ROM_23_2699440	(SUB) Fireworks of my heart, Ep06
SER_ROM_23_2699439	(SUB) Fireworks of my heart, Ep05
SER_ROM_23_2699438	(SUB) Fireworks of my heart, Ep04
SER_ROM_23_2699437	(SUB) Fireworks of my heart, Ep03
SER_ROM_23_2699436	(SUB) Fireworks of my heart, Ep02
SER_ROM__2699435	(SUB) Fireworks of my heart, Ep01</t>
  </si>
  <si>
    <t>Good Job</t>
  </si>
  <si>
    <t xml:space="preserve">Exclusive All Pay TV Rights and
Non exclusive All VOD during LP </t>
  </si>
  <si>
    <t>Romance, comedy, investigates</t>
  </si>
  <si>
    <t>130/2022/HDBQ/VSTV-KC</t>
  </si>
  <si>
    <t>King Content</t>
  </si>
  <si>
    <t>Đối tác hoàn hảo</t>
  </si>
  <si>
    <t>EP01 – SER_COM_22_2687297
EP02 – SER_COM_22_2687298
EP03 – SER_COM_22_2687299
EP04 – SER_COM_22_2687300
EP05 – SER_COM_22_2687301
EP06 – SER_COM_22_2687359
EP07 – SER_COM_22_2687303
EP08 – SER_COM_22_2687304
EP09 – SER_COM_22_2687305
EP10 – SER_COM_22_2687306
EP11 – SER_COM_22_2687307
EP12 – SER_COM_22_2687308
EP13 – SER_COM_22_2687309
EP14 – SER_COM_22_2687310
EP15 – SER_COM_22_2687311
EP16 – SER_COM_22_2687312
EP17 – SER_COM_22_2687313
EP18 – SER_COM_22_2687314</t>
  </si>
  <si>
    <t>DAY AND NIGHT</t>
  </si>
  <si>
    <t>Exclusive all Pay TV rights; Non exclusive all VOD rights</t>
  </si>
  <si>
    <t>73/2023/HDBQ/VSTV-Youku</t>
  </si>
  <si>
    <t>YouKu</t>
  </si>
  <si>
    <t>Bạch dạ truy hung</t>
  </si>
  <si>
    <t>EP01 – SER_THR_23_2695781
EP02 – SER_THR_23_2695782
EP03 – SER_THR_23_2695783
EP04 – SER_THR_23_2695784
EP05 – SER_THR_23_2695785
EP06 – SER_THR_23_2695786
EP07 – SER_THR_23_2695787
EP08 – SER_THR_23_2695788
EP09 – SER_THR_23_2695789
EP10 – SER_THR_23_2695790
EP11 – SER_THR_23_2695791
EP12 – SER_THR_23_2695792
EP13 – SER_THR_23_2695793
EP14 – SER_THR_23_2695794
EP15 – SER_THR_23_2695795
EP16 – SER_THR_23_2695796
EP17 – SER_THR_23_2695797
EP18 – SER_THR_23_2695798
EP19 – SER_THR_23_2695799
EP20 – SER_THR_23_2695800
EP21 – SER_THR_23_2695801
EP22 – SER_THR_23_2695802
EP23 – SER_THR_23_2695803
EP24 – SER_THR_23_2695804
EP25 – SER_THR_23_2695805
EP26 – SER_THR_23_2695806
EP27 – SER_THR_23_2695807
EP28 – SER_THR_23_2695808
EP29 – SER_THR_23_2695809
EP30 – SER_THR_23_2695810
EP31 – SER_THR_23_2695811
EP32 – SER_THR_23_2695812</t>
  </si>
  <si>
    <t>Durian’s Affair</t>
  </si>
  <si>
    <t>Fantasy/ Melodrama/ Time Travel</t>
  </si>
  <si>
    <t>90A/2023/HDBQ/VSTV_Lian Contents</t>
  </si>
  <si>
    <t>LIAN Contents</t>
  </si>
  <si>
    <t>Phu nhân Du Ri An</t>
  </si>
  <si>
    <t>Durian's Affair</t>
  </si>
  <si>
    <t>Voice:
EP01 – SER_FAN_23_2702437
EP02 – SER_FAN_23_2702438
EP03 – SER_FAN_23_2702439
EP04 – SER_FAN_23_2702440
EP05 – SER_FAN_23_2702441
EP06 – SER_FAN_23_2702442
EP07 – SER_FAN_23_2702443
EP08 – SER_FAN_23_2702444
EP09 – SER_FAN_23_2702445
EP10 – SER_FAN_23_2702446
EP11 – SER_FAN_23_2702447
EP12 – SER_FAN_23_2702448
EP13 – SER_FAN_23_2702449
EP14 – SER_FAN_23_2702450
EP15 – SER_FAN_23_2702451
EP16 – SER_FAN_23_2702452
EP17 – SER_FAN_23_2702453
EP18 – SER_FAN_23_2702454
EP19 – SER_FAN_23_2702455
EP20 – SER_FAN_23_2702456
EP21 – SER_FAN_23_2702457
EP22 – SER_FAN_23_2702458
EP23 – SER_FAN_23_2702459
EP24 – SER_FAN_23_2702460
EP25 – SER_FAN_23_2702461
Sub: SER_FAN_23_2699038	(KHÔNG DÙNG) Durian's Affair, Ep16
SER_FAN_23_2699037	(KHÔNG DÙNG) Durian's Affair, Ep15
SER_FAN_23_2699034	(KHÔNG DÙNG) Durian's Affair, Ep12
SER_FAN_23_2699035	(KHÔNG DÙNG) Durian's Affair, Ep13
SER_FAN_23_2699036	(KHÔNG DÙNG) Durian's Affair, Ep14
SER_FAN_23_2699032	(KHÔNG DÙNG) Durian's Affair, Ep10
SER_FAN_23_2699033	(KHÔNG DÙNG) Durian's Affair, Ep11
SER_FAN_23_2699030	(KHÔNG DÙNG) Durian's Affair, Ep08
SER_FAN_23_2699029	(KHÔNG DÙNG) Durian's Affair, Ep07
SER_FAN_23_2699026	(KHÔNG DÙNG) Durian's Affair, Ep04
SER_FAN_23_2699027	(KHÔNG DÙNG) Durian's Affair, Ep05
SER_FAN_23_2699028	(KHÔNG DÙNG) Durian's Affair, Ep06
SER_FAN_23_2699025	(KHÔNG DÙNG) Durian's Affair, Ep03
SER_FAN_23_2699024	(KHÔNG DÙNG) Durian's Affair, Ep02
SER_FAN_23__2699023	(KHÔNG DÙNG) Durian's Affair, Ep01</t>
  </si>
  <si>
    <t>The Secret Romantic Guesthouse</t>
  </si>
  <si>
    <t>Exclusive All TV Rights during LP and Exclusive All VOD rights for first 3 months</t>
  </si>
  <si>
    <t>Quán trọ tình yêu</t>
  </si>
  <si>
    <t>Voice:
EP01 – SER_ROM_2693823
EP02 – SER_ROM_2693829
EP03 – SER_ROM_2693830
EP04 – SER_ROM_2693831
EP05 – SER_ROM_2693832
EP06 – SER_ROM_2693833
EP07 – SER_ROM_2693834
EP08 – SER_ROM_2693835
EP09 – SER_ROM_2693836
EP10 – SER_ROM_2693837
EP11 – SER_ROM_2693838
EP12 – SER_ROM_2693839
EP13 – SER_ROM_2693840
EP14 – SER_ROM_2693841
EP15 – SER_ROM_2693842
EP16 – SER_ROM_2693843
EP17 – SER_ROM_2693844
EP18 – SER_ROM_2693845
EP19 – SER_ROM_2693846
EP20 – SER_ROM_2693847
EP21 – SER_ROM_2693848
EP22 – SER_ROM_2693849
EP23 – SER_ROM_2693850
EP24 – SER_ROM_2693851
EP25 – SER_ROM_2693852
EP26 – SER_ROM_2693853
EP27 – SER_ROM_2693854
Sub: SER_ROM_23_2693392	The secret romantic guesthouse, Ep18
SER_ROM_23_2693391	The secret romantic guesthouse, Ep17
SER_ROM_23_2693390	The secret romantic guesthouse, Ep16
SER_ROM_23_2693388	The secret romantic guesthouse, Ep14
SER_ROM_23_2693389	The secret romantic guesthouse, Ep15
SER_ROM_23_2693387	The secret romantic guesthouse, Ep13
SER_ROM_23_2693386	The secret romantic guesthouse, Ep12
SER_ROM_23_2693383	The secret romantic guesthouse, Ep09
SER_ROM_23_2693385	The secret romantic guesthouse, Ep11
SER_ROM_23_2693384	The secret romantic guesthouse, Ep10
SER_ROM_23_2693381	The secret romantic guesthouse, Ep07
SER_ROM_23_2693382	The secret romantic guesthouse, Ep08
SER_ROM_23_2693380	The secret romantic guesthouse, Ep06
SER_ROM_23_2693379	The secret romantic guesthouse, Ep05
SER_ROM_23_2693377	The secret romantic guesthouse, Ep03
SER_ROM_23_2693378	The secret romantic guesthouse, Ep04
SER_ROM_23_2693376	The secret romantic guesthouse, Ep02
SER_ROM_23__2693375	The secret romantic guesthouse, Ep01</t>
  </si>
  <si>
    <t>Greatness Ordinary</t>
  </si>
  <si>
    <t>Exclusive all Pay TV rights; Non exclusive SVOD + TVOD rights</t>
  </si>
  <si>
    <t>Drama, Youth, Action</t>
  </si>
  <si>
    <t>46/2023/HDBQ/VSTV-IQIYI</t>
  </si>
  <si>
    <t>Cảnh sát vinh dự</t>
  </si>
  <si>
    <t>Ordinary Greatness</t>
  </si>
  <si>
    <t>EP01 – SER_DRA_2693039
EP02 – SER_DRA_2693040
EP03 – SER_DRA_2693041
EP04 – SER_DRA_2693042
EP05 – SER_DRA_2693043
EP06 – SER_DRA_2693044
EP07 – SER_DRA_2693045
EP08 – SER_DRA_2693046
EP09 – SER_DRA_2693047
EP10 – SER_DRA_2693048
EP11 – SER_DRA_2693049
EP12 – SER_DRA_2693050
EP13 – SER_DRA_2693051
EP14 – SER_DRA_2693052
EP15 – SER_DRA_2693053
EP16 – SER_DRA_2693054
EP17 – SER_DRA_2693055
EP18 – SER_DRA_2693056
EP19 – SER_DRA_2693057
EP20 – SER_DRA_2693058
EP21 – SER_DRA_2693059
EP22 – SER_DRA_2693060
EP23 – SER_DRA_2693061
EP24 – SER_DRA_2693062
EP25 – SER_DRA_2693063
EP26 – SER_DRA_2693064
EP27 – SER_DRA_2693065
EP28 – SER_DRA_2693066
EP29 – SER_DRA_2693067
EP30 – SER_DRA_2693068
EP31 – SER_DRA_2693069
EP32 – SER_DRA_2693070
EP33 – SER_DRA_2693071
EP34 – SER_DRA_2693072
EP35 – SER_DRA_2693073
EP36 – SER_DRA_2693074
EP37 – SER_DRA_2693075
EP38 – SER_DRA_2693076</t>
  </si>
  <si>
    <t>King of tears - Lee Bangwon</t>
  </si>
  <si>
    <t>Vương quyền đẫm máu</t>
  </si>
  <si>
    <t>King of tears – Lee Bangwon</t>
  </si>
  <si>
    <t>EP01 – SER_HIS_2688539
EP02 – SER_HIS_2688540
EP03 – SER_HIS_2688541
EP04 – SER_HIS_2688542
EP05 – SER_HIS_2688543
EP06 – SER_HIS_2688544
EP07 – SER_HIS_2688545
EP08 – SER_HIS_2688546
EP09 – SER_HIS_2688547
EP10 – SER_HIS_2688548
EP11 – SER_HIS_2688549
EP12 – SER_HIS_2688550
EP13 – SER_HIS_2688551
EP14 – SER_HIS_2688552
EP15 – SER_HIS_2688553
EP16 – SER_HIS_2688554
EP17 – SER_HIS_2688555
EP18 – SER_HIS_2688556
EP19 – SER_HIS_2688557
EP20 – SER_HIS_2688558
EP21 – SER_HIS_2688559
EP22 – SER_HIS_2688560
EP23 – SER_HIS_2688561
EP24 – SER_HIS_2688562
EP25 – SER_HIS_2688563
EP26 – SER_HIS_2688564
EP27 – SER_HIS_2688565
EP28 – SER_HIS_2688566
EP29 – SER_HIS_2688567
EP30 – SER_HIS_2688568
EP31 – SER_HIS_2689763
EP32 – SER_HIS_2688570</t>
  </si>
  <si>
    <t>Mother To Be</t>
  </si>
  <si>
    <t>Romance x Drama x Family</t>
  </si>
  <si>
    <t>IX Media/Mother to be</t>
  </si>
  <si>
    <t>IX Media</t>
  </si>
  <si>
    <t>Hành trang làm mẹ</t>
  </si>
  <si>
    <t>EP01 – SER_DRA_21_2646178
EP02 – SER_DRA_21_1615510795318_2646179
EP03 – SER_DRA_21_1615510795319_2646180
EP04 – SER_DRA_21_1615510795320_2646181
EP05 – SER_DRA_21_1615510795321_2646182
EP06 – SER_DRA_21_1615510795322_2646183
EP07 – SER_DRA_21_1615510795323_2646184
EP08 – SER_DRA_21_1615510795324_2646185
EP09 – SER_DRA_21_1615510795325_2646186
EP10 – SER_DRA_21_1615510795326_2646187
EP11 – SER_DRA_21_1615510795327_2646188
EP12 – SER_DRA_21_1615510795328_2646189
EP13 – SER_DRA_21_1615510795329_2646190
EP14 – SER_DRA_21_2647854
EP15 – SER_DRA_21_1615510795331_2646192
EP16 – SER_DRA_21_1615510795332_2646193
EP17 – SER_DRA_21_1615510795333_2646194
EP18 – SER_DRA_21_1615510795334_2646195
EP19 – SER_DRA_21_1615510795335_2646196
EP20 – SER_DRA_21_1615510795336_2646197
EP21 – SER_DRA_21_1615510795337_2646198
EP22 – SER_DRA_21_1615510795338_2646199
EP23 – SER_DRA_21_1615510795339_2646200</t>
  </si>
  <si>
    <t>LOVE IS TRUE</t>
  </si>
  <si>
    <t xml:space="preserve">Exclusive All TV Rights and All VOD Rights during LP </t>
  </si>
  <si>
    <t>Drama, Romance</t>
  </si>
  <si>
    <t>IX Media/Love is True</t>
  </si>
  <si>
    <t>Hangzhou IX Media</t>
  </si>
  <si>
    <t>THẬT LÒNG YÊU EM</t>
  </si>
  <si>
    <t>Voice:
EP01 – SER_DRA_2656765
EP02 – SER_DRA_2656766
EP03 – SER_DRA_2656767
EP04 – SER_DRA_2656768
EP05 – SER_DRA_2656769
EP06 – SER_DRA_2656770
EP07 – SER_DRA_2656771
EP08 – SER_DRA_2656772
EP09 – SER_DRA_2656773
EP10 – SER_DRA_2656774
EP11 – SER_DRA_2656775
EP12 – SER_DRA_2656776
EP13 – SER_DRA_2656777
EP14 – SER_DRA_2656778
EP15 – SER_DRA_2656779
EP16 – SER_DRA_2656780
EP17 – SER_DRA_2656781
EP18 – SER_DRA_2656782
EP19 – SER_DRA_2656783
EP20 – SER_DRA_2656784
EP21 – SER_DRA_2656785
EP22 – SER_DRA_2656786
EP23 – SER_DRA_2656787
EP24 – SER_DRA_2656788
EP25 – SER_DRA_2656789
EP26 – SER_DRA_2656790
EP27 – SER_DRA_2656791
EP28 – SER_DRA_2656792
EP29 – SER_DRA_2656793
EP30 – SER_DRA_2656794
EP31 – SER_DRA_2656795
EP32 – SER_DRA_2656796
EP33 – SER_DRA_2656797
EP34 – SER_DRA_2656798
EP35 – SER_DRA_2656799
EP36 – SER_DRA_2656800
EP37 – SER_DRA_2656801
EP38 – SER_DRA_2656802
EP39 – SER_DRA_2656803
EP40 – SER_DRA_2656804
Sub: SER_DRA_21_2652587	LOVE IS TRUE, EP40 (VOD)
SER_DRA_21_2652586	LOVE IS TRUE, EP39 (VOD)
SER_DRA_21_2652585	LOVE IS TRUE, EP38 (VOD)
SER_DRA_21_2652584	LOVE IS TRUE, EP37 (VOD)
SER_DRA_21_2652581	LOVE IS TRUE, EP34 (VOD)
SER_DRA_21_2652583	LOVE IS TRUE, EP36 (VOD)
SER_DRA_21_2652582	LOVE IS TRUE, EP35 (VOD)
SER_DRA_21_2652580	LOVE IS TRUE, EP33 (VOD)
SER_DRA_21_2652579	LOVE IS TRUE, EP32 (VOD)
SER_DRA_21_2652578	LOVE IS TRUE, EP31 (VOD)
SER_DRA_21_2652577	LOVE IS TRUE, EP30 (VOD)
SER_DRA_21_2652576	LOVE IS TRUE, EP29 (VOD)
SER_DRA_21_2652575	LOVE IS TRUE, EP28 (VOD)
SER_DRA_21_2652574	LOVE IS TRUE, EP27 (VOD)
SER_DRA_21_2652572	LOVE IS TRUE, EP25 (VOD)
SER_DRA_21_2652573	LOVE IS TRUE, EP26 (VOD)
SER_DRA_21_2652571	LOVE IS TRUE, EP24 (VOD)
SER_DRA_21_2652569	LOVE IS TRUE, EP22 (VOD)
SER_DRA_21_2652570	LOVE IS TRUE, EP23 (VOD)
SER_DRA_21_2652568	LOVE IS TRUE, EP21 (VOD)
SER_DRA_21_2652567	LOVE IS TRUE, EP20 (VOD)
SER_DRA_21_2652565	LOVE IS TRUE, EP18 (VOD)
SER_DRA_21_2652566	LOVE IS TRUE, EP19 (VOD)
SER_DRA_21_2652564	LOVE IS TRUE, EP17 (VOD)
SER_DRA_21_2652563	LOVE IS TRUE, EP16 (VOD)
SER_DRA_21_2652562	LOVE IS TRUE, EP15 (VOD)
SER_DRA_21_2652561	LOVE IS TRUE, EP14 (VOD)
SER_DRA_21_2652560	LOVE IS TRUE, EP13 (VOD)
SER_DRA_21_2652558	LOVE IS TRUE, EP11 (VOD)
SER_DRA_21_2652559	LOVE IS TRUE, EP12 (VOD)
SER_DRA_21_2652557	LOVE IS TRUE, EP10 (VOD)
SER_DRA_21_2652555	LOVE IS TRUE, EP08 (VOD)
SER_DRA_21_2652556	LOVE IS TRUE, EP09 (VOD)
SER_DRA_21_2652554	LOVE IS TRUE, EP07 (VOD)
SER_DRA_21_2652553	LOVE IS TRUE, EP06 (VOD)
SER_DRA_21_2652551	LOVE IS TRUE, EP04 (VOD)
SER_DRA_21_2652552	LOVE IS TRUE, EP05 (VOD)
SER_DRA_21_2652550	LOVE IS TRUE, EP03 (VOD)
SER_DRA_21_2652549	LOVE IS TRUE, EP02 (VOD)
SER_DRA__2652548	LOVE IS TRUE, EP01 (VOD)</t>
  </si>
  <si>
    <t>Day And Date</t>
  </si>
  <si>
    <t>Last broadcast date</t>
  </si>
  <si>
    <t>Broadcasted runs</t>
  </si>
  <si>
    <t>To (DTH)</t>
  </si>
  <si>
    <t>From (DTH)</t>
  </si>
  <si>
    <t>Main Genre</t>
  </si>
  <si>
    <t>No. of eps (after Cut)</t>
  </si>
  <si>
    <t>INFINITE</t>
  </si>
  <si>
    <t>1009675/DM-38696/DM-39285</t>
  </si>
  <si>
    <t>Paramount</t>
  </si>
  <si>
    <t>Ký ức vô tận</t>
  </si>
  <si>
    <t>MOV_SCI26</t>
  </si>
  <si>
    <t>SNAKE EYES: G.I. JOE ORIGINS</t>
  </si>
  <si>
    <t>Action/Adventure</t>
  </si>
  <si>
    <t>G. I. Joe: Xà nhãn báo thù</t>
  </si>
  <si>
    <t>MOV_ACT625</t>
  </si>
  <si>
    <t>Man on The Edge</t>
  </si>
  <si>
    <t>9/2025/HDBQVSTV-Iqiyi</t>
  </si>
  <si>
    <t>Biên duyên hành giả</t>
  </si>
  <si>
    <t>MOV_ACT615</t>
  </si>
  <si>
    <t>ANGRY BIRDS MOVIE, THE</t>
  </si>
  <si>
    <t>Finland</t>
  </si>
  <si>
    <t>Sony/K+Vietnam PayBasic SVOD Package Agmt D3A FE (Feb-5-24)</t>
  </si>
  <si>
    <t>SONY</t>
  </si>
  <si>
    <t>animation</t>
  </si>
  <si>
    <t xml:space="preserve">Những chú chim giận dữ </t>
  </si>
  <si>
    <t>MOV_ANI_23__2690720</t>
  </si>
  <si>
    <t>n/a</t>
  </si>
  <si>
    <t>LEAGUE OF GODS</t>
  </si>
  <si>
    <t>Phong thần bảng</t>
  </si>
  <si>
    <t>MOV_FAN30</t>
  </si>
  <si>
    <t>SECRET HEADQUARTERS</t>
  </si>
  <si>
    <t>Căn cứ bí mật</t>
  </si>
  <si>
    <t>MOV_SCI24</t>
  </si>
  <si>
    <t>PROJECT ALMANAC</t>
  </si>
  <si>
    <t>Science Fiction</t>
  </si>
  <si>
    <t>Du hành quá khứ</t>
  </si>
  <si>
    <t>MOV_SCI23</t>
  </si>
  <si>
    <t>MISSION: IMPOSSIBLE - FALLOUT</t>
  </si>
  <si>
    <t>Nhiệm vụ bất khả thi: Sụp đổ</t>
  </si>
  <si>
    <t>MOV_ACT624</t>
  </si>
  <si>
    <t>MEET THE FOCKERS</t>
  </si>
  <si>
    <t>Comedy,Drama</t>
  </si>
  <si>
    <t>Gặp gỡ thông gia</t>
  </si>
  <si>
    <t>MOV_COM303</t>
  </si>
  <si>
    <t>LOST CITY, THE</t>
  </si>
  <si>
    <t>Thành phố mất tích</t>
  </si>
  <si>
    <t>MOV_ADV54</t>
  </si>
  <si>
    <t>LITTLE FOCKERS</t>
  </si>
  <si>
    <t>Gặp gỡ thông gia: Nhóc Fockers</t>
  </si>
  <si>
    <t>MOV_COM302</t>
  </si>
  <si>
    <t>CONFESS, FLETCH</t>
  </si>
  <si>
    <t>1009675/DM-38696/DM-39286</t>
  </si>
  <si>
    <t>Thú tội đi, Fletch</t>
  </si>
  <si>
    <t>MOV_CRI118</t>
  </si>
  <si>
    <t>ANNIHILATION</t>
  </si>
  <si>
    <t>Drama,Science Fiction</t>
  </si>
  <si>
    <t>VÙNG HỦY DIỆT</t>
  </si>
  <si>
    <t>MOV_SCI22</t>
  </si>
  <si>
    <t>SUPER 8</t>
  </si>
  <si>
    <t>Quái vật vũ trụ</t>
  </si>
  <si>
    <t>MOV_SCI25</t>
  </si>
  <si>
    <t>TEENAGE MUTANT NINJA TURTLES: OUT OF THE SHADOWS</t>
  </si>
  <si>
    <t>Action/Adventure,Animation</t>
  </si>
  <si>
    <t>Ninja Rùa: Đập tan bóng tối</t>
  </si>
  <si>
    <t>MOV_ACT619</t>
  </si>
  <si>
    <t>TEENAGE MUTANT NINJA TURTLES (2014)</t>
  </si>
  <si>
    <t>Ninja Rùa: Hỗn loạn tuổi dậy thì</t>
  </si>
  <si>
    <t>MOV_ACT618</t>
  </si>
  <si>
    <t>QUIET PLACE, A</t>
  </si>
  <si>
    <t>Vùng đất câm lặng</t>
  </si>
  <si>
    <t>MOV_HOR74</t>
  </si>
  <si>
    <t>SHE'S OUT OF MY LEAGUE (2010)</t>
  </si>
  <si>
    <t>Đũa mốc chòi mâm son</t>
  </si>
  <si>
    <t>SHE'S OUT OF MY LEAGUE</t>
  </si>
  <si>
    <t>MOV_COM301</t>
  </si>
  <si>
    <t>LOVE IN TAIPEI</t>
  </si>
  <si>
    <t>Tình yêu ở Đài Bắc</t>
  </si>
  <si>
    <t>MOV_COM298</t>
  </si>
  <si>
    <t>GAMBLER (2014), THE</t>
  </si>
  <si>
    <t>Giáo sư cờ bạc</t>
  </si>
  <si>
    <t>MOV_CRI115</t>
  </si>
  <si>
    <t>BEASTLY</t>
  </si>
  <si>
    <t>Ma thuật tình yêu</t>
  </si>
  <si>
    <t>MOV_FAN28</t>
  </si>
  <si>
    <t>BABYLON</t>
  </si>
  <si>
    <t>MOV_DRA759</t>
  </si>
  <si>
    <t>FORREST GUMP</t>
  </si>
  <si>
    <t>MOV_DRA756</t>
  </si>
  <si>
    <t>MAFIA MAMMA</t>
  </si>
  <si>
    <t>5051370-3/166015-3</t>
  </si>
  <si>
    <t>Comedy/Action</t>
  </si>
  <si>
    <t>Bà Trùm Mafia</t>
  </si>
  <si>
    <t>MOV_ACT626</t>
  </si>
  <si>
    <t>NEIGHBORS</t>
  </si>
  <si>
    <t> Comedy/Drama </t>
  </si>
  <si>
    <t>Hàng xóm ôn dịch</t>
  </si>
  <si>
    <t>MOV_COM307</t>
  </si>
  <si>
    <t>GENIE</t>
  </si>
  <si>
    <t>Thần đèn</t>
  </si>
  <si>
    <t>MOV_COM306</t>
  </si>
  <si>
    <t>TICKET TO PARADISE</t>
  </si>
  <si>
    <t>Comedy/Romance</t>
  </si>
  <si>
    <t>Tấm vé đến thiên đường</t>
  </si>
  <si>
    <t>MOV_COM305</t>
  </si>
  <si>
    <t>PUSS IN BOOTS: THE LAST WISH</t>
  </si>
  <si>
    <t>Animated; Comedy; Family Oriented</t>
  </si>
  <si>
    <t>Mèo đi hia: Điều ước cuối cùng</t>
  </si>
  <si>
    <t>MOV_ANI92</t>
  </si>
  <si>
    <t>TRAINWRECK</t>
  </si>
  <si>
    <t>Buông thả</t>
  </si>
  <si>
    <t>MOV_COM304</t>
  </si>
  <si>
    <t>NOPE</t>
  </si>
  <si>
    <t>Horror/Sci-fi</t>
  </si>
  <si>
    <t>KHÔNG</t>
  </si>
  <si>
    <t>MOV_HOR78</t>
  </si>
  <si>
    <t>SHE SAID</t>
  </si>
  <si>
    <t> Drama/History</t>
  </si>
  <si>
    <t>Lời khai chấn động</t>
  </si>
  <si>
    <t>MOV_CRI117</t>
  </si>
  <si>
    <t>BOOK CLUB: THE NEXT CHAPTER</t>
  </si>
  <si>
    <t xml:space="preserve">Comedy/Romance </t>
  </si>
  <si>
    <t>Hội đọc sách: Chương kế tiếp</t>
  </si>
  <si>
    <t>MOV_ROM102</t>
  </si>
  <si>
    <t>OLD</t>
  </si>
  <si>
    <t>Horror/Mystery</t>
  </si>
  <si>
    <t>Già</t>
  </si>
  <si>
    <t>MOV_HOR77</t>
  </si>
  <si>
    <t>SISTERS</t>
  </si>
  <si>
    <t>Chị em rắc rối</t>
  </si>
  <si>
    <t>MOV_COM300</t>
  </si>
  <si>
    <t>VIOLENT NIGHT</t>
  </si>
  <si>
    <t>Action/Comedy</t>
  </si>
  <si>
    <t>Đêm Kinh Hoàng</t>
  </si>
  <si>
    <t>MOV_ACT627</t>
  </si>
  <si>
    <t>FAST X</t>
  </si>
  <si>
    <t xml:space="preserve">Action/Crime </t>
  </si>
  <si>
    <t>Quá nhanh quá nguy hiểm 10</t>
  </si>
  <si>
    <t>MOV_ACT623</t>
  </si>
  <si>
    <t>OUTFIT, THE</t>
  </si>
  <si>
    <t>US/UK</t>
  </si>
  <si>
    <t>Thriller/Crime</t>
  </si>
  <si>
    <t>Thợ may</t>
  </si>
  <si>
    <t>MOV_CRI116</t>
  </si>
  <si>
    <t>CENTRAL INTELLIGENCE</t>
  </si>
  <si>
    <t>Điệp viên không hoàn hảo</t>
  </si>
  <si>
    <t>MOV_ACT622</t>
  </si>
  <si>
    <t>UNBROKEN</t>
  </si>
  <si>
    <t>War/Action</t>
  </si>
  <si>
    <t>Không khuất phục</t>
  </si>
  <si>
    <t>MOV_WAR4</t>
  </si>
  <si>
    <t>BEAST (2022)</t>
  </si>
  <si>
    <t>Horror/Action</t>
  </si>
  <si>
    <t>Quái vật đảo Jersey</t>
  </si>
  <si>
    <t>MOV_ACT617</t>
  </si>
  <si>
    <t>SUPER MARIO BROS. MOVIE, THE</t>
  </si>
  <si>
    <t>Anh em Super Mario</t>
  </si>
  <si>
    <t>MOV_KID9</t>
  </si>
  <si>
    <t>BLOCKERS</t>
  </si>
  <si>
    <t>Comedy/Drama</t>
  </si>
  <si>
    <t>Kỳ đà cản mũi</t>
  </si>
  <si>
    <t>MOV_COM297</t>
  </si>
  <si>
    <t>MADAGASCAR: ESCAPE 2 AFRICA</t>
  </si>
  <si>
    <t>Madagascar 2: Tẩu thoát đến Châu Phi</t>
  </si>
  <si>
    <t>MOV_ANI89</t>
  </si>
  <si>
    <t>U.S.A.[excluding Territories &amp; Possessions]</t>
  </si>
  <si>
    <t>MOV_ACT620</t>
  </si>
  <si>
    <t>ANGRY BIRDS MOVIE 2, THE</t>
  </si>
  <si>
    <t>Những chú chim giận dữ 2</t>
  </si>
  <si>
    <t>MOV_ANI91</t>
  </si>
  <si>
    <t>ESCAPE ROOM: TOURNAMENT OF CHAMPIONS</t>
  </si>
  <si>
    <t>Căn phòng tử thần: Cái chết trở lại</t>
  </si>
  <si>
    <t>MOV_HOR76</t>
  </si>
  <si>
    <t>ESCAPE ROOM (2019)</t>
  </si>
  <si>
    <t>Căn phòng tử thần</t>
  </si>
  <si>
    <t>MOV_HOR75</t>
  </si>
  <si>
    <t>DA VINCI CODE, THE</t>
  </si>
  <si>
    <t>Mật mã Da Vinci</t>
  </si>
  <si>
    <t>MOV_ACT621</t>
  </si>
  <si>
    <t>ARE YOU THERE GOD? IT'S ME, MARGARET (2023)</t>
  </si>
  <si>
    <t>Chúa có ở đó không? Tôi là Margaret</t>
  </si>
  <si>
    <t>MOV_DRA760</t>
  </si>
  <si>
    <t>BAD TEACHER (2011)</t>
  </si>
  <si>
    <t>Cô giáo lắm chiêu</t>
  </si>
  <si>
    <t>MOV_COM299</t>
  </si>
  <si>
    <t>GROWN UPS 2</t>
  </si>
  <si>
    <t>Những đứa trẻ to xác 2</t>
  </si>
  <si>
    <t>MOV_COM296</t>
  </si>
  <si>
    <t>PETER RABBIT (2018)</t>
  </si>
  <si>
    <t>Thỏ Peter</t>
  </si>
  <si>
    <t>MOV_ANI88</t>
  </si>
  <si>
    <t>DON'T BREATHE 2</t>
  </si>
  <si>
    <t>Sát nhân trong bóng tối</t>
  </si>
  <si>
    <t>MOV_ACT616</t>
  </si>
  <si>
    <t>SPIDER-MAN: NO WAY HOME</t>
  </si>
  <si>
    <t>Người nhện: Không còn nhà</t>
  </si>
  <si>
    <t>MOV_ACT614</t>
  </si>
  <si>
    <t>SPIDER-MAN 3 (2007)</t>
  </si>
  <si>
    <t>Người nhện 3</t>
  </si>
  <si>
    <t>MOV_ACT613</t>
  </si>
  <si>
    <t>SPIDER-MAN (2002)</t>
  </si>
  <si>
    <t>Người nhện</t>
  </si>
  <si>
    <t>MOV_ACT612</t>
  </si>
  <si>
    <t>THE GOOD HOUSE</t>
  </si>
  <si>
    <t xml:space="preserve">Unlimited </t>
  </si>
  <si>
    <t>15/2025/HDBQ/VSTV-CJHK</t>
  </si>
  <si>
    <t>CJ HK</t>
  </si>
  <si>
    <t>Ngôi nhà tốt lành</t>
  </si>
  <si>
    <t>MOV_COM295</t>
  </si>
  <si>
    <t>Little Eggs: A Frozen Rescue</t>
  </si>
  <si>
    <t>Mexico</t>
  </si>
  <si>
    <t>Bố gà siêu đỉnh: Trận chiến trên băng</t>
  </si>
  <si>
    <t>MOV_ANI85</t>
  </si>
  <si>
    <t>A DOG'S JOURNEY</t>
  </si>
  <si>
    <t>Hành trình của một chú chó</t>
  </si>
  <si>
    <t>MOV_DRA755</t>
  </si>
  <si>
    <t>Murder In The Lens</t>
  </si>
  <si>
    <t>10/2025/HDBQ/VSTV-Mockingbird</t>
  </si>
  <si>
    <t xml:space="preserve">Mocking Bird </t>
  </si>
  <si>
    <t>Ống kính sát nhân</t>
  </si>
  <si>
    <t>MOV_DRA758</t>
  </si>
  <si>
    <t>Gretel and Hansel</t>
  </si>
  <si>
    <t>4/2025/HDBQ/VSTV-RM</t>
  </si>
  <si>
    <t>Rose</t>
  </si>
  <si>
    <t xml:space="preserve">Gretel và Hansel </t>
  </si>
  <si>
    <t>MOV_FAN29</t>
  </si>
  <si>
    <t>The Asset/The Protégé</t>
  </si>
  <si>
    <t xml:space="preserve">Action </t>
  </si>
  <si>
    <t>Nữ sát thủ báo thù</t>
  </si>
  <si>
    <t>The Asset/ The Protégé</t>
  </si>
  <si>
    <t>MOV_ACT599</t>
  </si>
  <si>
    <t>HI, MOM</t>
  </si>
  <si>
    <t>134/2024/HDBQ/VSTV-STK</t>
  </si>
  <si>
    <t>STK</t>
  </si>
  <si>
    <t xml:space="preserve">Comedy/Drama </t>
  </si>
  <si>
    <t>Xin chào, Lý Hoán Anh</t>
  </si>
  <si>
    <t>HI，MOM</t>
  </si>
  <si>
    <t>MOV_DRA748</t>
  </si>
  <si>
    <t>Lose to Win</t>
  </si>
  <si>
    <t xml:space="preserve"> 27-Aug-25</t>
  </si>
  <si>
    <t>Comedy/Sport</t>
  </si>
  <si>
    <t>Đội bóng phèn</t>
  </si>
  <si>
    <t>MOV_SPO7</t>
  </si>
  <si>
    <t>MOON MAN</t>
  </si>
  <si>
    <t>Comedy/Science Fiction</t>
  </si>
  <si>
    <t>Một mình trên mặt trăng</t>
  </si>
  <si>
    <t>MOV_SCI21</t>
  </si>
  <si>
    <t>HEART’S MOTIVE</t>
  </si>
  <si>
    <t>Drama/Suspense/Crime</t>
  </si>
  <si>
    <t>Sự thật cuối cùng</t>
  </si>
  <si>
    <t>MOV_DRA747</t>
  </si>
  <si>
    <t>WEEKEND IN TAIPEI</t>
  </si>
  <si>
    <t>Taiwan, France</t>
  </si>
  <si>
    <t>36/2025/HDBQ/VSTV-SM</t>
  </si>
  <si>
    <t>Skyline Media</t>
  </si>
  <si>
    <t>Action, Thriller</t>
  </si>
  <si>
    <t>Vây Hãm Tại Đài Bắc</t>
  </si>
  <si>
    <t>MOV_ACT592</t>
  </si>
  <si>
    <t>NORM OF THE NORTH: FAMILY VACATION</t>
  </si>
  <si>
    <t>Adventure, Comedy, Family</t>
  </si>
  <si>
    <t>Đầu Gấu Bắc Cực: Kỳ Nghỉ Vui Nhộn</t>
  </si>
  <si>
    <t>MOV_ANI80</t>
  </si>
  <si>
    <t>LEAP! (BALLERINA)</t>
  </si>
  <si>
    <t>France, Canada</t>
  </si>
  <si>
    <t>Adventure, Comedy, Family, Music</t>
  </si>
  <si>
    <t>Vũ Điệu Thần Tiên</t>
  </si>
  <si>
    <t>LEAP!</t>
  </si>
  <si>
    <t>MOV_ANI77</t>
  </si>
  <si>
    <t>The Farewell</t>
  </si>
  <si>
    <t xml:space="preserve">Exclusive All Pay TV Rights for first 12 months.
Non exclusive All VOD during LP 
</t>
  </si>
  <si>
    <t>140/2022/HDBQ/VSTV-RM</t>
  </si>
  <si>
    <t>Roses Media</t>
  </si>
  <si>
    <t>Lời từ biệt</t>
  </si>
  <si>
    <t>MOV_DRA_23__2692573</t>
  </si>
  <si>
    <t>P</t>
  </si>
  <si>
    <t>Listener: The Whispering (Người lắng nghe)</t>
  </si>
  <si>
    <t>unlimited</t>
  </si>
  <si>
    <t xml:space="preserve">Exclusive All Pay TV Rights for first 12 months.
Non exclusive All VOD during LP </t>
  </si>
  <si>
    <t>10/2022/HDBQ/VSTV-CPF</t>
  </si>
  <si>
    <t>TFILM</t>
  </si>
  <si>
    <t>Thriller, Suspense</t>
  </si>
  <si>
    <t>Người Lắng Nghe</t>
  </si>
  <si>
    <t>Listeners: The Whispering</t>
  </si>
  <si>
    <t>MOV_DRA_22__2672129</t>
  </si>
  <si>
    <t>16+</t>
  </si>
  <si>
    <t>Mẹ Chồng (Renew)</t>
  </si>
  <si>
    <t>139/2024/HDBQ/VSTV-TFlim</t>
  </si>
  <si>
    <t>Mẹ chồng</t>
  </si>
  <si>
    <t>MISSTRESS</t>
  </si>
  <si>
    <t>MOV_DRA__2557492</t>
  </si>
  <si>
    <t>Goodbye mother (Thưa mẹ con đi) (renew)</t>
  </si>
  <si>
    <t>Thưa mẹ con đi</t>
  </si>
  <si>
    <t>GOODBYE MOTHER</t>
  </si>
  <si>
    <t>MOV_DRA_19__2627771</t>
  </si>
  <si>
    <t>Spiritwalker</t>
  </si>
  <si>
    <t>MOV_ACT_22__2686508</t>
  </si>
  <si>
    <t>Exclusive All TV Rights the first 12 months of LP
 Non-exclusive with All Catch-up TV Rights; All VOD Rights during LP</t>
  </si>
  <si>
    <t>66/2023/HDBQ/VSTV-SM</t>
  </si>
  <si>
    <t>Đặc vụ du hồn</t>
  </si>
  <si>
    <t>HAPPY ENDING (Mình yêu nhau đi)</t>
  </si>
  <si>
    <t>135/2022/HDBQ/VSTV-CJHK</t>
  </si>
  <si>
    <t>Mình yêu nhau đi</t>
  </si>
  <si>
    <t>HAPPY ENDING</t>
  </si>
  <si>
    <t>MOV_ROM_23__2694716</t>
  </si>
  <si>
    <t>13+</t>
  </si>
  <si>
    <t>The Personal History of David Copperfield</t>
  </si>
  <si>
    <t>Cuộc đời David Copperfield</t>
  </si>
  <si>
    <t>MOV_DRA_23__2691045</t>
  </si>
  <si>
    <t>The Invisible Guest</t>
  </si>
  <si>
    <t>Crime, Thriller, Mystery</t>
  </si>
  <si>
    <t>Man thiên quá hải</t>
  </si>
  <si>
    <t>MOV_CRI110</t>
  </si>
  <si>
    <t>My son, where are you (Mặt trời, con ở đâu) (Renew)</t>
  </si>
  <si>
    <t>Mặt trời con ở đâu</t>
  </si>
  <si>
    <t>MY SON, WHERE ARE YOU</t>
  </si>
  <si>
    <t>MOV_DRA_19__2597304</t>
  </si>
  <si>
    <t>Shock Wave</t>
  </si>
  <si>
    <t>MOV_ACT_22__2686506</t>
  </si>
  <si>
    <t>Sóng dữ</t>
  </si>
  <si>
    <t>Dangerous</t>
  </si>
  <si>
    <t>MOV_ACT_23__2698984</t>
  </si>
  <si>
    <t>bản sửa đổi số 1 của HD: 140/2022/HDBQ/VSTV-RM</t>
  </si>
  <si>
    <t>Hiểm Nguy</t>
  </si>
  <si>
    <t>Shock Wave 2</t>
  </si>
  <si>
    <t>Sóng dữ 2</t>
  </si>
  <si>
    <t>MOV_ACT_22__2686507</t>
  </si>
  <si>
    <t>Sai Gon in the rain</t>
  </si>
  <si>
    <t>04A/2021/HDBQ/VSTV-TFILM</t>
  </si>
  <si>
    <t>Sài Gòn trong cơn mưa</t>
  </si>
  <si>
    <t>MOV_ROM_21__2642967</t>
  </si>
  <si>
    <t>STILLWATER</t>
  </si>
  <si>
    <t>180/2024/HDBQ/VSTV-CJHK</t>
  </si>
  <si>
    <t>Một người Mỹ ở Marseille</t>
  </si>
  <si>
    <t>MOV_CRI_24__2711480</t>
  </si>
  <si>
    <t>I CAN SPEAK (Tiếng Anh là chuyện nhỏ)</t>
  </si>
  <si>
    <t>Tiếng Anh là chuyện nhỏ</t>
  </si>
  <si>
    <t>I CAN SPEAK</t>
  </si>
  <si>
    <t>MOV_DRA_23__2694715</t>
  </si>
  <si>
    <t>Katak: The Brave Beluga</t>
  </si>
  <si>
    <t>Canada</t>
  </si>
  <si>
    <t>Katak và sứ mệnh đại dương</t>
  </si>
  <si>
    <t>MOV_ANI84</t>
  </si>
  <si>
    <t>LOVE IN THE BIG CITY</t>
  </si>
  <si>
    <t>MOV_DRA740</t>
  </si>
  <si>
    <t>Đôi bạn học yêu</t>
  </si>
  <si>
    <t>PAW PATROL: THE MOVIE</t>
  </si>
  <si>
    <t>Action/Adventure,Animation,Comedy</t>
  </si>
  <si>
    <t>Paw Patrol: Đội đặc nhiệm siêu đẳng</t>
  </si>
  <si>
    <t>MOV_ANI86</t>
  </si>
  <si>
    <t>THE FABELMANS (THE FABELMANS: TUỔI TRẺ HUY HOÀNG)</t>
  </si>
  <si>
    <t>THE FABELMANS: TUỔI TRẺ HUY HOÀNG</t>
  </si>
  <si>
    <t>THE FABELMANS</t>
  </si>
  <si>
    <t>MOV_DRA_24__2713877</t>
  </si>
  <si>
    <t>BLACK' 47</t>
  </si>
  <si>
    <t>Ireland</t>
  </si>
  <si>
    <t>Action, Western</t>
  </si>
  <si>
    <t>Năm 1847 Đen Tối</t>
  </si>
  <si>
    <t>BLACK '47</t>
  </si>
  <si>
    <t>MOV_HIS10</t>
  </si>
  <si>
    <t>The Upside</t>
  </si>
  <si>
    <t>Exclusive All TV Rights the first 9 months of LP
 Non-exclusive with All Catch-up TV Rights; All VOD Rights during LP</t>
  </si>
  <si>
    <t>56/2023/HDBQ/VSTV-Pro Partner</t>
  </si>
  <si>
    <t>Trợ lý hết ý</t>
  </si>
  <si>
    <t>MOV_DRA_22__2686502</t>
  </si>
  <si>
    <t>CATS (2019)</t>
  </si>
  <si>
    <t>Những chú mèo</t>
  </si>
  <si>
    <t>MOV_MUS8</t>
  </si>
  <si>
    <t>FAMILY SWAP (Bố là con gái mẹ tôi)</t>
  </si>
  <si>
    <t>Bố là con gái mẹ tôi</t>
  </si>
  <si>
    <t>FAMILY SWAP</t>
  </si>
  <si>
    <t>MOV_COM__2686867</t>
  </si>
  <si>
    <t>Hovering Blade</t>
  </si>
  <si>
    <t>Lưỡi dao lạc lối</t>
  </si>
  <si>
    <t>MOV_CRI114</t>
  </si>
  <si>
    <t>BATTLE LOS ANGELES</t>
  </si>
  <si>
    <t>MOV_ACT607</t>
  </si>
  <si>
    <t>Thảm họa Los Angeles</t>
  </si>
  <si>
    <t>Horizon Line</t>
  </si>
  <si>
    <t>Vùng trời tử thần</t>
  </si>
  <si>
    <t>MOV_ACT_23__2691049</t>
  </si>
  <si>
    <t>7 DAYS IN ENTEBBE (7 ngày ở Entebbe)</t>
  </si>
  <si>
    <t>7 ngày ở Entebbe</t>
  </si>
  <si>
    <t>7 DAYS IN ENTEBBE</t>
  </si>
  <si>
    <t>MOV_ACT_23__2689674</t>
  </si>
  <si>
    <t>Vĩnh viễn</t>
  </si>
  <si>
    <t>10/2017/HDBQ/VSTV-BHD</t>
  </si>
  <si>
    <t>BHD</t>
  </si>
  <si>
    <t>TẤM CÁM: CHUYỆN CHƯA KỂ</t>
  </si>
  <si>
    <t>Tam Cam: The untold story</t>
  </si>
  <si>
    <t>MOV_FAN__16__2492574</t>
  </si>
  <si>
    <t>MISS FORTUNE</t>
  </si>
  <si>
    <t>Comedy, Life, Drama</t>
  </si>
  <si>
    <t>Mỹ Nhân Đạo Chích</t>
  </si>
  <si>
    <t>MOV_COM289</t>
  </si>
  <si>
    <t>Detective Vs. Sleuths (Thần Thám Đại Chiến)</t>
  </si>
  <si>
    <t> </t>
  </si>
  <si>
    <t>25A/2024/HDBQ/VSTV-Hoa tho</t>
  </si>
  <si>
    <t>Hỏa Thổ</t>
  </si>
  <si>
    <t>Thần Thám Đại Chiến</t>
  </si>
  <si>
    <t>Detective Vs. Sleuths</t>
  </si>
  <si>
    <t>MOV_CRI_24__2714939</t>
  </si>
  <si>
    <t>BLACK PHONE, THE (INTL)</t>
  </si>
  <si>
    <t>Điện thoại đen</t>
  </si>
  <si>
    <t>MOV_HOR69</t>
  </si>
  <si>
    <t>PROMISING YOUNG WOMAN</t>
  </si>
  <si>
    <t>Cô gái trẻ hứa hẹn</t>
  </si>
  <si>
    <t>MOV_DRA_24__2712650</t>
  </si>
  <si>
    <t>Exhuma</t>
  </si>
  <si>
    <t>MOV_HOR71</t>
  </si>
  <si>
    <t>Quật mộ trùng ma</t>
  </si>
  <si>
    <t>ANGEL OF MINE</t>
  </si>
  <si>
    <t>AUS - US</t>
  </si>
  <si>
    <t>28/2024/HDBQ/VSTV-SM</t>
  </si>
  <si>
    <t>Thiên thần của mẹ</t>
  </si>
  <si>
    <t>MOV_DRA_24__2710439</t>
  </si>
  <si>
    <t>Deep Fear</t>
  </si>
  <si>
    <t>MOV_ACT609</t>
  </si>
  <si>
    <t>Hàm tử thần</t>
  </si>
  <si>
    <t>Vĩnh Viễn</t>
  </si>
  <si>
    <t>SÚT</t>
  </si>
  <si>
    <t>Victory</t>
  </si>
  <si>
    <t>MOV_DRA__17__2495883</t>
  </si>
  <si>
    <t>MARRY ME</t>
  </si>
  <si>
    <t>Cưới em đi</t>
  </si>
  <si>
    <t>MOV_ROM100</t>
  </si>
  <si>
    <t>THE COUGAR QUEEN (Gái già lắm chiêu 2)</t>
  </si>
  <si>
    <t>Comedy, Romace</t>
  </si>
  <si>
    <t>GÁI GIÀ LẮM CHIÊU 2</t>
  </si>
  <si>
    <t>THE COUGAR QUEEN</t>
  </si>
  <si>
    <t>MOV_DRA732</t>
  </si>
  <si>
    <t>COBWEB (CÚ MÁY ĂN TIỀN)</t>
  </si>
  <si>
    <t>CÚ MÁY ĂN TIỀN</t>
  </si>
  <si>
    <t>COBWEB</t>
  </si>
  <si>
    <t>MOV_COM_24__2713434</t>
  </si>
  <si>
    <t>MOZART FROM SPACE</t>
  </si>
  <si>
    <t>Comedy/Fantasy/Family</t>
  </si>
  <si>
    <t>Mozart ngoài không gian</t>
  </si>
  <si>
    <t>MOV_DRA736</t>
  </si>
  <si>
    <t>MADAGASCAR 3: EUROPE'S MOST WANTED</t>
  </si>
  <si>
    <t>Madagascar 3: Thần tượng Châu Âu</t>
  </si>
  <si>
    <t>MOV_ANI90</t>
  </si>
  <si>
    <t>Trending Topic</t>
  </si>
  <si>
    <t>Bạo lực mạng</t>
  </si>
  <si>
    <t>MOV_THR167</t>
  </si>
  <si>
    <t>BELFAST</t>
  </si>
  <si>
    <t>Hồi ký Belfast</t>
  </si>
  <si>
    <t>MOV_DRA745</t>
  </si>
  <si>
    <t>HEROS RETURN</t>
  </si>
  <si>
    <t xml:space="preserve">Exclusive All TV Rights for the first 9 months of LP. 
Non exclusive All VOD during LP </t>
  </si>
  <si>
    <t>47F/2022/VSTV-Pro Partner</t>
  </si>
  <si>
    <t>Anh hùng trở về</t>
  </si>
  <si>
    <t>Heroes Return</t>
  </si>
  <si>
    <t>MOV_ACT_21__2654661</t>
  </si>
  <si>
    <t>BEAR MAN (ĐẦU GẤU ĐỤNG ĐẦU ĐẤT)</t>
  </si>
  <si>
    <t>ĐẦU GẤU ĐỤNG ĐẦU ĐẤT</t>
  </si>
  <si>
    <t>BEAR MAN</t>
  </si>
  <si>
    <t>MOV_ACT_24__2713433</t>
  </si>
  <si>
    <t>HUNT FOR THE WILDERPEOPLE</t>
  </si>
  <si>
    <t>New Zealand [excluding adjacent islands]</t>
  </si>
  <si>
    <t>Cuộc đi săn kỳ lạ</t>
  </si>
  <si>
    <t>MOV_COM294</t>
  </si>
  <si>
    <t>Scent of Ghost</t>
  </si>
  <si>
    <t>Exclusive All PayTV rights and Non-Exclusive VOD rights</t>
  </si>
  <si>
    <t>52/2023/HDBQ/VSTV-KC</t>
  </si>
  <si>
    <t>Ma nữ chung cư</t>
  </si>
  <si>
    <t>MOV_HOR_23__2696804</t>
  </si>
  <si>
    <t>Ainbo</t>
  </si>
  <si>
    <t>Ainbo: Nữ Chiến Binh Amazon</t>
  </si>
  <si>
    <t>MOV_ANI_23__2695078</t>
  </si>
  <si>
    <t>LAST NIGHT IN SOHO</t>
  </si>
  <si>
    <t>Đêm trước ở Soho</t>
  </si>
  <si>
    <t>MOV_HOR_24__2716635</t>
  </si>
  <si>
    <t>DEATH AT A FUNERAL (2010)</t>
  </si>
  <si>
    <t>Sony/K+Vietnam PayBasic SVOD Package Agmt D2D per JK (19-01-2024)</t>
  </si>
  <si>
    <t>SONY PICTURES</t>
  </si>
  <si>
    <t>Tang gia bối rối</t>
  </si>
  <si>
    <t>MOV_COM_24__2714425</t>
  </si>
  <si>
    <t>90/2015/HDBQ/VSTV-BHD</t>
  </si>
  <si>
    <t>SIÊU TRỘM</t>
  </si>
  <si>
    <t>Bitcoin heist</t>
  </si>
  <si>
    <t>MOV_ACT_LNVM__16__2486863</t>
  </si>
  <si>
    <t>MISS BALA (2019)</t>
  </si>
  <si>
    <t>Quý cô Bala</t>
  </si>
  <si>
    <t>MOV_ACT577</t>
  </si>
  <si>
    <t>The Plot</t>
  </si>
  <si>
    <t>MOV_ACT602</t>
  </si>
  <si>
    <t>Bẫy nuốt mạng</t>
  </si>
  <si>
    <t>THE WHITE STORM 3: HEAVEN OR HELL</t>
  </si>
  <si>
    <t>Hong Kong</t>
  </si>
  <si>
    <t>Bão trắng 3: Thiên đàng hay địa ngục</t>
  </si>
  <si>
    <t>MOV_ACT_24__2710440</t>
  </si>
  <si>
    <t>DOWNTON ABBEY: A NEW ERA</t>
  </si>
  <si>
    <t>Dinh thự Downton: Kỷ nguyên mới</t>
  </si>
  <si>
    <t>MOV_DRA729</t>
  </si>
  <si>
    <t>The instrument of murder</t>
  </si>
  <si>
    <t>Trái Tim Quái Vật</t>
  </si>
  <si>
    <t>MOV_THR_21__2644512</t>
  </si>
  <si>
    <t>GYUL-BAEK</t>
  </si>
  <si>
    <t>Trắng án</t>
  </si>
  <si>
    <t>MOV_DRA742</t>
  </si>
  <si>
    <t>MONEYBALL (2011)</t>
  </si>
  <si>
    <t>Cuộc chiến bóng chày</t>
  </si>
  <si>
    <t>MOV_BIO22</t>
  </si>
  <si>
    <t>Butterfly House (Ngôi nhà bươm bướm) (renew)</t>
  </si>
  <si>
    <t>Ngôi Nhà Bươm Bướm</t>
  </si>
  <si>
    <t>BUTTERFLY HOUSE</t>
  </si>
  <si>
    <t>MOV_COM_19__2614753</t>
  </si>
  <si>
    <t>QUYÊN</t>
  </si>
  <si>
    <t>FAREWELL, BERLIN WALL</t>
  </si>
  <si>
    <t>MOV_DRA_LNVM__15__2471197</t>
  </si>
  <si>
    <t>MOONBOUND (ĐẠI NÁO CUNG TRĂNG)</t>
  </si>
  <si>
    <t>AUS-GER</t>
  </si>
  <si>
    <t>ĐẠI NÁO CUNG TRĂNG</t>
  </si>
  <si>
    <t>MOONBOUND</t>
  </si>
  <si>
    <t>MOV_ANI_24__2711444</t>
  </si>
  <si>
    <t>The Amazing Maurice</t>
  </si>
  <si>
    <t>UK</t>
  </si>
  <si>
    <t xml:space="preserve">82/2023/HDBQ/VSTV-Roses Media 
</t>
  </si>
  <si>
    <t>Mèo Béo Siêu Đẳng (dubbing sẵn)</t>
  </si>
  <si>
    <t>MOV_ANI_23__2695914</t>
  </si>
  <si>
    <t>Home Sweet Home</t>
  </si>
  <si>
    <t xml:space="preserve">Exclusive All Pay TV Rights for the first 12 months of LP.
Non exclusive SVOD Right during LP </t>
  </si>
  <si>
    <t>1/2022/HDBQ/VSTV-SM</t>
  </si>
  <si>
    <t xml:space="preserve">	Vị khách bí mật</t>
  </si>
  <si>
    <t>MOV_CRI_22__2668487</t>
  </si>
  <si>
    <t>THE MEDIUM (ÂM HỒN NHẬP XÁC)</t>
  </si>
  <si>
    <t>ÂM HỒN NHẬP XÁC</t>
  </si>
  <si>
    <t>THE MEDIUM</t>
  </si>
  <si>
    <t>MOV_HOR_24__2713786</t>
  </si>
  <si>
    <t>Blacklight</t>
  </si>
  <si>
    <t>5/2022/HDBQ/VSTV-RM</t>
  </si>
  <si>
    <t>Rose media</t>
  </si>
  <si>
    <t>Phi vụ đen</t>
  </si>
  <si>
    <t>MOV_ACT_23__2709732</t>
  </si>
  <si>
    <t>THE HUMMINGBIRD PROJECT</t>
  </si>
  <si>
    <t>Dự án chim ruồi</t>
  </si>
  <si>
    <t>MOV_DRA_24__2710434</t>
  </si>
  <si>
    <t>Yolo - Bạn chỉ sống một lần (Renew)</t>
  </si>
  <si>
    <t>Musical, Rom Com</t>
  </si>
  <si>
    <t>YOLO - YOU ONLY LIVE ONCE</t>
  </si>
  <si>
    <t>MOV_DRA_19__2608886</t>
  </si>
  <si>
    <t>LOVE RESET (YÊU LẠI VỢ NGẦU)</t>
  </si>
  <si>
    <t>MOV_ROM_23__2710031</t>
  </si>
  <si>
    <t>YÊU LẠI VỢ NGẦU</t>
  </si>
  <si>
    <t>LOVE RESET</t>
  </si>
  <si>
    <t>OOOPS: THE ADVENTURE CONTINUES (TWO BY TWO: OVERBOARD!)</t>
  </si>
  <si>
    <t>Ireland, Luxembourg</t>
  </si>
  <si>
    <t>Animation, Adventure, Comedy, Family</t>
  </si>
  <si>
    <t>TWO BY TWO: OVERBOARD!</t>
  </si>
  <si>
    <t>OOOPS: THE ADVENTURE CONTINUES</t>
  </si>
  <si>
    <t>MOV_ANI79</t>
  </si>
  <si>
    <t>Johnny Keep Walking!</t>
  </si>
  <si>
    <t>Bữa tiệc thường niên không thể dừng</t>
  </si>
  <si>
    <t>MOV_DRA735</t>
  </si>
  <si>
    <t>TAICHI HERRO</t>
  </si>
  <si>
    <t>47A/2021/HDBQ/VSTV-Pro Partner</t>
  </si>
  <si>
    <t xml:space="preserve">	Trương Tam Phong - Thái cực thiên sư</t>
  </si>
  <si>
    <t>Tai Chi Hero</t>
  </si>
  <si>
    <t>MOV_ACT_21__2660584</t>
  </si>
  <si>
    <t>The 355</t>
  </si>
  <si>
    <t>Đặc vụ 355</t>
  </si>
  <si>
    <t>MOV_ACT_23__2709721</t>
  </si>
  <si>
    <t>HERE COMES THE BOOM</t>
  </si>
  <si>
    <t>Chàng béo cứu tinh</t>
  </si>
  <si>
    <t>MOV_COM_24__2714426</t>
  </si>
  <si>
    <t>THE WHITE STORM 2: DRUG LORDS</t>
  </si>
  <si>
    <t>MOV_ACT_24__2710438</t>
  </si>
  <si>
    <t>Bão trắng 2: Trùm á phiện</t>
  </si>
  <si>
    <t>YOLO (CHINA)</t>
  </si>
  <si>
    <t>Cay nóng hôi hổi</t>
  </si>
  <si>
    <t>MOV_DRA750</t>
  </si>
  <si>
    <t>Secrets of the wind</t>
  </si>
  <si>
    <t>07D/2021/HDBQ/VSTV-BHD</t>
  </si>
  <si>
    <t>Bí mật của gió</t>
  </si>
  <si>
    <t>MOV_DRA_21__2646322</t>
  </si>
  <si>
    <t>UPGRADE</t>
  </si>
  <si>
    <t>Nâng cấp</t>
  </si>
  <si>
    <t>MOV_ACT583</t>
  </si>
  <si>
    <t>THE CRIMES THAT BIND</t>
  </si>
  <si>
    <t>TBS</t>
  </si>
  <si>
    <t>Tội ác sau bức màn</t>
  </si>
  <si>
    <t>MOV_CRI_21__2650084</t>
  </si>
  <si>
    <t>WHITNEY HOUSTON: I WANNA DANCE WITH SOMEBODY</t>
  </si>
  <si>
    <t>MOV_BIO26</t>
  </si>
  <si>
    <t>Whitney Houston: Tôi muốn khiêu vũ</t>
  </si>
  <si>
    <t>ARRIVAL (2016)</t>
  </si>
  <si>
    <t>Cuộc đổ bộ bí ẩn</t>
  </si>
  <si>
    <t>MOV_SCI_23__2689053</t>
  </si>
  <si>
    <t>Suspect</t>
  </si>
  <si>
    <t>Crime, Suspense</t>
  </si>
  <si>
    <t>Thần thám siêu ý</t>
  </si>
  <si>
    <t>MOV_CRI113</t>
  </si>
  <si>
    <t>12 HOURS</t>
  </si>
  <si>
    <t xml:space="preserve"> Action/Drama</t>
  </si>
  <si>
    <t>Cực địa truy kích</t>
  </si>
  <si>
    <t>MOV_ACT604</t>
  </si>
  <si>
    <t>CÔ BA SÀI GÒN</t>
  </si>
  <si>
    <t>THE TAILOR</t>
  </si>
  <si>
    <t>MOV_DRA_18__2558894</t>
  </si>
  <si>
    <t>SKYLIN3S</t>
  </si>
  <si>
    <t>Cuộc chiến hủy diệt 3</t>
  </si>
  <si>
    <t>MOV_ACT_23__2691046</t>
  </si>
  <si>
    <t>BETTER MAN</t>
  </si>
  <si>
    <t>Quý ông hoàn hảo</t>
  </si>
  <si>
    <t>MOV_DRA737</t>
  </si>
  <si>
    <t>K</t>
  </si>
  <si>
    <t>SINGLE IN SEOUL</t>
  </si>
  <si>
    <t>Comedy, Romance, Melodrama</t>
  </si>
  <si>
    <t>Một mình vẫn ổn't</t>
  </si>
  <si>
    <t>MOV_ROM98</t>
  </si>
  <si>
    <t>EVERYBODY KNOWS</t>
  </si>
  <si>
    <t xml:space="preserve">
Spain, France</t>
  </si>
  <si>
    <t>Crime, Drama, Mystery, Thriller</t>
  </si>
  <si>
    <t>Chuyện Ai Cũng Biết</t>
  </si>
  <si>
    <t>MOV_CRI108</t>
  </si>
  <si>
    <t>DEVILS (THANH TRA SÁT NHÂN)</t>
  </si>
  <si>
    <t>THANH TRA SÁT NHÂN</t>
  </si>
  <si>
    <t>DEVILS</t>
  </si>
  <si>
    <t>MOV_CRI_24__2711294</t>
  </si>
  <si>
    <t>LIBRARY WARS -LM-</t>
  </si>
  <si>
    <t>Cuộc chiến ở thư viện: nhiệm vụ cuối cùng</t>
  </si>
  <si>
    <t>LIBRARY WARS: THE LAST MISSION</t>
  </si>
  <si>
    <t>MOV_ACT_21__2648728</t>
  </si>
  <si>
    <t>MRS. HARRIS GOES TO PARIS</t>
  </si>
  <si>
    <t>Quý bà Harris tới Paris</t>
  </si>
  <si>
    <t>MOV_DRA744</t>
  </si>
  <si>
    <t>EVEREST ('15)</t>
  </si>
  <si>
    <t>Đỉnh Everest</t>
  </si>
  <si>
    <t>MOV_ADV52</t>
  </si>
  <si>
    <t>The Billionaire (Thiếu niên bạc tỷ)</t>
  </si>
  <si>
    <t>drama</t>
  </si>
  <si>
    <t>Thiếu niên bạc tỉ</t>
  </si>
  <si>
    <t>The Billionaire (2011)</t>
  </si>
  <si>
    <t>MOV_DRA728</t>
  </si>
  <si>
    <t>BEST OF ENEMIES, THE (2019)</t>
  </si>
  <si>
    <t>Kẻ thù đáng quý</t>
  </si>
  <si>
    <t>MOV_BIO_24__2713781</t>
  </si>
  <si>
    <t>RANSOMED (BỘ ĐÔI BÁO THỦ)</t>
  </si>
  <si>
    <t>BỘ ĐÔI BÁO THỦ</t>
  </si>
  <si>
    <t>RANSOMED</t>
  </si>
  <si>
    <t>MOV_ACT_23__2710032</t>
  </si>
  <si>
    <t>THE EX-FILES 4: MARRIAGE PLAN</t>
  </si>
  <si>
    <t>Comedy, Romance, Drama</t>
  </si>
  <si>
    <t>Tiền nhiệm 4: Kết hôn sớm</t>
  </si>
  <si>
    <t>MOV_ROM97</t>
  </si>
  <si>
    <t>HIJACK 1971</t>
  </si>
  <si>
    <t>Vây hãm trên không</t>
  </si>
  <si>
    <t>MOV_ACT606</t>
  </si>
  <si>
    <t>REVIVAL</t>
  </si>
  <si>
    <t>Crime/Mystery/Love</t>
  </si>
  <si>
    <t>Hồi Lang đình</t>
  </si>
  <si>
    <t>MOV_CRI109</t>
  </si>
  <si>
    <t>THE DESPERATE CHASE</t>
  </si>
  <si>
    <t>Anh trai vượt mọi tam tai</t>
  </si>
  <si>
    <t>MOV_ACT596</t>
  </si>
  <si>
    <t>In Our Prime</t>
  </si>
  <si>
    <t>Thanh xuân tươi đẹp của chúng ta</t>
  </si>
  <si>
    <t>MOV_DRA757</t>
  </si>
  <si>
    <t>Bad Moms</t>
  </si>
  <si>
    <t>Những bà mẹ "ngoan"</t>
  </si>
  <si>
    <t>MOV_COM292</t>
  </si>
  <si>
    <t>What We Forgot To Remember (Người Cần Quên Phải Nhớ)</t>
  </si>
  <si>
    <t>Exclusive all TV rights for the first 2 years
Non exclusive all VOD rights (co-exclsuive with GLX Play for the first 6 months)</t>
  </si>
  <si>
    <t>37A/2021/HDBQ/VSTV-CPF</t>
  </si>
  <si>
    <t>CPF</t>
  </si>
  <si>
    <t>Người Cần Quên Phải Nhớ</t>
  </si>
  <si>
    <t>What We Forgot To Remember</t>
  </si>
  <si>
    <t>MOV_ROM_21__2652260</t>
  </si>
  <si>
    <t>CALM WITH HORSES</t>
  </si>
  <si>
    <t>UK, Ireland</t>
  </si>
  <si>
    <t>Trách nhiệm đen tối</t>
  </si>
  <si>
    <t>MOV_CRI_24__2710430</t>
  </si>
  <si>
    <t>IN A VALLEY OF VIOLENCE</t>
  </si>
  <si>
    <t xml:space="preserve">Thị trấn </t>
  </si>
  <si>
    <t>MOV_ACT586</t>
  </si>
  <si>
    <t>Hand Rolled Cigarette</t>
  </si>
  <si>
    <t xml:space="preserve">	Thuốc lá tự cuốn</t>
  </si>
  <si>
    <t>MOV_CRI_22__2668483</t>
  </si>
  <si>
    <t>BROTHERHOOD</t>
  </si>
  <si>
    <t>MOV_ACT603</t>
  </si>
  <si>
    <t>Action/Drama</t>
  </si>
  <si>
    <t>Huynh đệ</t>
  </si>
  <si>
    <t>LIVESTREAM (LIVESTREAM)</t>
  </si>
  <si>
    <t>LIVESTREAM</t>
  </si>
  <si>
    <t>MOV_THR_24__2711445</t>
  </si>
  <si>
    <t>6/45 (Bỗng dưng trúng số)</t>
  </si>
  <si>
    <t>Bỗng dưng trúng số</t>
  </si>
  <si>
    <t>6/45</t>
  </si>
  <si>
    <t>MOV_COM_22__2686868</t>
  </si>
  <si>
    <t>WAITING FOR RAIN</t>
  </si>
  <si>
    <t>Chờ em đến ngày mưa</t>
  </si>
  <si>
    <t>MOV_ROM101</t>
  </si>
  <si>
    <t>CAPTAIN UNDERPANTS</t>
  </si>
  <si>
    <t>Bộ đôi siêu quậy</t>
  </si>
  <si>
    <t>MOV_ANI_24__2714756</t>
  </si>
  <si>
    <t>Adrift</t>
  </si>
  <si>
    <t>Giành anh từ biển</t>
  </si>
  <si>
    <t>MOV_DRA_22__2686501</t>
  </si>
  <si>
    <t>Wrath of Man</t>
  </si>
  <si>
    <t>Gã điên báo thù</t>
  </si>
  <si>
    <t>MOV_ACT_23__2709733</t>
  </si>
  <si>
    <t>Citizen Of A Kind</t>
  </si>
  <si>
    <t>Bà thím báo thù</t>
  </si>
  <si>
    <t>MOV_ACT597</t>
  </si>
  <si>
    <t>TROLL FACTORY</t>
  </si>
  <si>
    <t>Anh hùng bàn phím</t>
  </si>
  <si>
    <t>MOV_ACT601</t>
  </si>
  <si>
    <t>FIRESTARTER (2022)</t>
  </si>
  <si>
    <t>Người khởi lửa</t>
  </si>
  <si>
    <t>MOV_THR164</t>
  </si>
  <si>
    <t>MAYBE I DO</t>
  </si>
  <si>
    <t>Chắc anh đồng ý</t>
  </si>
  <si>
    <t>MOV_COM_24__2710446</t>
  </si>
  <si>
    <t>WU KONG</t>
  </si>
  <si>
    <t>Wuxia, Drama, Fantasy</t>
  </si>
  <si>
    <t>Ngộ Không Kỳ Truyện</t>
  </si>
  <si>
    <t>MOV_ACT591</t>
  </si>
  <si>
    <t>SOUND OF METAL</t>
  </si>
  <si>
    <t>Tiếng gọi của Metal</t>
  </si>
  <si>
    <t>MOV_DRA743</t>
  </si>
  <si>
    <t>MINIONS: THE RISE OF GRU</t>
  </si>
  <si>
    <t>Minions: Sự trỗi dậy của Gru</t>
  </si>
  <si>
    <t>MOV_ANI76</t>
  </si>
  <si>
    <t>DEAD FOR A DOLLAR</t>
  </si>
  <si>
    <t xml:space="preserve"> Western/Thriller</t>
  </si>
  <si>
    <t>Gục ngã trước đồng tiền</t>
  </si>
  <si>
    <t>MOV_ACT611</t>
  </si>
  <si>
    <t>ON YOUR MARK</t>
  </si>
  <si>
    <t>Giải cứu thiên thần</t>
  </si>
  <si>
    <t>MOV_COM_24__2710445</t>
  </si>
  <si>
    <t>THEORY OF EVERYTHING</t>
  </si>
  <si>
    <t>MOV_BIO24</t>
  </si>
  <si>
    <t>Thuyết yêu thương</t>
  </si>
  <si>
    <t>THE THEORY OF EVERYTHING</t>
  </si>
  <si>
    <t>The Nightmares (Vô diện sát nhân)</t>
  </si>
  <si>
    <t>Exclusive All  TV Rights for the first 24 months of LP.
Non exclusive All VOD Rights during LP (First 6 months of LP co-exclusive SVOD Right with Netflix)</t>
  </si>
  <si>
    <t>20C/2022/HDBQ/VSTV-SM</t>
  </si>
  <si>
    <t xml:space="preserve"> Vô Diện Sát Nhân</t>
  </si>
  <si>
    <t>The Nightmares</t>
  </si>
  <si>
    <t>MOV_HOR_22__2682563</t>
  </si>
  <si>
    <t>TAOIST MASTER：KYLIN</t>
  </si>
  <si>
    <t>Long Hổ sơn Trương thiên sư: Kỳ Lân</t>
  </si>
  <si>
    <t>TAOIST MASTER: KYLIN</t>
  </si>
  <si>
    <t>MOV_ACT_21__2654665</t>
  </si>
  <si>
    <t>BREAKING</t>
  </si>
  <si>
    <t>Vụ cướp bất đắc dĩ</t>
  </si>
  <si>
    <t>MOV_THR169</t>
  </si>
  <si>
    <t>ANATOMY OF A FALL</t>
  </si>
  <si>
    <t>MOV_DRA_24__2710442</t>
  </si>
  <si>
    <t>Kỳ án trên đồi tuyết</t>
  </si>
  <si>
    <t>Kin</t>
  </si>
  <si>
    <t>Vũ khí bí ẩn</t>
  </si>
  <si>
    <t>MOV_ACT_22__2686500</t>
  </si>
  <si>
    <t>The Doorman</t>
  </si>
  <si>
    <t>Người gác cửa</t>
  </si>
  <si>
    <t>MOV_ACT_23__2696592</t>
  </si>
  <si>
    <t>ARMAGEDDON TIME</t>
  </si>
  <si>
    <t>Thời đại Armageddpm</t>
  </si>
  <si>
    <t>MOV_DRA754</t>
  </si>
  <si>
    <t>The EVE of never</t>
  </si>
  <si>
    <t>MOV_COM_21__2649547</t>
  </si>
  <si>
    <t>Pay TV: the first 6 months
VOD start date: 20 July 2023</t>
  </si>
  <si>
    <t>23A/2021/HDBQVSTV-TFLIM</t>
  </si>
  <si>
    <t>30 chưa phải Tết</t>
  </si>
  <si>
    <t>Dreambuilders (Nào Mình Cùng Mơ!)</t>
  </si>
  <si>
    <t>Denmark</t>
  </si>
  <si>
    <t>30/2025/HDBQ/VSTV-Pro Partner</t>
  </si>
  <si>
    <t>Nào Mình Cùng Mơ!</t>
  </si>
  <si>
    <t>Dreambuilders</t>
  </si>
  <si>
    <t>MOV_ANI_22__2674851</t>
  </si>
  <si>
    <t>EAT PRAY LOVE</t>
  </si>
  <si>
    <t>Ăn, cầu nguyện và yêu</t>
  </si>
  <si>
    <t>MOV_DRA726</t>
  </si>
  <si>
    <t>Door lock</t>
  </si>
  <si>
    <t>Ổ khóa tử thần</t>
  </si>
  <si>
    <t>MOV_HOR_23__2696594</t>
  </si>
  <si>
    <t>BRAVE CITIZEN (CÔ GIÁO EM LÀ SỐ 1)</t>
  </si>
  <si>
    <t>CÔ GIÁO EM LÀ SỐ 1</t>
  </si>
  <si>
    <t>BRAVE CITIZEN</t>
  </si>
  <si>
    <t>MOV_COM_24__2712728</t>
  </si>
  <si>
    <t>BE SOMEBODY</t>
  </si>
  <si>
    <t>Mystery/Drama/Thriller</t>
  </si>
  <si>
    <t>Bộ phim đình đám</t>
  </si>
  <si>
    <t>MOV_DRA746</t>
  </si>
  <si>
    <t>PIL'S ADVENTURES</t>
  </si>
  <si>
    <t>Animation, Adventure, Family, Fantasy</t>
  </si>
  <si>
    <t>Chuyến Phiêu lưu của Pil</t>
  </si>
  <si>
    <t>MOV_ANI78</t>
  </si>
  <si>
    <t>The Green Knight</t>
  </si>
  <si>
    <t xml:space="preserve">Thriller </t>
  </si>
  <si>
    <t>Hiệp sĩ xanh</t>
  </si>
  <si>
    <t>MOV_ADV53</t>
  </si>
  <si>
    <t>Winter's Bone</t>
  </si>
  <si>
    <t>Xương trắng</t>
  </si>
  <si>
    <t>MOV_DRA_22__2686515</t>
  </si>
  <si>
    <t>PASSENGERS (2016)</t>
  </si>
  <si>
    <t>MOV_FAM_24__2713876</t>
  </si>
  <si>
    <t>Người du hành</t>
  </si>
  <si>
    <t>EASY A</t>
  </si>
  <si>
    <t>Cô nàng lẳng lơ</t>
  </si>
  <si>
    <t>MOV_COM288</t>
  </si>
  <si>
    <t>The Guardian</t>
  </si>
  <si>
    <t>22/2021/HDBQ/VSTV-TFLIM</t>
  </si>
  <si>
    <t>Thiên Thần Hộ Mệnh</t>
  </si>
  <si>
    <t>MOV_THR_22__2672758</t>
  </si>
  <si>
    <t>TAKE CARE OF MY MOM (HÃY CHĂM SÓC MẸ)</t>
  </si>
  <si>
    <t>HÃY CHĂM SÓC MẸ</t>
  </si>
  <si>
    <t>TAKE CARE OF MY MOM</t>
  </si>
  <si>
    <t>Maika – The Girl From Another Planet</t>
  </si>
  <si>
    <t xml:space="preserve">Exclusive All TV rights from 26-Aug-22 to 21-Dec-23
Non exclusive VOD rights from 22 March 2023 </t>
  </si>
  <si>
    <t>88/2022/HDBQ/VSTV-BHD</t>
  </si>
  <si>
    <t>Maika: Cô bé đến từ hành tinh khác</t>
  </si>
  <si>
    <t>MOV_ADV_22__2677732</t>
  </si>
  <si>
    <t>STOLEN IDENTITY</t>
  </si>
  <si>
    <t>Kẻ trộm danh tính</t>
  </si>
  <si>
    <t>MOV_THR_21__2647353</t>
  </si>
  <si>
    <t>KUNG FU MONSTER</t>
  </si>
  <si>
    <t>Võ lâm quái thú</t>
  </si>
  <si>
    <t>MOV_ACT_24__2710441</t>
  </si>
  <si>
    <t>ARGONUTS (CHUỘT NHÍ VÀ SỨ MỆNH THẦN BIỂN)</t>
  </si>
  <si>
    <t>CHUỘT NHÍ VÀ SỨ MỆNH THẦN BIỂN</t>
  </si>
  <si>
    <t>ARGONUTS</t>
  </si>
  <si>
    <t>MOV_ANI_23__2709987</t>
  </si>
  <si>
    <t>MY FAIRY TROUBLEMAKER</t>
  </si>
  <si>
    <t xml:space="preserve">
Germany</t>
  </si>
  <si>
    <t>Adventure, Comedy, Family, Fantasy</t>
  </si>
  <si>
    <t>Bé Tiên Rắc Rối</t>
  </si>
  <si>
    <t>MOV_ANI81</t>
  </si>
  <si>
    <t>Mary Shelley</t>
  </si>
  <si>
    <t>Chuyện tình nữ văn sĩ</t>
  </si>
  <si>
    <t>MOV_BIO_22__2686510</t>
  </si>
  <si>
    <t>ANCHOR (Bản tin chết)</t>
  </si>
  <si>
    <t>Bản tin chết</t>
  </si>
  <si>
    <t>ANCHOR</t>
  </si>
  <si>
    <t>MOV_THR_23__2691556</t>
  </si>
  <si>
    <t>MANHUNT</t>
  </si>
  <si>
    <t>thiên la địa võng</t>
  </si>
  <si>
    <t>MOV_ACT_24__2710432</t>
  </si>
  <si>
    <t>The Rescue (Đội Cứu Hộ Khẩn Cấp)</t>
  </si>
  <si>
    <t>Đội Cứu Hộ Khẩn Cấp</t>
  </si>
  <si>
    <t>The Rescue</t>
  </si>
  <si>
    <t>MOV_ACT_24__2715270</t>
  </si>
  <si>
    <t>RESIDENT EVIL: WELCOME TO RACCOON CITY</t>
  </si>
  <si>
    <t>Resident Evil: Quỷ dữ trỗi dậy</t>
  </si>
  <si>
    <t>MOV_HOR72</t>
  </si>
  <si>
    <t>The Night House</t>
  </si>
  <si>
    <t>MOV_HOR70</t>
  </si>
  <si>
    <t>Ngôi nhà về đêm</t>
  </si>
  <si>
    <t>The season of love song (Mùa viết tình ca) (Renew)</t>
  </si>
  <si>
    <t>Rom Com</t>
  </si>
  <si>
    <t>Mùa viết tình ca</t>
  </si>
  <si>
    <t>SEASON FOR LOVE SONGS</t>
  </si>
  <si>
    <t>MOV_DRA_18__2589345</t>
  </si>
  <si>
    <t>Submergence</t>
  </si>
  <si>
    <t>Giữa những đại dương</t>
  </si>
  <si>
    <t>MOV_DRA738</t>
  </si>
  <si>
    <t>So Long For Love</t>
  </si>
  <si>
    <t>MOV_DRA749</t>
  </si>
  <si>
    <t>Drana</t>
  </si>
  <si>
    <t>Tạm biệt, Lý Khả Lạc</t>
  </si>
  <si>
    <t>New Year Blues</t>
  </si>
  <si>
    <t xml:space="preserve">	Đêm giao thừa</t>
  </si>
  <si>
    <t>MOV_ROM_21__2662690</t>
  </si>
  <si>
    <t>BRIAN BANKS</t>
  </si>
  <si>
    <t>MOV_BIO_24__2713780</t>
  </si>
  <si>
    <t>Ngôi sao sân cỏ</t>
  </si>
  <si>
    <t>Good Time</t>
  </si>
  <si>
    <t>MOV_CRI_22__2686509</t>
  </si>
  <si>
    <t>Thời khắc quyết định</t>
  </si>
  <si>
    <t>FAST &amp; FURIOUS 6</t>
  </si>
  <si>
    <t>MOV_ACT_24__2715403</t>
  </si>
  <si>
    <t>Quá nhanh quá nguy hiểm 6</t>
  </si>
  <si>
    <t>BARB AND STAR GO TO VISTA DEL MAR (Barb &amp; star: Hội hè hồi xuân)</t>
  </si>
  <si>
    <t>MOV_COM_23__2694713</t>
  </si>
  <si>
    <t>Barb và Star hội hè hồi xuân</t>
  </si>
  <si>
    <t>BARB AND STAR GO TO VISTA DEL MAR</t>
  </si>
  <si>
    <t>KNOCK KNOCK</t>
  </si>
  <si>
    <t>MOV_THR165</t>
  </si>
  <si>
    <t>Thriller, Mystery, Comedy, Drama</t>
  </si>
  <si>
    <t>Vị Khách Không Mời</t>
  </si>
  <si>
    <t>CROODS: A NEW AGE, THE</t>
  </si>
  <si>
    <t>Gia đình Crood: Kỷ nguyên mới</t>
  </si>
  <si>
    <t>MOV_ANI82</t>
  </si>
  <si>
    <t>Wonder Wheel</t>
  </si>
  <si>
    <t>MOV_DRA_23__2697131</t>
  </si>
  <si>
    <t>Vòng xoay cám dỗ</t>
  </si>
  <si>
    <t>Moonfall</t>
  </si>
  <si>
    <t>MOV_SCI_23__2709731</t>
  </si>
  <si>
    <t>Trăng rơi</t>
  </si>
  <si>
    <t>Mother Gamer</t>
  </si>
  <si>
    <t>MOV_COM_21__2662692</t>
  </si>
  <si>
    <t xml:space="preserve">	Mẹ tôi gánh đội</t>
  </si>
  <si>
    <t>The Journey Of Flower</t>
  </si>
  <si>
    <t>MOV_FAN27</t>
  </si>
  <si>
    <t>Action, Romance, Fantasy</t>
  </si>
  <si>
    <t>Hoa thiên cốt</t>
  </si>
  <si>
    <t>THE KING'S DAUGHTER</t>
  </si>
  <si>
    <t>MOV_ACT_24__2710435</t>
  </si>
  <si>
    <t>Con gái nhà vua</t>
  </si>
  <si>
    <t>GET ON UP</t>
  </si>
  <si>
    <t>MOV_BIO_24__2715624</t>
  </si>
  <si>
    <t> Hát lên nào</t>
  </si>
  <si>
    <t>SONIC THE HEDGEHOG 2</t>
  </si>
  <si>
    <t>Nhím Sonic 2</t>
  </si>
  <si>
    <t>MOV_ANI87</t>
  </si>
  <si>
    <t>WATCHER</t>
  </si>
  <si>
    <t>MOV_THR168</t>
  </si>
  <si>
    <t>Kẻ rình mò</t>
  </si>
  <si>
    <t>Blood Moon Party (Tiệc Trăng Máu)</t>
  </si>
  <si>
    <t xml:space="preserve">12/2025/HDBQ/VSTV-Anh Teu </t>
  </si>
  <si>
    <t>Anh Tễu Studio</t>
  </si>
  <si>
    <t>Tiệc Trăng Máu</t>
  </si>
  <si>
    <t>Blood Moon Party</t>
  </si>
  <si>
    <t>MOV_DRA741</t>
  </si>
  <si>
    <t>Bye Bye Morons</t>
  </si>
  <si>
    <t>MOV_COM_22__2686514</t>
  </si>
  <si>
    <t>Những kẻ quan liêu</t>
  </si>
  <si>
    <t>Hypnotic</t>
  </si>
  <si>
    <t>MOV_ACT_24__2711608</t>
  </si>
  <si>
    <t>Những kẻ thao túng</t>
  </si>
  <si>
    <t>Seven Sundays</t>
  </si>
  <si>
    <t>Philippines</t>
  </si>
  <si>
    <t>Bảy ngày Chủ nhật</t>
  </si>
  <si>
    <t>MOV_COM_23__2697132</t>
  </si>
  <si>
    <t>AVA</t>
  </si>
  <si>
    <t>Nữ sát thủ</t>
  </si>
  <si>
    <t>MOV_ACT_23__2695915</t>
  </si>
  <si>
    <t>NGÀY NẢY NGÀY NAY</t>
  </si>
  <si>
    <t>The Lost Dragon</t>
  </si>
  <si>
    <t>MOV_FAN_LNVM__15__2467819</t>
  </si>
  <si>
    <t>TWILIGHT OF THE WARRIORS: WALLED IN</t>
  </si>
  <si>
    <t>MOV_ACT593</t>
  </si>
  <si>
    <t>Action, Historical, Crime, Drama</t>
  </si>
  <si>
    <t>Cửu Long Thành Trại: Vây Thành</t>
  </si>
  <si>
    <t>JURASSIC WORLD DOMINION</t>
  </si>
  <si>
    <t>Thế giới khủng long: Lãnh địa</t>
  </si>
  <si>
    <t>MOV_ACT590</t>
  </si>
  <si>
    <t>Iceman (Người Băng)</t>
  </si>
  <si>
    <t>non exclusive</t>
  </si>
  <si>
    <t>Cuồng Phong Nộ Hỏa</t>
  </si>
  <si>
    <t>Iceman (2014)</t>
  </si>
  <si>
    <t>MOV_ACT589</t>
  </si>
  <si>
    <t>INSIDE (2023)</t>
  </si>
  <si>
    <t>Greece</t>
  </si>
  <si>
    <t>Drama, Thriller</t>
  </si>
  <si>
    <t>Mắc kẹt</t>
  </si>
  <si>
    <t>MOV_THR166</t>
  </si>
  <si>
    <t>SING 2</t>
  </si>
  <si>
    <t> Đấu trường âm nhạc 2</t>
  </si>
  <si>
    <t>MOV_ANI__2715680</t>
  </si>
  <si>
    <t>VIVARIUM</t>
  </si>
  <si>
    <t>Chỗ sống</t>
  </si>
  <si>
    <t>MOV_HOR_24__2710433</t>
  </si>
  <si>
    <t>Blithe Spirit</t>
  </si>
  <si>
    <t>Người vợ quá cố</t>
  </si>
  <si>
    <t>MOV_COM_22__2686517</t>
  </si>
  <si>
    <t>MINIONS (2)</t>
  </si>
  <si>
    <t>Minions</t>
  </si>
  <si>
    <t>Minions (2015)</t>
  </si>
  <si>
    <t>MOV_ANI_22__2686853</t>
  </si>
  <si>
    <t>Hard Hit</t>
  </si>
  <si>
    <t>Cuộc gọi bí ẩn</t>
  </si>
  <si>
    <t>MOV_ACT_22__2686499</t>
  </si>
  <si>
    <t>GODSPEED</t>
  </si>
  <si>
    <t>MOV_COM291</t>
  </si>
  <si>
    <t>Chưa thạo đường đời</t>
  </si>
  <si>
    <t>HONEYSWEET</t>
  </si>
  <si>
    <t>Nhân duyên tiền đình</t>
  </si>
  <si>
    <t>MOV_ACT600</t>
  </si>
  <si>
    <t>PROPHECY</t>
  </si>
  <si>
    <t>Lời tiên tri</t>
  </si>
  <si>
    <t>MOV_THR_21__2648729</t>
  </si>
  <si>
    <t>TAR</t>
  </si>
  <si>
    <t>MOV_DRA753</t>
  </si>
  <si>
    <t>Drama, Biography, Drama, Women, Music</t>
  </si>
  <si>
    <t>TÁR</t>
  </si>
  <si>
    <t>Pipeline</t>
  </si>
  <si>
    <t>Đường ống</t>
  </si>
  <si>
    <t>MOV_ACT_22__2686498</t>
  </si>
  <si>
    <t>Blazing Samurai/ Paws of Fury: The Legend of Hank</t>
  </si>
  <si>
    <t>Môn phái Võ Mèo: Huyền thoại một chú chó</t>
  </si>
  <si>
    <t>Paws of Fury: The Legend of Hank</t>
  </si>
  <si>
    <t>MOV_ANI_23__2698581</t>
  </si>
  <si>
    <t>My Love</t>
  </si>
  <si>
    <t>Hôn lễ của em</t>
  </si>
  <si>
    <t>MOV_ROM_22__2686497</t>
  </si>
  <si>
    <t>HANNA (2011)</t>
  </si>
  <si>
    <t>Germany;United Kingdom</t>
  </si>
  <si>
    <t>Hanna bí ẩn</t>
  </si>
  <si>
    <t>MOV_ACT576</t>
  </si>
  <si>
    <t>BEAUTIFUL DAY IN THE NEIGHBORHOOD, A</t>
  </si>
  <si>
    <t>MOV_BIO_24__2713783</t>
  </si>
  <si>
    <t>Một ngày đẹp đẽ trong khu phố</t>
  </si>
  <si>
    <t>A BEAUTIFUL DAY IN THE NEIGHBORHOOD</t>
  </si>
  <si>
    <t>The Age of Blood (Thời Kỳ Phiến Loạn)</t>
  </si>
  <si>
    <t>Thời Kỳ Phiến Loạn</t>
  </si>
  <si>
    <t>The Age of Blood</t>
  </si>
  <si>
    <t>MOV_ACT_24__2714420</t>
  </si>
  <si>
    <t>Good Job (Movie-KOR)</t>
  </si>
  <si>
    <t>MOV_ACT610</t>
  </si>
  <si>
    <t>More Than Family</t>
  </si>
  <si>
    <t>MOV_COM_23__2697133</t>
  </si>
  <si>
    <t>Mẹ bầu siêu ngầu</t>
  </si>
  <si>
    <t>THE ROYAL BRIDE (GÁI GIÀ LẮM CHIÊU 3)</t>
  </si>
  <si>
    <t>GÁI GIÀ LẮM CHIÊU 3</t>
  </si>
  <si>
    <t>THE ROYAL BRIDE</t>
  </si>
  <si>
    <t>MOV_COM290</t>
  </si>
  <si>
    <t>LOVE AGAIN (Chồng cũ tình mới)</t>
  </si>
  <si>
    <t>Chồng cũ, tình mới</t>
  </si>
  <si>
    <t>LOVE AGAIN</t>
  </si>
  <si>
    <t>MOV_COM_22__2686870</t>
  </si>
  <si>
    <t>RIDE ALONG 2</t>
  </si>
  <si>
    <t>Bộ đôi cảnh sát 2</t>
  </si>
  <si>
    <t>MOV_ACT588</t>
  </si>
  <si>
    <t>BRAVEST, THE (2019)</t>
  </si>
  <si>
    <t>Liệt hỏa anh hùng</t>
  </si>
  <si>
    <t>MOV_ACT_24__2713785</t>
  </si>
  <si>
    <t>Arctic</t>
  </si>
  <si>
    <t>Iceland</t>
  </si>
  <si>
    <t>Bắc cực</t>
  </si>
  <si>
    <t>MOV_ADV_22__2686513</t>
  </si>
  <si>
    <t>The woman who ran away</t>
  </si>
  <si>
    <t>Người phụ nữ bỏ trốn</t>
  </si>
  <si>
    <t>The woman who ran</t>
  </si>
  <si>
    <t>MOV_DRA_23__2698013</t>
  </si>
  <si>
    <t>Countdown (US)</t>
  </si>
  <si>
    <t>Ứng dụng tử thần</t>
  </si>
  <si>
    <t xml:space="preserve">Countdown  </t>
  </si>
  <si>
    <t>MOV_HOR_22__2686491</t>
  </si>
  <si>
    <t>ELYSIUM</t>
  </si>
  <si>
    <t>Kỷ nguyên Elysium</t>
  </si>
  <si>
    <t>MOV_ACT608</t>
  </si>
  <si>
    <t>PHANTOM THREAD</t>
  </si>
  <si>
    <t>Bóng ma sợi chỉ</t>
  </si>
  <si>
    <t>MOV_DRA_24__2712649</t>
  </si>
  <si>
    <t>The Women Of The Hour</t>
  </si>
  <si>
    <t xml:space="preserve">  US</t>
  </si>
  <si>
    <t>Hẹn hò với sát nhân</t>
  </si>
  <si>
    <t>Woman Of The Hour</t>
  </si>
  <si>
    <t>MOV_CRI112</t>
  </si>
  <si>
    <t>LAST NIGHT</t>
  </si>
  <si>
    <t>Đêm tình cuối</t>
  </si>
  <si>
    <t>MOV_DRA_24__2710431</t>
  </si>
  <si>
    <t>MARSHALL</t>
  </si>
  <si>
    <t>Thẩm phán Marshall</t>
  </si>
  <si>
    <t>MOV_BIO25</t>
  </si>
  <si>
    <t>ONE WEEK FRIENDS</t>
  </si>
  <si>
    <t>Drama/Youth</t>
  </si>
  <si>
    <t>Người bạn một tuần</t>
  </si>
  <si>
    <t>MOV_ROM99</t>
  </si>
  <si>
    <t>MY GIRL (Điều ước cuối của tù nhân 2037)</t>
  </si>
  <si>
    <t>Điều ước cuối của tù nhân 2037</t>
  </si>
  <si>
    <t>MY GIRL</t>
  </si>
  <si>
    <t>MOV_DRA_23__2694714</t>
  </si>
  <si>
    <t>DEATH NOTICE</t>
  </si>
  <si>
    <t>Bản thông báo tử vong</t>
  </si>
  <si>
    <t>MOV_CRI_24__2710436</t>
  </si>
  <si>
    <t>Sicario: Day of the Soldado</t>
  </si>
  <si>
    <t>Chiến binh Mexico</t>
  </si>
  <si>
    <t xml:space="preserve">Sicario: Day of the Soldado  </t>
  </si>
  <si>
    <t>MOV_ACT_22__2686484</t>
  </si>
  <si>
    <t>DEAR EVAN HANSEN</t>
  </si>
  <si>
    <t>Evan Hansen thân mến</t>
  </si>
  <si>
    <t>MOV_DRA727</t>
  </si>
  <si>
    <t>Longlegs</t>
  </si>
  <si>
    <t>MOV_CRI111</t>
  </si>
  <si>
    <t>Thảm kịch dị giáo</t>
  </si>
  <si>
    <t>S: THE LAST POLICEMAN-Recovery of Our Future-</t>
  </si>
  <si>
    <t>Đội cảnh sát S</t>
  </si>
  <si>
    <t>S: THE LAST POLICEMAN-RECOVERY OF OUR FUTURE</t>
  </si>
  <si>
    <t>MOV_ACT__2651375</t>
  </si>
  <si>
    <t>Misanthrope</t>
  </si>
  <si>
    <t>MOV_ACT598</t>
  </si>
  <si>
    <t>Truy bắt sát nhân</t>
  </si>
  <si>
    <t>Two Buddies and a Badger: The Great Big Beast(Chuyến Phiêu Lưu Trời Ơi Đất Hỡi)</t>
  </si>
  <si>
    <t>Norway</t>
  </si>
  <si>
    <t>Chuyến Phiêu Lưu Trời Ơi Đất Hỡi</t>
  </si>
  <si>
    <t>Two Buddies And A Badger: The Great Big Beast</t>
  </si>
  <si>
    <t>MOV_ANI_22__2674850</t>
  </si>
  <si>
    <t>Signal: The Movie</t>
  </si>
  <si>
    <t xml:space="preserve">	Tín hiệu chết chóc</t>
  </si>
  <si>
    <t>MOV_ACT_22__2668484</t>
  </si>
  <si>
    <t>Superwho?</t>
  </si>
  <si>
    <t>Giả danh anh hùng</t>
  </si>
  <si>
    <t>MOV_ACT_22__2686483</t>
  </si>
  <si>
    <t>Faceless Boss</t>
  </si>
  <si>
    <t>Vô diện đại ca</t>
  </si>
  <si>
    <t>The Faceless Boss</t>
  </si>
  <si>
    <t>MOV_CRI_23__2697555</t>
  </si>
  <si>
    <t>THE POST (Bí mật Lầu Năm Góc)</t>
  </si>
  <si>
    <t>MOV_BIO_23__2689673</t>
  </si>
  <si>
    <t>Bí mật Lầu Năm Góc</t>
  </si>
  <si>
    <t>THE POST</t>
  </si>
  <si>
    <t>STOLEN IDENTITY 2</t>
  </si>
  <si>
    <t>Kẻ trộm danh tính - Phần 2</t>
  </si>
  <si>
    <t>MOV_THR_21__2651058</t>
  </si>
  <si>
    <t>THE WHISTLERS</t>
  </si>
  <si>
    <t>MOV_CRI_24__2710437</t>
  </si>
  <si>
    <t>Romania,
France</t>
  </si>
  <si>
    <t>Vụ cướp đảo La Gomera</t>
  </si>
  <si>
    <t>BLACK AND BLUE (2019)</t>
  </si>
  <si>
    <t>Cảnh sát da màu</t>
  </si>
  <si>
    <t>MOV_ACT_24__2713163</t>
  </si>
  <si>
    <t>ALL ABOUT MY MOTHER</t>
  </si>
  <si>
    <t>Chân dung mẹ tôi</t>
  </si>
  <si>
    <t>MOV_DRA_24__2710444</t>
  </si>
  <si>
    <t>The Voice Of Sin</t>
  </si>
  <si>
    <t>MOV_CRI_22__2686512</t>
  </si>
  <si>
    <t>Thanh âm tội ác</t>
  </si>
  <si>
    <t>THE LEDGE</t>
  </si>
  <si>
    <t>MOV_ADV_23__2691048</t>
  </si>
  <si>
    <t>Vực thẳm</t>
  </si>
  <si>
    <t>Cloudy Mountain (Chiều Sâu Vô Hạn)</t>
  </si>
  <si>
    <t>MOV_ACT_24__2715853</t>
  </si>
  <si>
    <t>Chiều Sâu Vô Hạn</t>
  </si>
  <si>
    <t>Cloudy Mountain</t>
  </si>
  <si>
    <t>Time Freak</t>
  </si>
  <si>
    <t>MOV_ROM_23__2697130</t>
  </si>
  <si>
    <t>Ngược dòng thời gian</t>
  </si>
  <si>
    <t>RIDE ALONG</t>
  </si>
  <si>
    <t>MOV_ACT587</t>
  </si>
  <si>
    <t>Bộ đôi cảnh sát</t>
  </si>
  <si>
    <t>LITTLE WOMEN (2019)</t>
  </si>
  <si>
    <t>Những người phụ nữ bé nhỏ</t>
  </si>
  <si>
    <t>MOV_DRA752</t>
  </si>
  <si>
    <t>We Made A Beautiful Bouquet</t>
  </si>
  <si>
    <t>Tình ta đẹp tựa đóa hoa</t>
  </si>
  <si>
    <t>MOV_ROM_22__2686516</t>
  </si>
  <si>
    <t>Talk To Me</t>
  </si>
  <si>
    <t>Gọi hồn quỷ dữ</t>
  </si>
  <si>
    <t>MOV_HOR_24__2711609</t>
  </si>
  <si>
    <t>The Ice Road</t>
  </si>
  <si>
    <t>Con đường băng</t>
  </si>
  <si>
    <t>MOV_ACT_23__2693252</t>
  </si>
  <si>
    <t>Space Dogs: Return to Earth</t>
  </si>
  <si>
    <t>Biệt đội phi hành cún</t>
  </si>
  <si>
    <t>Space dogs: Tropical adventure</t>
  </si>
  <si>
    <t>MOV_ANI_23__2698580</t>
  </si>
  <si>
    <t>Last princess</t>
  </si>
  <si>
    <t>Công chúa cuối cùng</t>
  </si>
  <si>
    <t>The Last Princess</t>
  </si>
  <si>
    <t>MOV_DRA_23__2696805</t>
  </si>
  <si>
    <t>AROUND THE WORLD IN 80 DAYS (KHỈ CON LON TON THẾ GIỚI)</t>
  </si>
  <si>
    <t>KHỈ CON LON TON THẾ GIỚI</t>
  </si>
  <si>
    <t>AROUND THE WORLD IN 80 DAYS</t>
  </si>
  <si>
    <t>MOV_ANI_23__2709986</t>
  </si>
  <si>
    <t>Best Friend</t>
  </si>
  <si>
    <t>Láng giềng gần</t>
  </si>
  <si>
    <t>MOV_COM_22__2686480</t>
  </si>
  <si>
    <t>AMBULANCE (2022)</t>
  </si>
  <si>
    <t>Xe cấp cứu</t>
  </si>
  <si>
    <t>MOV_ACT584</t>
  </si>
  <si>
    <t>WITCH, THE</t>
  </si>
  <si>
    <t>Phù thủy</t>
  </si>
  <si>
    <t>MOV_HOR68</t>
  </si>
  <si>
    <t>A LONG WAY DOWN</t>
  </si>
  <si>
    <t>Còn lâu mới chết</t>
  </si>
  <si>
    <t>MOV_COM_24__2710443</t>
  </si>
  <si>
    <t>EMILY THE CRIMINAL</t>
  </si>
  <si>
    <t>Tội phạm Emily</t>
  </si>
  <si>
    <t>MOV_CRI107</t>
  </si>
  <si>
    <t>My Spy</t>
  </si>
  <si>
    <t>Điệp viên tí hon</t>
  </si>
  <si>
    <t>MOV_ACT_23__2695079</t>
  </si>
  <si>
    <t>BURLESQUE</t>
  </si>
  <si>
    <t>Vũ nữ</t>
  </si>
  <si>
    <t>MOV_MUS7</t>
  </si>
  <si>
    <t>A DOG'S PURPOSE (Mục đích sống của một chú chó)</t>
  </si>
  <si>
    <t>Mục đích sống của một chú chó</t>
  </si>
  <si>
    <t>A DOG'S PURPOSE</t>
  </si>
  <si>
    <t>MOV_ADV_23__2694718</t>
  </si>
  <si>
    <t>RECALLED (TRIỆU HỒI)</t>
  </si>
  <si>
    <t>TRIỆU HỒI</t>
  </si>
  <si>
    <t>RECALLED</t>
  </si>
  <si>
    <t>MOV_THR_24__2712729</t>
  </si>
  <si>
    <t>Triple Threat</t>
  </si>
  <si>
    <t>US, Thailand, China, France</t>
  </si>
  <si>
    <t>Bộ ba vệ sĩ</t>
  </si>
  <si>
    <t>MOV_ACT_23__2691050</t>
  </si>
  <si>
    <t>THE GIRL ON THE TRAIN (Cô gái trên tàu)</t>
  </si>
  <si>
    <t>Cô gái trên tàu</t>
  </si>
  <si>
    <t>THE GIRL ON THE TRAIN</t>
  </si>
  <si>
    <t>MOV_CRI_23__2694717</t>
  </si>
  <si>
    <t>Gringo</t>
  </si>
  <si>
    <t>Nhọ gặp hên</t>
  </si>
  <si>
    <t>MOV_ACT_22__2686478</t>
  </si>
  <si>
    <t>Journey to China: The Mystery of the Dragon Seal</t>
  </si>
  <si>
    <t>Long ẩn cơ mật</t>
  </si>
  <si>
    <t>MOV_ACT_24__2710733</t>
  </si>
  <si>
    <t>The Night Clerk</t>
  </si>
  <si>
    <t>Người trực đêm</t>
  </si>
  <si>
    <t>MOV_CRI_22__2686505</t>
  </si>
  <si>
    <t>LONG DISTANCE</t>
  </si>
  <si>
    <t>Tín hiệu vũ trụ</t>
  </si>
  <si>
    <t>MOV_SCI20</t>
  </si>
  <si>
    <t>CONTORTED (NHÀ KHO CHẾT CHÓC)</t>
  </si>
  <si>
    <t>MOV_HOR_24__2713878</t>
  </si>
  <si>
    <t>NHÀ KHO CHẾT CHÓC</t>
  </si>
  <si>
    <t>CONTORTED</t>
  </si>
  <si>
    <t>Caught In Time (Trừ Gian Diệt Ác)</t>
  </si>
  <si>
    <t>MOV_ACT556</t>
  </si>
  <si>
    <t>Trừ Gian Diệt Ác</t>
  </si>
  <si>
    <t>Caught In Time</t>
  </si>
  <si>
    <t>MOZU</t>
  </si>
  <si>
    <t>MOV_CRI_21__2648182</t>
  </si>
  <si>
    <t xml:space="preserve"> Sát thủ Mozu</t>
  </si>
  <si>
    <t>HUNT, THE</t>
  </si>
  <si>
    <t>Cuộc săn lùng</t>
  </si>
  <si>
    <t>MOV_DRA730</t>
  </si>
  <si>
    <t>HOUSE WITH A CLOCK IN ITS WALLS (Ngôi nhà có chiếc đồng hồ ma thuật)</t>
  </si>
  <si>
    <t>MOV_FAN_22__2686869</t>
  </si>
  <si>
    <t>Ngôi nhà có chiếc đồng hồ ma thuật</t>
  </si>
  <si>
    <t>HOUSE WITH A CLOCK IN ITS WALLS</t>
  </si>
  <si>
    <t>Greta</t>
  </si>
  <si>
    <t>MOV_DRA_23__2696593</t>
  </si>
  <si>
    <t>Góa phụ Greta</t>
  </si>
  <si>
    <t>GUIMOON: THE LIGHTLESS DOOR (CỔNG ĐỊA NGỤC)</t>
  </si>
  <si>
    <t>CỔNG ĐỊA NGỤC</t>
  </si>
  <si>
    <t>GUIMOON: THE LIGHTLESS DOOR</t>
  </si>
  <si>
    <t>MOV_HOR_24__2713435</t>
  </si>
  <si>
    <t>Hitman's Wife's Bodyguard</t>
  </si>
  <si>
    <t>Vệ sĩ sát thủ 2: Nhà có nóc</t>
  </si>
  <si>
    <t>MOV_ACT_22__2686885</t>
  </si>
  <si>
    <t>Ironbark/The Courier</t>
  </si>
  <si>
    <t>Người đưa tin</t>
  </si>
  <si>
    <t>Ironbark/ The Courier</t>
  </si>
  <si>
    <t>MOV_DRA_23__2695077</t>
  </si>
  <si>
    <t>MEMOIRS OF A GEISHA</t>
  </si>
  <si>
    <t>Hồi ức của một Geisha</t>
  </si>
  <si>
    <t>MOV_DRA739</t>
  </si>
  <si>
    <t>Happy Family</t>
  </si>
  <si>
    <t>Germany</t>
  </si>
  <si>
    <t>Gia đình là tất cả</t>
  </si>
  <si>
    <t>MOV_ANI_23__2697127</t>
  </si>
  <si>
    <t>Riam: Fighting Angel</t>
  </si>
  <si>
    <t>Riam: Nữ quái nổi loạn</t>
  </si>
  <si>
    <t>MOV_ACT_23__2693370</t>
  </si>
  <si>
    <t>Escape Plan 2: Hades</t>
  </si>
  <si>
    <t>Kế hoạch đào tẩu 2: Địa ngục</t>
  </si>
  <si>
    <t>MOV_ACT_22__2687284</t>
  </si>
  <si>
    <t>ROGUE HEROS</t>
  </si>
  <si>
    <t>Biệt đội săn mồi</t>
  </si>
  <si>
    <t>ROGUE</t>
  </si>
  <si>
    <t>MOV_ACT_23__2691047</t>
  </si>
  <si>
    <t>SHINING FOR ONE THING</t>
  </si>
  <si>
    <t>Thriller, Mystery, Romance, Fantasy</t>
  </si>
  <si>
    <t>Ngôi Sao Lấp Lánh</t>
  </si>
  <si>
    <t>Internet
Downloading</t>
  </si>
  <si>
    <t>Internet
Streaming</t>
  </si>
  <si>
    <t>Year of Production</t>
  </si>
  <si>
    <t>Content Rating</t>
  </si>
  <si>
    <t>STT</t>
  </si>
  <si>
    <t>PCT</t>
  </si>
  <si>
    <t>P621ZZOT06</t>
  </si>
  <si>
    <t>6277651</t>
  </si>
  <si>
    <t>15666</t>
  </si>
  <si>
    <t>Phim SX hoàn thành, phát sóng - 8.2025 - Phim Bát Phố</t>
  </si>
  <si>
    <t>WP008</t>
  </si>
  <si>
    <t>Phim SX - Đi về phía lửa, khởi chiếu 02.2024 (Hoan Khuê)</t>
  </si>
  <si>
    <t>WP007</t>
  </si>
  <si>
    <t>Phim SX - Phim Tết ở làng địa ngục, khởi chiếu 10.2023 (ProductionQ)</t>
  </si>
  <si>
    <t>WP006</t>
  </si>
  <si>
    <t>Phim SX - Phim Nhà mình lạ lắm, khởi chiếu 7.2023 (CINEPOST)</t>
  </si>
  <si>
    <t>WP005</t>
  </si>
  <si>
    <t>Phim SX - Phim tài liệu Bức Tường, khởi chiếu 9.2022 (VSTV)</t>
  </si>
  <si>
    <t>WP004</t>
  </si>
  <si>
    <t>Phim SX - Xin chào Bếp trưởng (Yes, Chef), khởi chiếu 10.2022 (Supplier Ý Anh)</t>
  </si>
  <si>
    <t>WP003</t>
  </si>
  <si>
    <t>Phim SX - Trại hoa đỏ (Red flower farm), khởi chiếu 07.2022 (Supplier Hoan Khuê)</t>
  </si>
  <si>
    <t>WP002</t>
  </si>
  <si>
    <t>Phim SX - Mẹ ác ma, cha thiên sứ (Tiger Mom), khởi chiếu 12.2021 (Supplier Đỗ Gia)</t>
  </si>
  <si>
    <t>WP001</t>
  </si>
  <si>
    <t>Tổng cộng</t>
  </si>
  <si>
    <t>Ref File KK</t>
  </si>
  <si>
    <t>Số đã dự phòng giảm giá do không còn hoạt động TH trả tiền</t>
  </si>
  <si>
    <t>Mã bộ phận</t>
  </si>
  <si>
    <t>TK CP</t>
  </si>
  <si>
    <t>TK PB</t>
  </si>
  <si>
    <t>Gt p.bổ trong kỳ</t>
  </si>
  <si>
    <t>Gt còn lại</t>
  </si>
  <si>
    <t>Gt đã phân bổ</t>
  </si>
  <si>
    <t>Nguyên giá</t>
  </si>
  <si>
    <t>SL cuối kỳ</t>
  </si>
  <si>
    <t>Số kỳ pb</t>
  </si>
  <si>
    <t>Ngày tính p.bổ</t>
  </si>
  <si>
    <t>Tên CCDC</t>
  </si>
  <si>
    <t>Mã công cụ</t>
  </si>
  <si>
    <t>BẢNG TÍNH CHI PHÍ CCDC - Chi phí trả trước, không bao gồm công cụ dụng cụ, còn thời hạn đến 31/12/2025</t>
  </si>
  <si>
    <t>33561</t>
  </si>
  <si>
    <t>15661</t>
  </si>
  <si>
    <t>P221ZZKI01</t>
  </si>
  <si>
    <t>KIDS</t>
  </si>
  <si>
    <t>Animaccord Ltd</t>
  </si>
  <si>
    <t>S0002273</t>
  </si>
  <si>
    <t>USD</t>
  </si>
  <si>
    <t>K+5KID021296</t>
  </si>
  <si>
    <t>K+5KID021295</t>
  </si>
  <si>
    <t>K+5KID021294</t>
  </si>
  <si>
    <t>P221ZZMO01</t>
  </si>
  <si>
    <t>Movies International</t>
  </si>
  <si>
    <t>UNIVERSAL CITY STUDIOS PRODUCTIONS LLLP</t>
  </si>
  <si>
    <t>S0002418</t>
  </si>
  <si>
    <t>K+5MOV025135</t>
  </si>
  <si>
    <t>CPT HOLDINGS INC.</t>
  </si>
  <si>
    <t>S0002225</t>
  </si>
  <si>
    <t>K+1MOV024060</t>
  </si>
  <si>
    <t>K+1MOV024058</t>
  </si>
  <si>
    <t>K+1MOV024057</t>
  </si>
  <si>
    <t>K+2MOV024059</t>
  </si>
  <si>
    <t>P221ZZSR01</t>
  </si>
  <si>
    <t>Series Asian</t>
  </si>
  <si>
    <t>Love's ambition (Hãy để tôi tỏa sáng)</t>
  </si>
  <si>
    <t>PCCW Vuclip (Singapore) Pte. Ltd.</t>
  </si>
  <si>
    <t>S0002419</t>
  </si>
  <si>
    <t>K+2SER025189</t>
  </si>
  <si>
    <t>K+2SER025188</t>
  </si>
  <si>
    <t>K+2SER025187</t>
  </si>
  <si>
    <t>627768</t>
  </si>
  <si>
    <t>33563</t>
  </si>
  <si>
    <t>15663</t>
  </si>
  <si>
    <t>P221ZZDO01</t>
  </si>
  <si>
    <t>Doc-Art</t>
  </si>
  <si>
    <t>End Of Year Special 2025</t>
  </si>
  <si>
    <t>FCCE BV</t>
  </si>
  <si>
    <t>S0001082</t>
  </si>
  <si>
    <t>K+1DOC025186</t>
  </si>
  <si>
    <t>Celebrity Scoop 2025</t>
  </si>
  <si>
    <t>K+1DOC025185</t>
  </si>
  <si>
    <t>WEEKLY FILMS AND STARS 2025</t>
  </si>
  <si>
    <t>K+1DOC025184</t>
  </si>
  <si>
    <t>Tongle Pictures Limited</t>
  </si>
  <si>
    <t>SR0057</t>
  </si>
  <si>
    <t>K+2SER025183</t>
  </si>
  <si>
    <t>China Huace Film And TV Co.Ltd</t>
  </si>
  <si>
    <t>S0002629</t>
  </si>
  <si>
    <t>K+2SER025182</t>
  </si>
  <si>
    <t>Studio S Co., Ltd.</t>
  </si>
  <si>
    <t>SR0054</t>
  </si>
  <si>
    <t>K+2SER025181</t>
  </si>
  <si>
    <t>DONGYANGHUANYU FILM &amp; TELEVISION CULTURE CO., LTD.</t>
  </si>
  <si>
    <t>SR0056</t>
  </si>
  <si>
    <t>K+2SER025180</t>
  </si>
  <si>
    <t>Paramount Pictures International Limited</t>
  </si>
  <si>
    <t>S0002438</t>
  </si>
  <si>
    <t>K+1MOV025179</t>
  </si>
  <si>
    <t>K+1MOV025178</t>
  </si>
  <si>
    <t>K+1MOV025177</t>
  </si>
  <si>
    <t>K+1MOV025176</t>
  </si>
  <si>
    <t>K+5MOV025175</t>
  </si>
  <si>
    <t>K+1MOV025174</t>
  </si>
  <si>
    <t>K+1MOV025173</t>
  </si>
  <si>
    <t>K+1MOV025172</t>
  </si>
  <si>
    <t>K+1MOV025171</t>
  </si>
  <si>
    <t>K+1MOV025170</t>
  </si>
  <si>
    <t>K+1MOV025169</t>
  </si>
  <si>
    <t>K+1MOV025168</t>
  </si>
  <si>
    <t>K+1MOV025167</t>
  </si>
  <si>
    <t>K+1MOV025166</t>
  </si>
  <si>
    <t>K+1MOV025165</t>
  </si>
  <si>
    <t>K+1MOV025164</t>
  </si>
  <si>
    <t>K+1MOV025163</t>
  </si>
  <si>
    <t>K+2MOV025162</t>
  </si>
  <si>
    <t>K+1MOV025161</t>
  </si>
  <si>
    <t>K+1MOV025160</t>
  </si>
  <si>
    <t>K+1MOV025159</t>
  </si>
  <si>
    <t>K+1MOV025158</t>
  </si>
  <si>
    <t>K+1SER025157</t>
  </si>
  <si>
    <t>POPS SINGAPORE PTE. LTD.</t>
  </si>
  <si>
    <t>S0002519</t>
  </si>
  <si>
    <t>K+5KID025156</t>
  </si>
  <si>
    <t>K+5KID025155</t>
  </si>
  <si>
    <t>P221ZZMO02</t>
  </si>
  <si>
    <t>Movies Vietnam</t>
  </si>
  <si>
    <t>Công Ty Cổ Phần Giải Trí TFILM</t>
  </si>
  <si>
    <t>S0001801</t>
  </si>
  <si>
    <t>VND</t>
  </si>
  <si>
    <t>K+1MOV025154</t>
  </si>
  <si>
    <t>K+1MOV025153</t>
  </si>
  <si>
    <t>K+1MOV025152</t>
  </si>
  <si>
    <t>K+1MOV025151</t>
  </si>
  <si>
    <t>K+1MOV025150</t>
  </si>
  <si>
    <t>K+1MOV025149</t>
  </si>
  <si>
    <t>K+2SER025148</t>
  </si>
  <si>
    <t>K+1MOV025147</t>
  </si>
  <si>
    <t>K+1MOV025146</t>
  </si>
  <si>
    <t>K+1MOV025145</t>
  </si>
  <si>
    <t>K+1MOV025144</t>
  </si>
  <si>
    <t>K+1MOV025143</t>
  </si>
  <si>
    <t>K+1MOV025142</t>
  </si>
  <si>
    <t>K+1MOV025141</t>
  </si>
  <si>
    <t>K+1MOV025140</t>
  </si>
  <si>
    <t>K+1MOV025139</t>
  </si>
  <si>
    <t>K+1MOV025138</t>
  </si>
  <si>
    <t>K+1MOV025136</t>
  </si>
  <si>
    <t>K+5MOV025134</t>
  </si>
  <si>
    <t>K+5MOV025133</t>
  </si>
  <si>
    <t>K+5MOV025132</t>
  </si>
  <si>
    <t>K+1MOV025131</t>
  </si>
  <si>
    <t>K+2MOV025130</t>
  </si>
  <si>
    <t>K+1MOV025129</t>
  </si>
  <si>
    <t>K+1MOV025128</t>
  </si>
  <si>
    <t>K+1MOV025127</t>
  </si>
  <si>
    <t>K+1MOV025126</t>
  </si>
  <si>
    <t>K+1MOV025125</t>
  </si>
  <si>
    <t>K+2MOV025124</t>
  </si>
  <si>
    <t>K+2MOV025123</t>
  </si>
  <si>
    <t>K+1MOV025122</t>
  </si>
  <si>
    <t>K+1MOV025121</t>
  </si>
  <si>
    <t>K+1MOV025120</t>
  </si>
  <si>
    <t>K+1MOV025119</t>
  </si>
  <si>
    <t>K+1MOV025118</t>
  </si>
  <si>
    <t>K+1MOV025117</t>
  </si>
  <si>
    <t>K+1MOV025116</t>
  </si>
  <si>
    <t>K+1MOV025115</t>
  </si>
  <si>
    <t>K+1MOV025114</t>
  </si>
  <si>
    <t>K+5KID025113</t>
  </si>
  <si>
    <t>THE FIRST SHOT</t>
  </si>
  <si>
    <t>YOUKU INFORMATION TECHNOLOGY(Beijing) CO., LTD.</t>
  </si>
  <si>
    <t>S0002432</t>
  </si>
  <si>
    <t>K+2SER025112</t>
  </si>
  <si>
    <t>K+1MOV025111</t>
  </si>
  <si>
    <t>K+1MOV025110</t>
  </si>
  <si>
    <t>K+1MOV025109</t>
  </si>
  <si>
    <t>2012</t>
  </si>
  <si>
    <t>K+1MOV025108</t>
  </si>
  <si>
    <t>K+1MOV025107</t>
  </si>
  <si>
    <t>K+1MOV025106</t>
  </si>
  <si>
    <t>K+1MOV025105</t>
  </si>
  <si>
    <t>K+1MOV025104</t>
  </si>
  <si>
    <t>K+1MOV025103</t>
  </si>
  <si>
    <t>K+1MOV025102</t>
  </si>
  <si>
    <t>K+1MOV025101</t>
  </si>
  <si>
    <t>K+1MOV025100</t>
  </si>
  <si>
    <t>K+1MOV025099</t>
  </si>
  <si>
    <t>K+1MOV025098</t>
  </si>
  <si>
    <t>K+1MOV025097</t>
  </si>
  <si>
    <t>K+1MOV025096</t>
  </si>
  <si>
    <t>K+1MOV025095</t>
  </si>
  <si>
    <t>K+1MOV025094</t>
  </si>
  <si>
    <t>K+2MOV025093</t>
  </si>
  <si>
    <t>K+1MOV025092</t>
  </si>
  <si>
    <t>K+1MOV025091</t>
  </si>
  <si>
    <t>K+1MOV025090</t>
  </si>
  <si>
    <t>K+1MOV025089</t>
  </si>
  <si>
    <t>K+1MOV025088</t>
  </si>
  <si>
    <t>K+1MOV025087</t>
  </si>
  <si>
    <t>K+2MOV025086</t>
  </si>
  <si>
    <t>K+2MOV025085</t>
  </si>
  <si>
    <t>K+1MOV025084</t>
  </si>
  <si>
    <t>K+1MOV025083</t>
  </si>
  <si>
    <t>K+1MOV025082</t>
  </si>
  <si>
    <t>IQIYI INTERNATIONAL SINGAPORE PTE. LTD.</t>
  </si>
  <si>
    <t>S0002262</t>
  </si>
  <si>
    <t>K+1MOV025081</t>
  </si>
  <si>
    <t>K+1MOV025080</t>
  </si>
  <si>
    <t>K+1MOV025079</t>
  </si>
  <si>
    <t>K+1MOV025078</t>
  </si>
  <si>
    <t>K+1MOV025077</t>
  </si>
  <si>
    <t>K+1MOV025076</t>
  </si>
  <si>
    <t>K+2SER025075</t>
  </si>
  <si>
    <t>K+2SER025074</t>
  </si>
  <si>
    <t>K+2SER025073</t>
  </si>
  <si>
    <t>K+2SER025072</t>
  </si>
  <si>
    <t>Series International</t>
  </si>
  <si>
    <t>CANAL+ MYANMAR HOLDING COMPANY PTE. LTD</t>
  </si>
  <si>
    <t>S0002378</t>
  </si>
  <si>
    <t>K+2SER025070</t>
  </si>
  <si>
    <t>K+2SER025069</t>
  </si>
  <si>
    <t>Public Television Service Foundation</t>
  </si>
  <si>
    <t>SR0055</t>
  </si>
  <si>
    <t>K+1SER025068</t>
  </si>
  <si>
    <t>Công ty TNHH giải trí CJ HK</t>
  </si>
  <si>
    <t>S0002248</t>
  </si>
  <si>
    <t>K+1MOV025067</t>
  </si>
  <si>
    <t>K+1MOV025066</t>
  </si>
  <si>
    <t>K+1MOV025065</t>
  </si>
  <si>
    <t>K+1MOV025064</t>
  </si>
  <si>
    <t>K+1MOV025063</t>
  </si>
  <si>
    <t>K+1MOV025062</t>
  </si>
  <si>
    <t>K+1MOV025061</t>
  </si>
  <si>
    <t>K+1MOV025060</t>
  </si>
  <si>
    <t>K+1MOV025059</t>
  </si>
  <si>
    <t>CÔNG TY CỔ PHẦN THƯƠNG MẠI VÀ DỊCH VỤ WOA UNIVERSAL</t>
  </si>
  <si>
    <t>S0002625</t>
  </si>
  <si>
    <t>K+1KID025058</t>
  </si>
  <si>
    <t>Công ty TNHH Skyline Media</t>
  </si>
  <si>
    <t>S0001328</t>
  </si>
  <si>
    <t>K+1MOV025057</t>
  </si>
  <si>
    <t>K+1MOV025056</t>
  </si>
  <si>
    <t>K+5MOV025055</t>
  </si>
  <si>
    <t>K+1MOV025054</t>
  </si>
  <si>
    <t>ARTICLE 20</t>
  </si>
  <si>
    <t>K+1MOV025053</t>
  </si>
  <si>
    <t>K+1MOV025052</t>
  </si>
  <si>
    <t>K+1MOV025051</t>
  </si>
  <si>
    <t>K+1MOV025050</t>
  </si>
  <si>
    <t>K+1MOV025049</t>
  </si>
  <si>
    <t>K+2MOV025048</t>
  </si>
  <si>
    <t>K+5MOV025047</t>
  </si>
  <si>
    <t>K+2MOV025046</t>
  </si>
  <si>
    <t>K+1MOV025045</t>
  </si>
  <si>
    <t>OOOPS: THE ADVENTURE CONTINUES (Two by Two: Overboard!)</t>
  </si>
  <si>
    <t>K+1MOV025044</t>
  </si>
  <si>
    <t>THE ROYAL BRIDE (Gái già lắm chiêu 3)</t>
  </si>
  <si>
    <t>K+1MOV025043</t>
  </si>
  <si>
    <t>K+1MOV025042</t>
  </si>
  <si>
    <t>K+2MOV025041</t>
  </si>
  <si>
    <t>K+1MOV025040</t>
  </si>
  <si>
    <t>Công ty TNHH Hãng phim Anh Tễu</t>
  </si>
  <si>
    <t>S0002624</t>
  </si>
  <si>
    <t>K+1MOV025039</t>
  </si>
  <si>
    <t>China Huace Global Media Co., Ltd.</t>
  </si>
  <si>
    <t>S0002490</t>
  </si>
  <si>
    <t>K+2SER025038</t>
  </si>
  <si>
    <t>Anti -piracy-contract 8 movies Mockingbird 2025</t>
  </si>
  <si>
    <t>Công Ty TNHH HÌNH ẢNH CON CHIM NHẠI</t>
  </si>
  <si>
    <t>S0001883</t>
  </si>
  <si>
    <t>K+1MOV025037</t>
  </si>
  <si>
    <t>K+1MOV025036</t>
  </si>
  <si>
    <t>K+1MOV025035</t>
  </si>
  <si>
    <t>K+2MOV025034</t>
  </si>
  <si>
    <t>K+1MOV025033</t>
  </si>
  <si>
    <t>K+1MOV025032</t>
  </si>
  <si>
    <t>K+1MOV025031</t>
  </si>
  <si>
    <t>K+1MOV025030</t>
  </si>
  <si>
    <t>K+1MOV025029</t>
  </si>
  <si>
    <t>ICONIX CO., LTD.</t>
  </si>
  <si>
    <t>S0002623</t>
  </si>
  <si>
    <t>K+5KID025028</t>
  </si>
  <si>
    <t>K+5KID025027</t>
  </si>
  <si>
    <t>CÔNG TY TNHH TRUYỀN THÔNG ROSES</t>
  </si>
  <si>
    <t>S0001804</t>
  </si>
  <si>
    <t>K+1MOV025025</t>
  </si>
  <si>
    <t>K+1MOV025024</t>
  </si>
  <si>
    <t>K+1MOV025023</t>
  </si>
  <si>
    <t>K+1MOV025022</t>
  </si>
  <si>
    <t>K+1MOV025021</t>
  </si>
  <si>
    <t>K+2MOV025020</t>
  </si>
  <si>
    <t>The Hunger Games: Ballad of Songbirds and Snakes</t>
  </si>
  <si>
    <t>K+1MOV025019</t>
  </si>
  <si>
    <t>K+1MOV025018</t>
  </si>
  <si>
    <t>Retribution</t>
  </si>
  <si>
    <t>K+1MOV025017</t>
  </si>
  <si>
    <t>Anti -piracy-contract 15 movies STK 2025</t>
  </si>
  <si>
    <t>CÔNG TY TNHH CÔNG NGHỆ VÀ GIẢI TRÍ TRUYỀN THÔNG SAO THIÊN KHÔI</t>
  </si>
  <si>
    <t>S0002622</t>
  </si>
  <si>
    <t>K+1MOV025016</t>
  </si>
  <si>
    <t>K+1MOV025015</t>
  </si>
  <si>
    <t>K+1MOV025014</t>
  </si>
  <si>
    <t>K+1MOV025013</t>
  </si>
  <si>
    <t>K+1MOV025012</t>
  </si>
  <si>
    <t>K+2MOV025011</t>
  </si>
  <si>
    <t>1605-2025</t>
  </si>
  <si>
    <t>K+1MOV025010</t>
  </si>
  <si>
    <t>K+1MOV025009</t>
  </si>
  <si>
    <t>K+1MOV025008</t>
  </si>
  <si>
    <t>K+1MOV025007</t>
  </si>
  <si>
    <t>K+2MOV025006</t>
  </si>
  <si>
    <t>K+1MOV025005</t>
  </si>
  <si>
    <t>K+1MOV025004</t>
  </si>
  <si>
    <t>K+1MOV025003</t>
  </si>
  <si>
    <t>K+1MOV025002</t>
  </si>
  <si>
    <t>K+1MOV025001</t>
  </si>
  <si>
    <t>NEW CLASSICS TELEVISION ENTERTAINMENT INVESTMENT CO.LTD.</t>
  </si>
  <si>
    <t>S0002531</t>
  </si>
  <si>
    <t>K+2SER024232</t>
  </si>
  <si>
    <t>StudioCanal TV Gmbh</t>
  </si>
  <si>
    <t>S0001558</t>
  </si>
  <si>
    <t>EUR</t>
  </si>
  <si>
    <t>K+2SER024231</t>
  </si>
  <si>
    <t>Extremely Wicked, Shockingly Evil and Vile (Kẻ cuồng sát biến thái)</t>
  </si>
  <si>
    <t>CÔNG TY CỔ PHẦN TRUYỀN THÔNG HỎA THỔ</t>
  </si>
  <si>
    <t>S0002365</t>
  </si>
  <si>
    <t>K+2MOV024230</t>
  </si>
  <si>
    <t>Skin (Xóa bỏ hận thù)</t>
  </si>
  <si>
    <t>K+2MOV024229</t>
  </si>
  <si>
    <t>ASIAPLAY TAIWAN DIGITAL ENTERTAINMENT LTD.</t>
  </si>
  <si>
    <t>S0002587</t>
  </si>
  <si>
    <t>K+2SER024228</t>
  </si>
  <si>
    <t>Castle in the time</t>
  </si>
  <si>
    <t>CAPPU FILMS LIMITED</t>
  </si>
  <si>
    <t>S0002578</t>
  </si>
  <si>
    <t>K+2SER024227</t>
  </si>
  <si>
    <t>Linmon Media International Co., Limited</t>
  </si>
  <si>
    <t>S0002505</t>
  </si>
  <si>
    <t>K+2SER024226</t>
  </si>
  <si>
    <t>K+1SER024225</t>
  </si>
  <si>
    <t>K+1SER024224</t>
  </si>
  <si>
    <t>K+1MOV024223</t>
  </si>
  <si>
    <t>K+1MOV024222</t>
  </si>
  <si>
    <t>Cinderella at 2AM</t>
  </si>
  <si>
    <t>K+1SER024221</t>
  </si>
  <si>
    <t>K+2SER024220</t>
  </si>
  <si>
    <t>K+1SER024219</t>
  </si>
  <si>
    <t xml:space="preserve">DHX Worldwide Limited </t>
  </si>
  <si>
    <t>S0002566</t>
  </si>
  <si>
    <t>K+5KID024218</t>
  </si>
  <si>
    <t>Good Partner</t>
  </si>
  <si>
    <t>K+1SER024217</t>
  </si>
  <si>
    <t>WHO IS HE?</t>
  </si>
  <si>
    <t>K+2SER024216</t>
  </si>
  <si>
    <t>SHANGHAI YOUHUG MEDIA CO., LTD.</t>
  </si>
  <si>
    <t>S0002550</t>
  </si>
  <si>
    <t>K+2SER024211</t>
  </si>
  <si>
    <t>K+2SER024162</t>
  </si>
  <si>
    <t>FZ ENTERTAINMENT CO,. LTD</t>
  </si>
  <si>
    <t>S0002551</t>
  </si>
  <si>
    <t>K+5KID024161</t>
  </si>
  <si>
    <t>K+5KID024160</t>
  </si>
  <si>
    <t>K+5KID024159</t>
  </si>
  <si>
    <t>TRANSFORMERS: THE LAST KNIGHT</t>
  </si>
  <si>
    <t>K+1MOV024154</t>
  </si>
  <si>
    <t>TERMINATOR GENISYS</t>
  </si>
  <si>
    <t>K+1MOV024149</t>
  </si>
  <si>
    <t>MISSION: IMPOSSIBLE III</t>
  </si>
  <si>
    <t>K+1MOV024145</t>
  </si>
  <si>
    <t>MISSION: IMPOSSIBLE II</t>
  </si>
  <si>
    <t>K+1MOV024144</t>
  </si>
  <si>
    <t>MISSION: IMPOSSIBLE - ROGUE NATION</t>
  </si>
  <si>
    <t>K+1MOV024143</t>
  </si>
  <si>
    <t>MISSION: IMPOSSIBLE - GHOST PROTOCOL</t>
  </si>
  <si>
    <t>K+1MOV024142</t>
  </si>
  <si>
    <t>MISSION: IMPOSSIBLE</t>
  </si>
  <si>
    <t>K+1MOV024141</t>
  </si>
  <si>
    <t>JACK RYAN: SHADOW RECRUIT</t>
  </si>
  <si>
    <t>K+1MOV024140</t>
  </si>
  <si>
    <t>GHOST IN THE SHELL (2017)</t>
  </si>
  <si>
    <t>K+2MOV024138</t>
  </si>
  <si>
    <t>CRAWL</t>
  </si>
  <si>
    <t>K+1MOV024135</t>
  </si>
  <si>
    <t>Ip Man 3 (Diệp Vấn 3)</t>
  </si>
  <si>
    <t>K+1MOV024134</t>
  </si>
  <si>
    <t>Raging Fire (Cuồng Phong Nộ Hỏa)</t>
  </si>
  <si>
    <t>K+1MOV024133</t>
  </si>
  <si>
    <t>Z Storm (Đội Chống Tham Nhũng)</t>
  </si>
  <si>
    <t>K+1MOV024132</t>
  </si>
  <si>
    <t>K+1MOV024131</t>
  </si>
  <si>
    <t>K+1MOV024130</t>
  </si>
  <si>
    <t>K+1MOV024129</t>
  </si>
  <si>
    <t>K+1MOV024128</t>
  </si>
  <si>
    <t>K+1MOV024127</t>
  </si>
  <si>
    <t>The Hot-Blooded (Tử Chiến)</t>
  </si>
  <si>
    <t>K+1MOV024126</t>
  </si>
  <si>
    <t>K+2SER024125</t>
  </si>
  <si>
    <t>CJ ENM Co.,Ltd</t>
  </si>
  <si>
    <t>S0001441</t>
  </si>
  <si>
    <t>K+2SER024124</t>
  </si>
  <si>
    <t>Studio Dragon Corporation</t>
  </si>
  <si>
    <t>S0001959</t>
  </si>
  <si>
    <t>K+2SER024123</t>
  </si>
  <si>
    <t>K+2SER024122</t>
  </si>
  <si>
    <t>K+2SER024121</t>
  </si>
  <si>
    <t>K+2SER024120</t>
  </si>
  <si>
    <t>K+2SER024119</t>
  </si>
  <si>
    <t>MEDIATOON DISTRIBUTION</t>
  </si>
  <si>
    <t>S0002295</t>
  </si>
  <si>
    <t>K+5KID024118</t>
  </si>
  <si>
    <t>K+5KID024117</t>
  </si>
  <si>
    <t>K+5SER024116</t>
  </si>
  <si>
    <t>K+5SER024115</t>
  </si>
  <si>
    <t>K+5SER024114</t>
  </si>
  <si>
    <t>K+5SER024113</t>
  </si>
  <si>
    <t>K+1SER024112</t>
  </si>
  <si>
    <t>K+2MOV024111</t>
  </si>
  <si>
    <t>K+2MOV024110</t>
  </si>
  <si>
    <t>K+1MOV024109</t>
  </si>
  <si>
    <t>K+1MOV024108</t>
  </si>
  <si>
    <t>K+1MOV024106</t>
  </si>
  <si>
    <t>K+1MOV024104</t>
  </si>
  <si>
    <t>K+1MOV024102</t>
  </si>
  <si>
    <t>K+1MOV024101</t>
  </si>
  <si>
    <t>K+1MOV024100</t>
  </si>
  <si>
    <t>K+5MOV024098</t>
  </si>
  <si>
    <t>K+1MOV024097</t>
  </si>
  <si>
    <t>K+1MOV024096</t>
  </si>
  <si>
    <t>K+1MOV024095</t>
  </si>
  <si>
    <t>K+5MOV024094</t>
  </si>
  <si>
    <t>Last night in Soho</t>
  </si>
  <si>
    <t>K+2MOV024093</t>
  </si>
  <si>
    <t>K+1MOV024092</t>
  </si>
  <si>
    <t>K+1MOV024091</t>
  </si>
  <si>
    <t>K+2MOV024090</t>
  </si>
  <si>
    <t>K+1MOV024089</t>
  </si>
  <si>
    <t>K+1MOV024088</t>
  </si>
  <si>
    <t>K+1MOV024087</t>
  </si>
  <si>
    <t>K+1MOV024086</t>
  </si>
  <si>
    <t>K+1MOV024085</t>
  </si>
  <si>
    <t>K+2MOV024084</t>
  </si>
  <si>
    <t>K+1MOV024073</t>
  </si>
  <si>
    <t>K+2MOV024072</t>
  </si>
  <si>
    <t>K+1MOV024070</t>
  </si>
  <si>
    <t>K+2MOV024069</t>
  </si>
  <si>
    <t>K+1MOV024067</t>
  </si>
  <si>
    <t>K+1MOV024066</t>
  </si>
  <si>
    <t>K+1MOV024063</t>
  </si>
  <si>
    <t>K+1MOV024061</t>
  </si>
  <si>
    <t>INTERNATIONAL MERCHANDISING, PROMOTION AND SERVICES (IMPS), SRL.</t>
  </si>
  <si>
    <t>S0002518</t>
  </si>
  <si>
    <t>K+5KID024051</t>
  </si>
  <si>
    <t>S0002327</t>
  </si>
  <si>
    <t>K+5KID024050</t>
  </si>
  <si>
    <t>K+5KID024049</t>
  </si>
  <si>
    <t>K+5KID024048</t>
  </si>
  <si>
    <t>K+2SER024046</t>
  </si>
  <si>
    <t>K+5KID024045</t>
  </si>
  <si>
    <t>K+1SER024044</t>
  </si>
  <si>
    <t>K+1MOV024043</t>
  </si>
  <si>
    <t>K+1MOV024042</t>
  </si>
  <si>
    <t>K+1MOV024041</t>
  </si>
  <si>
    <t>K+1MOV024040</t>
  </si>
  <si>
    <t>K+1MOV024039</t>
  </si>
  <si>
    <t>K+1MOV024038</t>
  </si>
  <si>
    <t>K+1MOV024037</t>
  </si>
  <si>
    <t>K+2MOV024036</t>
  </si>
  <si>
    <t>K+1MOV024035</t>
  </si>
  <si>
    <t>K+1MOV024034</t>
  </si>
  <si>
    <t>K+1MOV024033</t>
  </si>
  <si>
    <t>K+1MOV024032</t>
  </si>
  <si>
    <t>K+1MOV024031</t>
  </si>
  <si>
    <t>K+1MOV024030</t>
  </si>
  <si>
    <t>K+1MOV024029</t>
  </si>
  <si>
    <t>K+1MOV024028</t>
  </si>
  <si>
    <t>K+2MOV024027</t>
  </si>
  <si>
    <t>K+2MOV024025</t>
  </si>
  <si>
    <t>K+2MOV024024</t>
  </si>
  <si>
    <t>K+1MOV024023</t>
  </si>
  <si>
    <t>K+1MOV024022</t>
  </si>
  <si>
    <t>K+2MOV024021</t>
  </si>
  <si>
    <t>K+1MOV024020</t>
  </si>
  <si>
    <t>K+2MOV024019</t>
  </si>
  <si>
    <t>Công ty TNHH Truyền Thông Giải Trí Y&amp;K</t>
  </si>
  <si>
    <t>S0001617</t>
  </si>
  <si>
    <t>K+1SER024018</t>
  </si>
  <si>
    <t>K+2MOV024017</t>
  </si>
  <si>
    <t>K+1MOV024016</t>
  </si>
  <si>
    <t>K+1MOV024015</t>
  </si>
  <si>
    <t>K+1MOV024014</t>
  </si>
  <si>
    <t>K+2MOV024013</t>
  </si>
  <si>
    <t>K+2MOV024012</t>
  </si>
  <si>
    <t>K+5MOV024011</t>
  </si>
  <si>
    <t>K+1MOV024010</t>
  </si>
  <si>
    <t>K+2MOV024009</t>
  </si>
  <si>
    <t>K+2MOV024008</t>
  </si>
  <si>
    <t>K+2MOV024007</t>
  </si>
  <si>
    <t>K+2MOV024006</t>
  </si>
  <si>
    <t>K+1MOV024005</t>
  </si>
  <si>
    <t>K+1MOV024004</t>
  </si>
  <si>
    <t>K+1MOV024003</t>
  </si>
  <si>
    <t>K+5MOV024002</t>
  </si>
  <si>
    <t>K+5MOV024001</t>
  </si>
  <si>
    <t>K+1SER023242</t>
  </si>
  <si>
    <t>Night has come</t>
  </si>
  <si>
    <t>LG Uplus Corporation</t>
  </si>
  <si>
    <t>S0002495</t>
  </si>
  <si>
    <t>K+2SER023241</t>
  </si>
  <si>
    <t>K+2SER023240</t>
  </si>
  <si>
    <t>Thomas &amp; Friends Series 25 Special – Race for the Sodor Cup</t>
  </si>
  <si>
    <t>GULLANE (THOMAS) LIMITED</t>
  </si>
  <si>
    <t>S0002484</t>
  </si>
  <si>
    <t>K+5KID023239</t>
  </si>
  <si>
    <t>K+5KID023238</t>
  </si>
  <si>
    <t>Jetpack Distribution Limited</t>
  </si>
  <si>
    <t>S0002431</t>
  </si>
  <si>
    <t>K+5KID023237</t>
  </si>
  <si>
    <t>K+5KID023236</t>
  </si>
  <si>
    <t>K+1SER023235</t>
  </si>
  <si>
    <t>K+1SER023234</t>
  </si>
  <si>
    <t>KT StudioGenie Co., Ltd.</t>
  </si>
  <si>
    <t>S0002471</t>
  </si>
  <si>
    <t>K+2SER023232</t>
  </si>
  <si>
    <t>K+2SER023231</t>
  </si>
  <si>
    <t>YOUHUG MEDIA LIMITED</t>
  </si>
  <si>
    <t>SR0051</t>
  </si>
  <si>
    <t>K+2SER023227</t>
  </si>
  <si>
    <t>SLL Joongang Co., Ltd.</t>
  </si>
  <si>
    <t>S0002250</t>
  </si>
  <si>
    <t>K+2SER023226</t>
  </si>
  <si>
    <t>Lian Contents Co., Ltd.</t>
  </si>
  <si>
    <t>S0002459</t>
  </si>
  <si>
    <t>K+2SER023225</t>
  </si>
  <si>
    <t>One day off</t>
  </si>
  <si>
    <t>Content Wavve Corp.</t>
  </si>
  <si>
    <t>S0002464</t>
  </si>
  <si>
    <t>K+2SER023224</t>
  </si>
  <si>
    <t>Under The Microscope</t>
  </si>
  <si>
    <t>K+2SER023223</t>
  </si>
  <si>
    <t>K+1SER023222</t>
  </si>
  <si>
    <t>K+5KID023221</t>
  </si>
  <si>
    <t>K+5KID023220</t>
  </si>
  <si>
    <t>K+5KID023219</t>
  </si>
  <si>
    <t>K+2SER023218</t>
  </si>
  <si>
    <t>K+1SER023217</t>
  </si>
  <si>
    <t>K+5MOV023215</t>
  </si>
  <si>
    <t>K+5MOV023214</t>
  </si>
  <si>
    <t>K+1MOV023213</t>
  </si>
  <si>
    <t>K+2SER023212</t>
  </si>
  <si>
    <t>K+2SER023211</t>
  </si>
  <si>
    <t>Cocomelon</t>
  </si>
  <si>
    <t>MOONBUG ENTERTAINMENT LIMITED</t>
  </si>
  <si>
    <t>S0002434</t>
  </si>
  <si>
    <t>K+5KID023210</t>
  </si>
  <si>
    <t>K+5KID023209</t>
  </si>
  <si>
    <t>K+5KID023208</t>
  </si>
  <si>
    <t>Oddbods season 3</t>
  </si>
  <si>
    <t>K+5KID023207</t>
  </si>
  <si>
    <t>Oddbods season 2</t>
  </si>
  <si>
    <t>K+5KID023206</t>
  </si>
  <si>
    <t>Oddbods season 1</t>
  </si>
  <si>
    <t>K+5KID023205</t>
  </si>
  <si>
    <t>Công ty TNHH Đối tác Chuyên nghiệp</t>
  </si>
  <si>
    <t>S0001502</t>
  </si>
  <si>
    <t>K+2SER023204</t>
  </si>
  <si>
    <t>ANIMAVISION Limited Liability Company</t>
  </si>
  <si>
    <t>S0002433</t>
  </si>
  <si>
    <t>K+5KID023202</t>
  </si>
  <si>
    <t>K+5KID023201</t>
  </si>
  <si>
    <t>Công ty TNHH Truyền thông và Giải trí HT</t>
  </si>
  <si>
    <t>S0001818</t>
  </si>
  <si>
    <t>K+2SER023200</t>
  </si>
  <si>
    <t>King Content Co. Ltd</t>
  </si>
  <si>
    <t>SR0040</t>
  </si>
  <si>
    <t>K+1MOV023199</t>
  </si>
  <si>
    <t>K+1MOV023198</t>
  </si>
  <si>
    <t>K+1MOV023197</t>
  </si>
  <si>
    <t>K+1MOV023196</t>
  </si>
  <si>
    <t>K+2SER023179</t>
  </si>
  <si>
    <t>K+2SER023178</t>
  </si>
  <si>
    <t xml:space="preserve">CÔNG TY CỔ PHẦN TRUYỀN THÔNG TK-L </t>
  </si>
  <si>
    <t>SR0047</t>
  </si>
  <si>
    <t>K+2SER023177</t>
  </si>
  <si>
    <t>K+1MOV023176</t>
  </si>
  <si>
    <t>K+1MOV023175</t>
  </si>
  <si>
    <t>K+1MOV023174</t>
  </si>
  <si>
    <t>K+1MOV023173</t>
  </si>
  <si>
    <t>K+1MOV023172</t>
  </si>
  <si>
    <t>K+1MOV023171</t>
  </si>
  <si>
    <t>K+1MOV023169</t>
  </si>
  <si>
    <t>K+1MOV023168</t>
  </si>
  <si>
    <t>K+1MOV023167</t>
  </si>
  <si>
    <t>K+1MOV023166</t>
  </si>
  <si>
    <t>K+1MOV023165</t>
  </si>
  <si>
    <t>K+1MOV023164</t>
  </si>
  <si>
    <t>ROI VISUAL Co., Ltd.</t>
  </si>
  <si>
    <t>S0002297</t>
  </si>
  <si>
    <t>K+5KID023163</t>
  </si>
  <si>
    <t>K+5KID023162</t>
  </si>
  <si>
    <t>K+1MOV023161</t>
  </si>
  <si>
    <t>K+1MOV023160</t>
  </si>
  <si>
    <t>K+1MOV023159</t>
  </si>
  <si>
    <t>K+1MOV023155</t>
  </si>
  <si>
    <t>K+1MOV023154</t>
  </si>
  <si>
    <t>K+1MOV023153</t>
  </si>
  <si>
    <t>K+1MOV023147</t>
  </si>
  <si>
    <t>K+1MOV023140</t>
  </si>
  <si>
    <t>K+1MOV023139</t>
  </si>
  <si>
    <t>K+1MOV023136</t>
  </si>
  <si>
    <t>K+1MOV023134</t>
  </si>
  <si>
    <t>K+1MOV023133</t>
  </si>
  <si>
    <t>K+1MOV023132</t>
  </si>
  <si>
    <t>K+1MOV023131</t>
  </si>
  <si>
    <t>K+1MOV023130</t>
  </si>
  <si>
    <t>K+1MOV023129</t>
  </si>
  <si>
    <t>K+1MOV023128</t>
  </si>
  <si>
    <t>K+1MOV023127</t>
  </si>
  <si>
    <t>K+1MOV023126</t>
  </si>
  <si>
    <t>THE POST (Bí mật lầu năm góc)</t>
  </si>
  <si>
    <t>K+1MOV023125</t>
  </si>
  <si>
    <t>K+1MOV023124</t>
  </si>
  <si>
    <t>K+1MOV023123</t>
  </si>
  <si>
    <t>K+1MOV023122</t>
  </si>
  <si>
    <t>K+1MOV023121</t>
  </si>
  <si>
    <t>K+5KID023062</t>
  </si>
  <si>
    <t>K+5KID023061</t>
  </si>
  <si>
    <t>K+5KID023060</t>
  </si>
  <si>
    <t xml:space="preserve">CYBER GROUP STUDIO </t>
  </si>
  <si>
    <t>S0002429</t>
  </si>
  <si>
    <t>K+5KID023030</t>
  </si>
  <si>
    <t>K+5KID023029</t>
  </si>
  <si>
    <t>K+1MOV023027</t>
  </si>
  <si>
    <t>K+1MOV023026</t>
  </si>
  <si>
    <t>K+1MOV023025</t>
  </si>
  <si>
    <t>K+1MOV023024</t>
  </si>
  <si>
    <t>K+5MOV023023</t>
  </si>
  <si>
    <t>K+1MOV023022</t>
  </si>
  <si>
    <t>K+1MOV023021</t>
  </si>
  <si>
    <t>K+1MOV023020</t>
  </si>
  <si>
    <t>K+1MOV023019</t>
  </si>
  <si>
    <t>K+1MOV023018</t>
  </si>
  <si>
    <t>K+5MOV023017</t>
  </si>
  <si>
    <t>K+1MOV023016</t>
  </si>
  <si>
    <t>K+1MOV023015</t>
  </si>
  <si>
    <t>K+1MOV023014</t>
  </si>
  <si>
    <t>K+1MOV023013</t>
  </si>
  <si>
    <t>K+1MOV023012</t>
  </si>
  <si>
    <t>K+1MOV023011</t>
  </si>
  <si>
    <t>K+1MOV023010</t>
  </si>
  <si>
    <t>K+1MOV023009</t>
  </si>
  <si>
    <t>K+1MOV023008</t>
  </si>
  <si>
    <t>K+1MOV023007</t>
  </si>
  <si>
    <t>K+1MOV023006</t>
  </si>
  <si>
    <t>K+1MOV023005</t>
  </si>
  <si>
    <t>K+1MOV023004</t>
  </si>
  <si>
    <t>Are you safe</t>
  </si>
  <si>
    <t>K+2SER023001</t>
  </si>
  <si>
    <t>K+1SER022271</t>
  </si>
  <si>
    <t>K+2SER022270</t>
  </si>
  <si>
    <t>Good job</t>
  </si>
  <si>
    <t>K+2SER022269</t>
  </si>
  <si>
    <t>K+1SER022217</t>
  </si>
  <si>
    <t>K+1SER022216</t>
  </si>
  <si>
    <t>Công ty TNHH Bình Hạnh Đan</t>
  </si>
  <si>
    <t>S0001486</t>
  </si>
  <si>
    <t>K+1MOV022213</t>
  </si>
  <si>
    <t>9 Story Distribution International Ltd</t>
  </si>
  <si>
    <t>S0002348</t>
  </si>
  <si>
    <t>K+5KID022205</t>
  </si>
  <si>
    <t>K+5KID022204</t>
  </si>
  <si>
    <t>K+5KID022203</t>
  </si>
  <si>
    <t>K+5KID022202</t>
  </si>
  <si>
    <t>K+5KID022190</t>
  </si>
  <si>
    <t>K+5KID022189</t>
  </si>
  <si>
    <t>K+1MOV022157</t>
  </si>
  <si>
    <t>Công Ty TNHH TFILM STUDIO</t>
  </si>
  <si>
    <t>S0002025</t>
  </si>
  <si>
    <t>K+1MOV022156</t>
  </si>
  <si>
    <t>Ideal City</t>
  </si>
  <si>
    <t>K+2SER022116</t>
  </si>
  <si>
    <t>K+2SER022115</t>
  </si>
  <si>
    <t>K+1MOV022030</t>
  </si>
  <si>
    <t>K+1MOV022027</t>
  </si>
  <si>
    <t>K+1MOV022026</t>
  </si>
  <si>
    <t>K+1MOV022019</t>
  </si>
  <si>
    <t>K+1MOV022018</t>
  </si>
  <si>
    <t>K+1MOV021332</t>
  </si>
  <si>
    <t>SWORDSMAN</t>
  </si>
  <si>
    <t>K+1MOV021288</t>
  </si>
  <si>
    <t>THE RISE OF HERO</t>
  </si>
  <si>
    <t>K+1MOV021287</t>
  </si>
  <si>
    <t>K+1MOV021286</t>
  </si>
  <si>
    <t>GOD OF WAR</t>
  </si>
  <si>
    <t>K+1MOV021285</t>
  </si>
  <si>
    <t>LOVE IN BLOOD</t>
  </si>
  <si>
    <t>K+1MOV021284</t>
  </si>
  <si>
    <t>MATCHLESS MULAN</t>
  </si>
  <si>
    <t>K+1MOV021283</t>
  </si>
  <si>
    <t>FEARLESS KUNGFU KING</t>
  </si>
  <si>
    <t>K+1MOV021282</t>
  </si>
  <si>
    <t>K+1MOV021281</t>
  </si>
  <si>
    <t>K+1MOV021280</t>
  </si>
  <si>
    <t>RAT DISASTER</t>
  </si>
  <si>
    <t>K+1MOV021279</t>
  </si>
  <si>
    <t>SOUL SNATCHER</t>
  </si>
  <si>
    <t>K+1MOV021276</t>
  </si>
  <si>
    <t>NE ZHA</t>
  </si>
  <si>
    <t>K+1MOV021275</t>
  </si>
  <si>
    <t>FALL IN LOVE LIKE A STAR</t>
  </si>
  <si>
    <t>K+1MOV021274</t>
  </si>
  <si>
    <t>THE BREAKUP GURU</t>
  </si>
  <si>
    <t>K+1MOV021273</t>
  </si>
  <si>
    <t>Love is True</t>
  </si>
  <si>
    <t>HANGZHOU IX MEDIA CO.,LTD</t>
  </si>
  <si>
    <t>S0002169</t>
  </si>
  <si>
    <t>K+2SER021208</t>
  </si>
  <si>
    <t>What we forgot to remember (Người cần quên phải nhớ)</t>
  </si>
  <si>
    <t>Công ty Cổ phần Hãng phim Chánh Phương</t>
  </si>
  <si>
    <t>S0001169</t>
  </si>
  <si>
    <t>K+1MOV021164</t>
  </si>
  <si>
    <t>The Eve of Never</t>
  </si>
  <si>
    <t>K+1MOV021154</t>
  </si>
  <si>
    <t>SECRETS OF THE WIND</t>
  </si>
  <si>
    <t>K+1MOV021146</t>
  </si>
  <si>
    <t>Tokyo Broadcasting System Television</t>
  </si>
  <si>
    <t>S0002232</t>
  </si>
  <si>
    <t>K+1MOV021112</t>
  </si>
  <si>
    <t>K+1MOV021111</t>
  </si>
  <si>
    <t>K+1MOV021110</t>
  </si>
  <si>
    <t>K+1MOV021109</t>
  </si>
  <si>
    <t>The Crimes That Bind</t>
  </si>
  <si>
    <t>K+1MOV021108</t>
  </si>
  <si>
    <t>Stolen Identity</t>
  </si>
  <si>
    <t>K+1MOV021107</t>
  </si>
  <si>
    <t>Stolen Identity 2</t>
  </si>
  <si>
    <t>K+1MOV021106</t>
  </si>
  <si>
    <t>K+1MOV021091</t>
  </si>
  <si>
    <t>K+1MOV021053</t>
  </si>
  <si>
    <t>K+1MOV021052</t>
  </si>
  <si>
    <t>IX MEDIA CO.,LTD</t>
  </si>
  <si>
    <t>S0002230</t>
  </si>
  <si>
    <t>K+2SER021042</t>
  </si>
  <si>
    <t>Sheet kids</t>
  </si>
  <si>
    <t>Sheet Series</t>
  </si>
  <si>
    <t>Sheet Movies</t>
  </si>
  <si>
    <t>SheetTotal</t>
  </si>
  <si>
    <t>Exp acc</t>
  </si>
  <si>
    <t>AP acc</t>
  </si>
  <si>
    <t>Inventory acc</t>
  </si>
  <si>
    <t>Cost Center</t>
  </si>
  <si>
    <t>Final stock 
amt</t>
  </si>
  <si>
    <t>Final stock EPS</t>
  </si>
  <si>
    <t>Amt broadcasted in 2025</t>
  </si>
  <si>
    <t>No of EPS broadcasted in 2025</t>
  </si>
  <si>
    <t>Amt purchased in 2025</t>
  </si>
  <si>
    <t>No of EPS purchased
 in 2025</t>
  </si>
  <si>
    <t>2025 Beg.Bal.</t>
  </si>
  <si>
    <t>2025 Beg. Stock</t>
  </si>
  <si>
    <t>Ending date of right</t>
  </si>
  <si>
    <t xml:space="preserve">Starting Date of right </t>
  </si>
  <si>
    <t>Previous broadcasted</t>
  </si>
  <si>
    <t>No of EPS broadcasted in previous years</t>
  </si>
  <si>
    <t>Unit price</t>
  </si>
  <si>
    <t>Contract amount</t>
  </si>
  <si>
    <t>No of EPS
(Initially)</t>
  </si>
  <si>
    <t>Nature Programme</t>
  </si>
  <si>
    <t>Program name</t>
  </si>
  <si>
    <t>Contractor
name</t>
  </si>
  <si>
    <t>Contractor 
code</t>
  </si>
  <si>
    <t>Contract currency</t>
  </si>
  <si>
    <t>Inventory
code</t>
  </si>
  <si>
    <t>VOD</t>
  </si>
  <si>
    <t>STOCK LIST</t>
  </si>
  <si>
    <t>Phim gỡ khỏi mọi nền tảng</t>
  </si>
  <si>
    <t>2426</t>
  </si>
  <si>
    <t>Bản quyền VOD 36 tháng phim "Love me, love my voice" theo HĐ số 160A/2023/HDBQ/VSTV-TKL</t>
  </si>
  <si>
    <t>ZP0003</t>
  </si>
  <si>
    <t>CT</t>
  </si>
  <si>
    <t>P221OZKI01</t>
  </si>
  <si>
    <t>« GTCL của bản quyền phim VOD theo HĐ số 91A/2018 » từ tháng 10/2019 đến 10/2020.</t>
  </si>
  <si>
    <t>ZP0002</t>
  </si>
  <si>
    <t>Film VOD - GTCL Phim GOGO DINO từ 9/2019-&gt;9/2020 (13 tháng)</t>
  </si>
  <si>
    <t>ZP0001</t>
  </si>
  <si>
    <t>P221ZZMO03</t>
  </si>
  <si>
    <t>6277652</t>
  </si>
  <si>
    <t>Film hợp tác Kiss &amp; Spell : Yêu đi đừng sợ (phần bổ sung do thiếu nguyên giá)</t>
  </si>
  <si>
    <t>ZM113</t>
  </si>
  <si>
    <t>Film hợp tác Chàng vợ của em</t>
  </si>
  <si>
    <t>ZM112</t>
  </si>
  <si>
    <t>Film hợp tác Kiss &amp; Spell : Lôi Báo</t>
  </si>
  <si>
    <t>ZM111</t>
  </si>
  <si>
    <t>x</t>
  </si>
  <si>
    <t>Film hợp tác Cô Ba Sài Gòn</t>
  </si>
  <si>
    <t>ZM110</t>
  </si>
  <si>
    <t>Film hợp tác Kiss &amp; Spell : Yêu đi đừng sợ</t>
  </si>
  <si>
    <t>ZM109</t>
  </si>
  <si>
    <t>01FZAC00000</t>
  </si>
  <si>
    <t>Film hợp tác Girl from yesterday</t>
  </si>
  <si>
    <t>ZM108</t>
  </si>
  <si>
    <t>Film hợp tác - Siêu trộm/ Bitcoin Heist (GTCL của phí BQ 2016)</t>
  </si>
  <si>
    <t>ZM107</t>
  </si>
  <si>
    <t>Film hợp tác - Tôi thấy hoa vàng trên cỏ xanh (GTCL của bản quyền 2016)</t>
  </si>
  <si>
    <t>ZM105</t>
  </si>
  <si>
    <t>Phim hợp tác Victory -  SÚT</t>
  </si>
  <si>
    <t>ZM011</t>
  </si>
  <si>
    <t>Phim hợp tác Tấm Cám: Chuyện chưa kể</t>
  </si>
  <si>
    <t>ZM010</t>
  </si>
  <si>
    <t>Film hợp tác- Saigon Bodyguards (2016)</t>
  </si>
  <si>
    <t>ZM009</t>
  </si>
  <si>
    <t>Film hợp tác- The Housemaid (2016)</t>
  </si>
  <si>
    <t>ZM008</t>
  </si>
  <si>
    <t>Film hợp tác - Siêu trộm/ Bitcoin Heist</t>
  </si>
  <si>
    <t>ZM007</t>
  </si>
  <si>
    <t>Film hợp tác - Em là bà nội của anh/ Sweet 20</t>
  </si>
  <si>
    <t>ZM006</t>
  </si>
  <si>
    <t>Film hợp tác - Tôi thấy hoa vàng trên cỏ xanh</t>
  </si>
  <si>
    <t>ZM005</t>
  </si>
  <si>
    <t>Film hợp tác - Quyên</t>
  </si>
  <si>
    <t>ZM004</t>
  </si>
  <si>
    <t>Film hợp tác - Bộ ba rắc rối</t>
  </si>
  <si>
    <t>ZM003</t>
  </si>
  <si>
    <t>Film hợp tác - Ngày nảy ngày nay</t>
  </si>
  <si>
    <t>ZM002</t>
  </si>
  <si>
    <t>Film hợp tác - Để mai tính 2</t>
  </si>
  <si>
    <t>ZM001</t>
  </si>
  <si>
    <t>P221OZACVO</t>
  </si>
  <si>
    <t>Tồn kho bản quyền: Mộng Hoa Lục (A Dream of Splendor)  (VOD) - Phân bổ từ 15/03/2025 -&gt; 16/06/2027</t>
  </si>
  <si>
    <t>Y0765</t>
  </si>
  <si>
    <t>Tồn kho bản quyền: Gói series VOD từ PCCW (Viu)</t>
  </si>
  <si>
    <t>Y0752</t>
  </si>
  <si>
    <t>Bản quyền phim “Meet yourself” - VOD (01/08/2024 -&gt; 31/07/2028)</t>
  </si>
  <si>
    <t>Y0675</t>
  </si>
  <si>
    <t>Số lượng (phim)</t>
  </si>
  <si>
    <t>TÀI SẢN</t>
  </si>
  <si>
    <t>TK 15661</t>
  </si>
  <si>
    <t>TK 242. Bản quyền phim hợp tác</t>
  </si>
  <si>
    <t>TK 15666. Bản quyền phim tự SX</t>
  </si>
  <si>
    <t>Tồn kho phim SX (Tk 15666)</t>
  </si>
  <si>
    <t>Tồn kho CT Phim (Tk 15661)</t>
  </si>
  <si>
    <t>Phim Barter</t>
  </si>
  <si>
    <t>Show tự sản xuất</t>
  </si>
  <si>
    <t xml:space="preserve">Bản quyền phim VOD </t>
  </si>
  <si>
    <t>Chênh lệch</t>
  </si>
  <si>
    <t>Số lượng</t>
  </si>
  <si>
    <t>Theo sổ sách (23.3.2026)</t>
  </si>
  <si>
    <t>Check</t>
  </si>
  <si>
    <t>Ngoài sổ sách</t>
  </si>
  <si>
    <t>Check ref "TK 15661. Bản quyền phim"</t>
  </si>
  <si>
    <t>KK1. Movies</t>
  </si>
  <si>
    <t>Check ref "TK 242.BQ Phim hợp tác"</t>
  </si>
  <si>
    <t>Ref File Kế toán</t>
  </si>
  <si>
    <t>Ref Annex</t>
  </si>
  <si>
    <t>Trong sổ sách</t>
  </si>
  <si>
    <t>Ref File kế toán</t>
  </si>
  <si>
    <t>Ngoài sổ kế toán</t>
  </si>
  <si>
    <t>Check ref "TK 15666. Phim SX"</t>
  </si>
  <si>
    <t>Sheet Doc</t>
  </si>
  <si>
    <t>1</t>
  </si>
  <si>
    <t>Check ref "242. BQ Phim VOD"</t>
  </si>
  <si>
    <t>Ngoài sổ Kế toán</t>
  </si>
  <si>
    <t>Ref Sổ kế toán</t>
  </si>
  <si>
    <t>Tên kế toán</t>
  </si>
  <si>
    <t>Ok</t>
  </si>
  <si>
    <t>Chưa có thống kê tại Annex</t>
  </si>
  <si>
    <t>Chưa thống kê tại Annex A</t>
  </si>
  <si>
    <t>Theo Annex A</t>
  </si>
  <si>
    <t>Đã ghi nhận thẳng vào P&amp;L, không còn số dư trên BCĐKT</t>
  </si>
  <si>
    <t>VSTV's note</t>
  </si>
  <si>
    <t>Thực tế tăng 2 so với Annex A vì lỗi STT ở sheet Kids</t>
  </si>
  <si>
    <t>KK2. Series</t>
  </si>
  <si>
    <t>KK3. Kids</t>
  </si>
  <si>
    <t>KK4. Show</t>
  </si>
  <si>
    <t>KK5. Doc</t>
  </si>
  <si>
    <t>KK6. Bổ sung</t>
  </si>
  <si>
    <t>I. CHECK SỔ SÁCH VỚI DANH MỤC KIỂM KÊ</t>
  </si>
  <si>
    <t>II. CHECK DANH MỤC KIỂM KÊ VỚI SỔ SÁCH</t>
  </si>
  <si>
    <t>Cần kiểm kê bổ sung</t>
  </si>
  <si>
    <t>Danh sách kiểm kê License</t>
  </si>
  <si>
    <t xml:space="preserve">CÔNG TY: </t>
  </si>
  <si>
    <t xml:space="preserve"> Công ty TNHH Truyền hình số vệ tinh Việt Nam</t>
  </si>
  <si>
    <t xml:space="preserve">           Cộng Hòa Xã Hội Chủ Nghĩa Việt Nam</t>
  </si>
  <si>
    <t xml:space="preserve">                  Độc Lập - Tự Do - Hạnh Phúc</t>
  </si>
  <si>
    <t>Thời điểm:….......giờ, ngày…....tháng.........năm 2026</t>
  </si>
  <si>
    <t>SỐ LIỆU KIỂM KÊ</t>
  </si>
  <si>
    <t>Giải trình chênh lệch</t>
  </si>
  <si>
    <t>Đề xuất Phương án xử lý</t>
  </si>
  <si>
    <t>BÁO CÁO KIỂM KÊ BẢN QUYỀN SERIES</t>
  </si>
  <si>
    <t>BÁO CÁO KIỂM KÊ BẢN QUYỀN MOVIES</t>
  </si>
  <si>
    <t>BÁO CÁO KIỂM KÊ BẢN QUYỀN KIDS</t>
  </si>
  <si>
    <t>BÁO CÁO KIỂM KÊ BẢN QUYỀN SHOW</t>
  </si>
  <si>
    <t>BÁO CÁO KIỂM KÊ BẢN QUYỀN DOCUMENTARY</t>
  </si>
  <si>
    <t>TỔ KIỂM KÊ</t>
  </si>
  <si>
    <t>Đại diện Ban CNTT - HME</t>
  </si>
  <si>
    <t xml:space="preserve">Đại diện Kế toán - HME </t>
  </si>
  <si>
    <t>Đại diện VSTV</t>
  </si>
  <si>
    <t>Đại diện VTV</t>
  </si>
  <si>
    <t>(Ký và ghi rõ họ tên)</t>
  </si>
  <si>
    <t>Ngày….....tháng…....năm 2026</t>
  </si>
  <si>
    <t>Bổ sung</t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</si>
  <si>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 KID_CAR_21__2660472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 KID_CAR_21_2660473 - KID_CAR_21_2660497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</si>
  <si>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 KID_CAR_21__2660498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 KID_CAR_21_2660499 - KID_CAR_21_2660523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</si>
  <si>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 KID_CAR_21__2660524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 KID_CAR_21_2660525 - KID_CAR_21_2660549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</si>
  <si>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:KID_CAR_22__2674229
</t>
    </r>
    <r>
      <rPr>
        <b/>
        <sz val="10"/>
        <color rgb="FF000000"/>
        <rFont val="Arial"/>
        <family val="2"/>
      </rPr>
      <t>Ep 2- Ep80</t>
    </r>
    <r>
      <rPr>
        <sz val="10"/>
        <color rgb="FF000000"/>
        <rFont val="Arial"/>
        <family val="2"/>
      </rPr>
      <t>: KID_CAR_22_2674230 - KID_CAR_22_2674366</t>
    </r>
  </si>
  <si>
    <r>
      <rPr>
        <b/>
        <sz val="10"/>
        <color rgb="FF000000"/>
        <rFont val="Arial"/>
        <family val="2"/>
      </rPr>
      <t>Ep 1:</t>
    </r>
    <r>
      <rPr>
        <sz val="10"/>
        <color rgb="FF000000"/>
        <rFont val="Arial"/>
        <family val="2"/>
      </rPr>
      <t xml:space="preserve">KID_CAR_22__2674232
</t>
    </r>
    <r>
      <rPr>
        <b/>
        <sz val="10"/>
        <color rgb="FF000000"/>
        <rFont val="Arial"/>
        <family val="2"/>
      </rPr>
      <t>Ep 2- Ep40</t>
    </r>
    <r>
      <rPr>
        <sz val="10"/>
        <color rgb="FF000000"/>
        <rFont val="Arial"/>
        <family val="2"/>
      </rPr>
      <t>: KID_CAR_22_2674233 - KID_CAR_22_2674403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</si>
  <si>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:KID_EDU_22__2674235
</t>
    </r>
    <r>
      <rPr>
        <b/>
        <sz val="10"/>
        <color rgb="FF000000"/>
        <rFont val="Arial"/>
        <family val="2"/>
      </rPr>
      <t>Ep 2- Ep80</t>
    </r>
    <r>
      <rPr>
        <sz val="10"/>
        <color rgb="FF000000"/>
        <rFont val="Arial"/>
        <family val="2"/>
      </rPr>
      <t>: KID_EDU_22_2674236 - KID_EDU_22_2674480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</si>
  <si>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:KID_EDU_22__2674238
</t>
    </r>
    <r>
      <rPr>
        <b/>
        <sz val="10"/>
        <color rgb="FF000000"/>
        <rFont val="Arial"/>
        <family val="2"/>
      </rPr>
      <t>Ep 2- Ep50</t>
    </r>
    <r>
      <rPr>
        <sz val="10"/>
        <color rgb="FF000000"/>
        <rFont val="Arial"/>
        <family val="2"/>
      </rPr>
      <t>: KID_EDU_22_2674239 - KID_EDU_22_2674527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</si>
  <si>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:KID_PRE_22__2686577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 KID_PRE_22_2686578 - KID_PRE_22_2686628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</si>
  <si>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:KID_PRE_22__2686588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 KID_PRE_22_2686589 - KID_PRE_22_2686613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</si>
  <si>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:KID_PRE_23__2692286
</t>
    </r>
    <r>
      <rPr>
        <b/>
        <sz val="10"/>
        <color rgb="FF000000"/>
        <rFont val="Arial"/>
        <family val="2"/>
      </rPr>
      <t>Ep 2- Ep78</t>
    </r>
    <r>
      <rPr>
        <sz val="10"/>
        <color rgb="FF000000"/>
        <rFont val="Arial"/>
        <family val="2"/>
      </rPr>
      <t>: KID_PRE_23_2692287- KID_PRE_23_2692363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</si>
  <si>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:KID_PRE__2692364
</t>
    </r>
    <r>
      <rPr>
        <b/>
        <sz val="10"/>
        <color rgb="FF000000"/>
        <rFont val="Arial"/>
        <family val="2"/>
      </rPr>
      <t>Ep 2- Ep78</t>
    </r>
    <r>
      <rPr>
        <sz val="10"/>
        <color rgb="FF000000"/>
        <rFont val="Arial"/>
        <family val="2"/>
      </rPr>
      <t>: KID_PRE_2692365 - KID_PRE_2692441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</si>
  <si>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:KID_PRE_23__2692985
</t>
    </r>
    <r>
      <rPr>
        <b/>
        <sz val="10"/>
        <color rgb="FF000000"/>
        <rFont val="Arial"/>
        <family val="2"/>
      </rPr>
      <t>Ep 2- Ep78</t>
    </r>
    <r>
      <rPr>
        <sz val="10"/>
        <color rgb="FF000000"/>
        <rFont val="Arial"/>
        <family val="2"/>
      </rPr>
      <t>: KID_PRE_23_2692986 - KID_PRE_23_2693029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</si>
  <si>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:KID_PRE_23__2692184
</t>
    </r>
    <r>
      <rPr>
        <b/>
        <sz val="10"/>
        <color rgb="FF000000"/>
        <rFont val="Arial"/>
        <family val="2"/>
      </rPr>
      <t>Ep 2- Ep20</t>
    </r>
    <r>
      <rPr>
        <sz val="10"/>
        <color rgb="FF000000"/>
        <rFont val="Arial"/>
        <family val="2"/>
      </rPr>
      <t>: KID_PRE_23_2692185 - KID_PRE_23_2692203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</si>
  <si>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:KID_PRE_23__2692206
</t>
    </r>
    <r>
      <rPr>
        <b/>
        <sz val="10"/>
        <color rgb="FF000000"/>
        <rFont val="Arial"/>
        <family val="2"/>
      </rPr>
      <t>Ep 2- Ep20</t>
    </r>
    <r>
      <rPr>
        <sz val="10"/>
        <color rgb="FF000000"/>
        <rFont val="Arial"/>
        <family val="2"/>
      </rPr>
      <t>: KID_PRE__2692207 - KID_PRE_2692225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</si>
  <si>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 KID_PRE__2692226
</t>
    </r>
    <r>
      <rPr>
        <b/>
        <sz val="10"/>
        <color rgb="FF000000"/>
        <rFont val="Arial"/>
        <family val="2"/>
      </rPr>
      <t>Ep 2- Ep20</t>
    </r>
    <r>
      <rPr>
        <sz val="10"/>
        <color rgb="FF000000"/>
        <rFont val="Arial"/>
        <family val="2"/>
      </rPr>
      <t>: KID_PRE_2692227 - KID_PRE_2692245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</si>
  <si>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 KID_CAR_23__2700176
</t>
    </r>
    <r>
      <rPr>
        <b/>
        <sz val="10"/>
        <color rgb="FF000000"/>
        <rFont val="Arial"/>
        <family val="2"/>
      </rPr>
      <t>Ep 2- Ep52</t>
    </r>
    <r>
      <rPr>
        <sz val="10"/>
        <color rgb="FF000000"/>
        <rFont val="Arial"/>
        <family val="2"/>
      </rPr>
      <t>: KID_CAR_23_2700177 - KID_CAR_23_2700227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</si>
  <si>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:KID_CAR_23__2695341
</t>
    </r>
    <r>
      <rPr>
        <b/>
        <sz val="10"/>
        <color rgb="FF000000"/>
        <rFont val="Arial"/>
        <family val="2"/>
      </rPr>
      <t>Ep 2- Ep78</t>
    </r>
    <r>
      <rPr>
        <sz val="10"/>
        <color rgb="FF000000"/>
        <rFont val="Arial"/>
        <family val="2"/>
      </rPr>
      <t>:KID_CAR_23_2695342 - KID_CAR_23_2695418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</si>
  <si>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:KID_CAR_23__2697640
</t>
    </r>
    <r>
      <rPr>
        <b/>
        <sz val="10"/>
        <color rgb="FF000000"/>
        <rFont val="Arial"/>
        <family val="2"/>
      </rPr>
      <t>Ep 2- Ep52</t>
    </r>
    <r>
      <rPr>
        <sz val="10"/>
        <color rgb="FF000000"/>
        <rFont val="Arial"/>
        <family val="2"/>
      </rPr>
      <t>: KID_CAR_23_2697641 - KID_CAR_23_2697691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</si>
  <si>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:KID_CAR_23__2695488
</t>
    </r>
    <r>
      <rPr>
        <b/>
        <sz val="10"/>
        <color rgb="FF000000"/>
        <rFont val="Arial"/>
        <family val="2"/>
      </rPr>
      <t>Ep 2- Ep76</t>
    </r>
    <r>
      <rPr>
        <sz val="10"/>
        <color rgb="FF000000"/>
        <rFont val="Arial"/>
        <family val="2"/>
      </rPr>
      <t>: KID_CAR_23_2695489 - KID_CAR_23_2695563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</si>
  <si>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 KID_CAR_23__2695564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 KID_CAR_23_2695565 - KID_CAR_23_2695589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</si>
  <si>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 KID_CAR_23__2695642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 KID_CAR_23_2695643 - KID_CAR_23_2695667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</si>
  <si>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 KID_PRE_23__2698649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 KID_PRE_23_2698650 - KID_PRE_23_2698674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</si>
  <si>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:KID_PRE_23__2698675
</t>
    </r>
    <r>
      <rPr>
        <b/>
        <sz val="10"/>
        <color rgb="FF000000"/>
        <rFont val="Arial"/>
        <family val="2"/>
      </rPr>
      <t>Ep 2- Ep78</t>
    </r>
    <r>
      <rPr>
        <sz val="10"/>
        <color rgb="FF000000"/>
        <rFont val="Arial"/>
        <family val="2"/>
      </rPr>
      <t>:KID_PRE_23_2698676-KID_PRE_23_2698726</t>
    </r>
  </si>
  <si>
    <r>
      <rPr>
        <b/>
        <sz val="10"/>
        <color rgb="FF000000"/>
        <rFont val="Arial"/>
        <family val="2"/>
      </rPr>
      <t>Ep 1-Ep52</t>
    </r>
    <r>
      <rPr>
        <sz val="10"/>
        <color rgb="FF000000"/>
        <rFont val="Arial"/>
        <family val="2"/>
      </rPr>
      <t xml:space="preserve">:KID_PRE_23_2706161-KID_PRE_23_2706211
</t>
    </r>
    <r>
      <rPr>
        <b/>
        <sz val="10"/>
        <color rgb="FF000000"/>
        <rFont val="Arial"/>
        <family val="2"/>
      </rPr>
      <t>Ep25</t>
    </r>
    <r>
      <rPr>
        <sz val="10"/>
        <color rgb="FF000000"/>
        <rFont val="Arial"/>
        <family val="2"/>
      </rPr>
      <t xml:space="preserve">:KID_PRE_23__2706160
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</si>
  <si>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:KID_CAR_23__2700656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 KID_CAR_23_2700657 - KID_CAR_23_2700681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</si>
  <si>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:KID_CAR_23__2700693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:KID_CAR_23_2700694 - KID_CAR_23_2700718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</si>
  <si>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:KID_CAR__2712130
</t>
    </r>
    <r>
      <rPr>
        <b/>
        <sz val="10"/>
        <color rgb="FF000000"/>
        <rFont val="Arial"/>
        <family val="2"/>
      </rPr>
      <t>Ep 2- Ep52</t>
    </r>
    <r>
      <rPr>
        <sz val="10"/>
        <color rgb="FF000000"/>
        <rFont val="Arial"/>
        <family val="2"/>
      </rPr>
      <t>:KID_CAR_2712131 - KID_CAR_2712181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</si>
  <si>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:KID_CAR_24__2713969
</t>
    </r>
    <r>
      <rPr>
        <b/>
        <sz val="10"/>
        <color rgb="FF000000"/>
        <rFont val="Arial"/>
        <family val="2"/>
      </rPr>
      <t>Ep 2- Ep52</t>
    </r>
    <r>
      <rPr>
        <sz val="10"/>
        <color rgb="FF000000"/>
        <rFont val="Arial"/>
        <family val="2"/>
      </rPr>
      <t>:KID_CAR_24_2713970 - KID_CAR_24_2714020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</si>
  <si>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:KID_CAR_2715622
</t>
    </r>
    <r>
      <rPr>
        <b/>
        <sz val="10"/>
        <color rgb="FF000000"/>
        <rFont val="Arial"/>
        <family val="2"/>
      </rPr>
      <t>Ep 2- Ep52</t>
    </r>
    <r>
      <rPr>
        <sz val="10"/>
        <color rgb="FF000000"/>
        <rFont val="Arial"/>
        <family val="2"/>
      </rPr>
      <t>:KID_CAR_2715571 - KID_CAR_2715621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</si>
  <si>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:KID_CAR_24__2714051
</t>
    </r>
    <r>
      <rPr>
        <b/>
        <sz val="10"/>
        <color rgb="FF000000"/>
        <rFont val="Arial"/>
        <family val="2"/>
      </rPr>
      <t>Ep 2- Ep20</t>
    </r>
    <r>
      <rPr>
        <sz val="10"/>
        <color rgb="FF000000"/>
        <rFont val="Arial"/>
        <family val="2"/>
      </rPr>
      <t>:KID_CAR_24_2714052 - KID_CAR_24_2714070</t>
    </r>
  </si>
  <si>
    <r>
      <rPr>
        <b/>
        <sz val="10"/>
        <color rgb="FF000000"/>
        <rFont val="Arial"/>
        <family val="2"/>
      </rPr>
      <t xml:space="preserve">Ep 1- Ep26 </t>
    </r>
    <r>
      <rPr>
        <sz val="10"/>
        <color rgb="FF000000"/>
        <rFont val="Arial"/>
        <family val="2"/>
      </rPr>
      <t>: KID_CAR3203 - KID_CAR3229</t>
    </r>
  </si>
  <si>
    <r>
      <t xml:space="preserve">Ep 1- Ep26: </t>
    </r>
    <r>
      <rPr>
        <sz val="10"/>
        <color rgb="FF000000"/>
        <rFont val="Arial"/>
        <family val="2"/>
      </rPr>
      <t>KID_PRE3100 - KID_PRE3125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</si>
  <si>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 KID_CAR_24__2715484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 KID_CAR_24_2715485 - KID_CAR_24_2715509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</si>
  <si>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:KID_CAR__2713229
</t>
    </r>
    <r>
      <rPr>
        <b/>
        <sz val="10"/>
        <color rgb="FF000000"/>
        <rFont val="Arial"/>
        <family val="2"/>
      </rPr>
      <t>Ep 2- Ep27</t>
    </r>
    <r>
      <rPr>
        <sz val="10"/>
        <color rgb="FF000000"/>
        <rFont val="Arial"/>
        <family val="2"/>
      </rPr>
      <t>:KID_CAR_24_2713230 - KID_CAR_24_2713255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</si>
  <si>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:KID_CAR_24__2714427
</t>
    </r>
    <r>
      <rPr>
        <b/>
        <sz val="10"/>
        <color rgb="FF000000"/>
        <rFont val="Arial"/>
        <family val="2"/>
      </rPr>
      <t>Ep 2- Ep26</t>
    </r>
    <r>
      <rPr>
        <sz val="10"/>
        <color rgb="FF000000"/>
        <rFont val="Arial"/>
        <family val="2"/>
      </rPr>
      <t>:KID_CAR_24_2714428 - KID_CAR_24_2714452</t>
    </r>
  </si>
  <si>
    <r>
      <rPr>
        <b/>
        <sz val="10"/>
        <color rgb="FF000000"/>
        <rFont val="Arial"/>
        <family val="2"/>
      </rPr>
      <t>Ep 1- Ep26</t>
    </r>
    <r>
      <rPr>
        <sz val="10"/>
        <color rgb="FF000000"/>
        <rFont val="Arial"/>
        <family val="2"/>
      </rPr>
      <t xml:space="preserve">: KID_CAR3122 - KID_CAR3147
</t>
    </r>
  </si>
  <si>
    <r>
      <rPr>
        <b/>
        <sz val="10"/>
        <color rgb="FF000000"/>
        <rFont val="Arial"/>
        <family val="2"/>
      </rPr>
      <t>Ep 1- Ep26</t>
    </r>
    <r>
      <rPr>
        <sz val="10"/>
        <color rgb="FF000000"/>
        <rFont val="Arial"/>
        <family val="2"/>
      </rPr>
      <t xml:space="preserve">: KID_CAR3148 - KID_CAR3173
</t>
    </r>
  </si>
  <si>
    <r>
      <rPr>
        <b/>
        <sz val="10"/>
        <color rgb="FF000000"/>
        <rFont val="Arial"/>
        <family val="2"/>
      </rPr>
      <t>Ep 1- Ep26</t>
    </r>
    <r>
      <rPr>
        <sz val="10"/>
        <color rgb="FF000000"/>
        <rFont val="Arial"/>
        <family val="2"/>
      </rPr>
      <t xml:space="preserve">: KID_CAR3174 - KID_CAR3199
</t>
    </r>
  </si>
  <si>
    <r>
      <rPr>
        <b/>
        <sz val="10"/>
        <color rgb="FF000000"/>
        <rFont val="Arial"/>
        <family val="2"/>
      </rPr>
      <t>Ep 1 - Ep52</t>
    </r>
    <r>
      <rPr>
        <sz val="10"/>
        <color rgb="FF000000"/>
        <rFont val="Arial"/>
        <family val="2"/>
      </rPr>
      <t>: KID_CAR3065 - KID_CAR3116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</si>
  <si>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 KID_CAR_24__2716477
</t>
    </r>
    <r>
      <rPr>
        <b/>
        <sz val="10"/>
        <color rgb="FF000000"/>
        <rFont val="Arial"/>
        <family val="2"/>
      </rPr>
      <t>Ep 2- Ep78</t>
    </r>
    <r>
      <rPr>
        <sz val="10"/>
        <color rgb="FF000000"/>
        <rFont val="Arial"/>
        <family val="2"/>
      </rPr>
      <t>: KID_CAR_24_2716478 - KID_CAR_24_2716554</t>
    </r>
  </si>
  <si>
    <r>
      <rPr>
        <b/>
        <sz val="10"/>
        <color rgb="FF000000"/>
        <rFont val="Arial"/>
        <family val="2"/>
      </rPr>
      <t>Ep 1- Ep78</t>
    </r>
    <r>
      <rPr>
        <sz val="10"/>
        <color rgb="FF000000"/>
        <rFont val="Arial"/>
        <family val="2"/>
      </rPr>
      <t>: KID_PRE3127 - KID_PRE3204</t>
    </r>
  </si>
  <si>
    <r>
      <rPr>
        <b/>
        <sz val="10"/>
        <color rgb="FF000000"/>
        <rFont val="Arial"/>
        <family val="2"/>
      </rPr>
      <t>Ep 1</t>
    </r>
    <r>
      <rPr>
        <sz val="10"/>
        <color rgb="FF000000"/>
        <rFont val="Arial"/>
        <family val="2"/>
      </rPr>
      <t xml:space="preserve">:KID_CAR_24__2715773
</t>
    </r>
    <r>
      <rPr>
        <b/>
        <sz val="10"/>
        <color rgb="FF000000"/>
        <rFont val="Arial"/>
        <family val="2"/>
      </rPr>
      <t>Ep 2- Ep78</t>
    </r>
    <r>
      <rPr>
        <sz val="10"/>
        <color rgb="FF000000"/>
        <rFont val="Arial"/>
        <family val="2"/>
      </rPr>
      <t>:KID_CAR_24_2715774 - KID_CAR_24_2715850</t>
    </r>
  </si>
  <si>
    <r>
      <rPr>
        <b/>
        <sz val="10"/>
        <color rgb="FF000000"/>
        <rFont val="Arial"/>
        <family val="2"/>
      </rPr>
      <t>Ep 1- Ep50</t>
    </r>
    <r>
      <rPr>
        <sz val="10"/>
        <color rgb="FF000000"/>
        <rFont val="Arial"/>
        <family val="2"/>
      </rPr>
      <t>: KID_PRE3209 - KID_PRE3258</t>
    </r>
  </si>
  <si>
    <r>
      <rPr>
        <b/>
        <sz val="10"/>
        <color rgb="FF000000"/>
        <rFont val="Arial"/>
        <family val="2"/>
      </rPr>
      <t>Ep 1- Ep52</t>
    </r>
    <r>
      <rPr>
        <sz val="10"/>
        <color rgb="FF000000"/>
        <rFont val="Arial"/>
        <family val="2"/>
      </rPr>
      <t>: KID_CAR3242 - KID_CAR3293</t>
    </r>
  </si>
  <si>
    <r>
      <rPr>
        <b/>
        <sz val="10"/>
        <color rgb="FF000000"/>
        <rFont val="Arial"/>
        <family val="2"/>
      </rPr>
      <t>Ep 1- Ep52</t>
    </r>
    <r>
      <rPr>
        <sz val="10"/>
        <color rgb="FF000000"/>
        <rFont val="Arial"/>
        <family val="2"/>
      </rPr>
      <t>:KID_CAR3295 - KID_CAR3346</t>
    </r>
  </si>
  <si>
    <r>
      <rPr>
        <b/>
        <sz val="10"/>
        <color rgb="FF000000"/>
        <rFont val="Arial"/>
        <family val="2"/>
      </rPr>
      <t>Ep 1- Ep52</t>
    </r>
    <r>
      <rPr>
        <sz val="10"/>
        <color rgb="FF000000"/>
        <rFont val="Arial"/>
        <family val="2"/>
      </rPr>
      <t>: KID_CAR3348 - KID_CAR3399</t>
    </r>
  </si>
  <si>
    <r>
      <rPr>
        <b/>
        <sz val="10"/>
        <color rgb="FF000000"/>
        <rFont val="Arial"/>
        <family val="2"/>
      </rPr>
      <t>Ep 1- Ep26</t>
    </r>
    <r>
      <rPr>
        <sz val="10"/>
        <color rgb="FF000000"/>
        <rFont val="Arial"/>
        <family val="2"/>
      </rPr>
      <t>: KID_PRE3263  - KID_PRE3288</t>
    </r>
  </si>
  <si>
    <r>
      <rPr>
        <b/>
        <sz val="10"/>
        <color rgb="FF000000"/>
        <rFont val="Arial"/>
        <family val="2"/>
      </rPr>
      <t>Ep 1- Ep26</t>
    </r>
    <r>
      <rPr>
        <sz val="10"/>
        <color rgb="FF000000"/>
        <rFont val="Arial"/>
        <family val="2"/>
      </rPr>
      <t>: KID_PRE3289 - KID_PRE3314</t>
    </r>
  </si>
  <si>
    <t>MOV021273</t>
  </si>
  <si>
    <t>MOV021274</t>
  </si>
  <si>
    <t>MOV021275</t>
  </si>
  <si>
    <t>MOV021276</t>
  </si>
  <si>
    <t>MOV021279</t>
  </si>
  <si>
    <t>MOV021282</t>
  </si>
  <si>
    <t>MOV021283</t>
  </si>
  <si>
    <t>MOV021284</t>
  </si>
  <si>
    <t>MOV021285</t>
  </si>
  <si>
    <t>MOV021287</t>
  </si>
  <si>
    <t>MOV021288</t>
  </si>
  <si>
    <t>MOV023009</t>
  </si>
  <si>
    <t>MOV024126</t>
  </si>
  <si>
    <t>MOV024132</t>
  </si>
  <si>
    <t>MOV024133</t>
  </si>
  <si>
    <t>MOV024134</t>
  </si>
  <si>
    <t>MOV024135</t>
  </si>
  <si>
    <t>MOV024138</t>
  </si>
  <si>
    <t>MOV024140</t>
  </si>
  <si>
    <t>MOV024141</t>
  </si>
  <si>
    <t>MOV024142</t>
  </si>
  <si>
    <t>MOV024143</t>
  </si>
  <si>
    <t>MOV024144</t>
  </si>
  <si>
    <t>MOV024145</t>
  </si>
  <si>
    <t>MOV024149</t>
  </si>
  <si>
    <t>MOV024154</t>
  </si>
  <si>
    <t>MOV024229</t>
  </si>
  <si>
    <t>MOV024230</t>
  </si>
  <si>
    <t>MOV025016</t>
  </si>
  <si>
    <t>MOV025017</t>
  </si>
  <si>
    <t>MOV025019</t>
  </si>
  <si>
    <t>MOV025037</t>
  </si>
  <si>
    <t>MOV025053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</si>
</sst>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_);_(* \(#,##0\);_(* &quot;-&quot;??_);_(@_)"/>
    <numFmt numFmtId="165" formatCode="###,###,###,###,###;\-###,###,###,###,###;* &quot;&quot;??"/>
    <numFmt numFmtId="166" formatCode="#,##0;\-#,##0;* &quot;&quot;??"/>
    <numFmt numFmtId="167" formatCode="[$-409]d\-mmm\-yyyy;@"/>
    <numFmt numFmtId="168" formatCode="[$-1010000]d/m/yyyy;@"/>
    <numFmt numFmtId="169" formatCode="_(* #,##0.0_);_(* \(#,##0.0\);_(* &quot;-&quot;??_);_(@_)"/>
    <numFmt numFmtId="170" formatCode="_-* #,##0_-;\-* #,##0_-;_-* &quot;-&quot;??_-;_-@_-"/>
    <numFmt numFmtId="171" formatCode="dd/mm/yyyy;@"/>
    <numFmt numFmtId="172" formatCode="[$-409]d\-mmm\-yy;@"/>
    <numFmt numFmtId="173" formatCode="[$-409]dd\-mmm\-yy;@"/>
    <numFmt numFmtId="174" formatCode="dd\-mmm\-yyyy"/>
    <numFmt numFmtId="175" formatCode="[$-409]mmm/yy;@"/>
    <numFmt numFmtId="176" formatCode="_(* #,##0.000_);_(* \(#,##0.000\);_(* &quot;-&quot;??_);_(@_)"/>
    <numFmt numFmtId="177" formatCode="#,###,###,##0.####;\-#,###,###,##0.####;* &quot;&quot;??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8"/>
      <name val="Arial"/>
      <family val="2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trike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8"/>
      <color rgb="FFC00000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8"/>
      <color rgb="FFC0000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rgb="FFFF0000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i/>
      <sz val="11"/>
      <color theme="4" tint="-0.249977111117893"/>
      <name val="Times New Roman"/>
      <family val="1"/>
    </font>
    <font>
      <b/>
      <sz val="11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trike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>
      <alignment vertical="top"/>
    </xf>
    <xf numFmtId="167" fontId="1" fillId="0" borderId="0"/>
    <xf numFmtId="0" fontId="1" fillId="0" borderId="0"/>
    <xf numFmtId="0" fontId="1" fillId="0" borderId="0"/>
    <xf numFmtId="0" fontId="18" fillId="0" borderId="0"/>
    <xf numFmtId="0" fontId="19" fillId="0" borderId="0"/>
    <xf numFmtId="167" fontId="20" fillId="0" borderId="0">
      <alignment vertical="top"/>
    </xf>
    <xf numFmtId="175" fontId="19" fillId="0" borderId="0"/>
  </cellStyleXfs>
  <cellXfs count="567">
    <xf numFmtId="0" fontId="0" fillId="0" borderId="0" xfId="0"/>
    <xf numFmtId="164" fontId="3" fillId="0" borderId="0" xfId="2" applyNumberFormat="1"/>
    <xf numFmtId="0" fontId="2" fillId="0" borderId="0" xfId="0" applyFont="1"/>
    <xf numFmtId="0" fontId="2" fillId="0" borderId="1" xfId="0" applyFont="1" applyBorder="1"/>
    <xf numFmtId="0" fontId="6" fillId="0" borderId="1" xfId="0" applyFont="1" applyBorder="1"/>
    <xf numFmtId="0" fontId="0" fillId="0" borderId="0" xfId="0" applyAlignment="1">
      <alignment vertical="top"/>
    </xf>
    <xf numFmtId="166" fontId="0" fillId="0" borderId="1" xfId="0" applyNumberFormat="1" applyBorder="1" applyAlignment="1">
      <alignment vertical="top"/>
    </xf>
    <xf numFmtId="171" fontId="0" fillId="0" borderId="1" xfId="0" applyNumberFormat="1" applyBorder="1" applyAlignment="1">
      <alignment horizontal="center" vertical="top"/>
    </xf>
    <xf numFmtId="49" fontId="0" fillId="0" borderId="1" xfId="0" applyNumberFormat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3" fillId="0" borderId="0" xfId="0" applyFont="1"/>
    <xf numFmtId="164" fontId="13" fillId="0" borderId="0" xfId="1" applyNumberFormat="1" applyFont="1"/>
    <xf numFmtId="170" fontId="12" fillId="0" borderId="22" xfId="1" applyNumberFormat="1" applyFont="1" applyFill="1" applyBorder="1" applyAlignment="1" applyProtection="1">
      <alignment horizontal="left" vertic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167" fontId="13" fillId="4" borderId="1" xfId="4" applyFont="1" applyFill="1" applyBorder="1" applyAlignment="1">
      <alignment horizontal="left" vertical="center"/>
    </xf>
    <xf numFmtId="167" fontId="13" fillId="4" borderId="1" xfId="4" applyFont="1" applyFill="1" applyBorder="1" applyAlignment="1">
      <alignment vertical="top"/>
    </xf>
    <xf numFmtId="0" fontId="13" fillId="4" borderId="1" xfId="0" applyFont="1" applyFill="1" applyBorder="1"/>
    <xf numFmtId="0" fontId="13" fillId="0" borderId="1" xfId="0" applyFont="1" applyBorder="1" applyAlignment="1">
      <alignment vertical="top"/>
    </xf>
    <xf numFmtId="167" fontId="13" fillId="4" borderId="1" xfId="4" applyFont="1" applyFill="1" applyBorder="1" applyAlignment="1">
      <alignment horizontal="left" vertical="top"/>
    </xf>
    <xf numFmtId="167" fontId="13" fillId="4" borderId="1" xfId="4" applyFont="1" applyFill="1" applyBorder="1" applyAlignment="1">
      <alignment horizontal="left" vertical="center" wrapText="1"/>
    </xf>
    <xf numFmtId="167" fontId="17" fillId="4" borderId="1" xfId="4" applyFont="1" applyFill="1" applyBorder="1" applyAlignment="1">
      <alignment horizontal="left" vertical="top"/>
    </xf>
    <xf numFmtId="167" fontId="13" fillId="4" borderId="1" xfId="4" applyFont="1" applyFill="1" applyBorder="1" applyAlignment="1">
      <alignment vertical="center"/>
    </xf>
    <xf numFmtId="0" fontId="13" fillId="4" borderId="1" xfId="0" applyFont="1" applyFill="1" applyBorder="1" applyAlignment="1">
      <alignment horizontal="left" vertical="center" wrapText="1"/>
    </xf>
    <xf numFmtId="167" fontId="13" fillId="4" borderId="1" xfId="4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  <xf numFmtId="167" fontId="21" fillId="4" borderId="1" xfId="4" applyFont="1" applyFill="1" applyBorder="1" applyAlignment="1">
      <alignment horizontal="left" vertical="top"/>
    </xf>
    <xf numFmtId="0" fontId="22" fillId="3" borderId="1" xfId="4" applyNumberFormat="1" applyFont="1" applyFill="1" applyBorder="1" applyAlignment="1">
      <alignment horizontal="center" vertical="center" wrapText="1"/>
    </xf>
    <xf numFmtId="167" fontId="22" fillId="3" borderId="1" xfId="4" applyFont="1" applyFill="1" applyBorder="1" applyAlignment="1">
      <alignment horizontal="center" vertical="center" wrapText="1"/>
    </xf>
    <xf numFmtId="1" fontId="22" fillId="3" borderId="1" xfId="4" applyNumberFormat="1" applyFont="1" applyFill="1" applyBorder="1" applyAlignment="1">
      <alignment horizontal="center" vertical="center" wrapText="1"/>
    </xf>
    <xf numFmtId="0" fontId="22" fillId="3" borderId="1" xfId="4" applyNumberFormat="1" applyFont="1" applyFill="1" applyBorder="1" applyAlignment="1">
      <alignment horizontal="right" vertical="center" wrapText="1"/>
    </xf>
    <xf numFmtId="0" fontId="22" fillId="3" borderId="1" xfId="4" applyNumberFormat="1" applyFont="1" applyFill="1" applyBorder="1" applyAlignment="1">
      <alignment horizontal="left" vertical="center" wrapText="1"/>
    </xf>
    <xf numFmtId="0" fontId="13" fillId="0" borderId="1" xfId="0" applyFont="1" applyBorder="1"/>
    <xf numFmtId="1" fontId="13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0" fontId="0" fillId="0" borderId="1" xfId="0" applyBorder="1"/>
    <xf numFmtId="49" fontId="0" fillId="5" borderId="1" xfId="0" applyNumberFormat="1" applyFill="1" applyBorder="1" applyAlignment="1">
      <alignment horizontal="left" vertical="top" wrapText="1"/>
    </xf>
    <xf numFmtId="166" fontId="2" fillId="0" borderId="1" xfId="0" applyNumberFormat="1" applyFont="1" applyBorder="1"/>
    <xf numFmtId="49" fontId="2" fillId="0" borderId="1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12" fillId="0" borderId="0" xfId="0" applyFont="1"/>
    <xf numFmtId="164" fontId="24" fillId="0" borderId="0" xfId="1" applyNumberFormat="1" applyFont="1" applyFill="1" applyBorder="1" applyAlignment="1">
      <alignment horizontal="right"/>
    </xf>
    <xf numFmtId="164" fontId="12" fillId="0" borderId="0" xfId="1" applyNumberFormat="1" applyFont="1" applyFill="1" applyBorder="1" applyAlignment="1">
      <alignment horizontal="right"/>
    </xf>
    <xf numFmtId="174" fontId="12" fillId="0" borderId="0" xfId="0" applyNumberFormat="1" applyFont="1" applyAlignment="1">
      <alignment horizontal="right"/>
    </xf>
    <xf numFmtId="164" fontId="12" fillId="0" borderId="0" xfId="1" applyNumberFormat="1" applyFont="1" applyFill="1"/>
    <xf numFmtId="43" fontId="12" fillId="0" borderId="0" xfId="0" applyNumberFormat="1" applyFont="1"/>
    <xf numFmtId="164" fontId="12" fillId="0" borderId="0" xfId="0" applyNumberFormat="1" applyFont="1"/>
    <xf numFmtId="0" fontId="12" fillId="0" borderId="0" xfId="0" applyFont="1" applyAlignment="1">
      <alignment vertical="top" wrapText="1"/>
    </xf>
    <xf numFmtId="164" fontId="27" fillId="0" borderId="0" xfId="1" applyNumberFormat="1" applyFont="1" applyFill="1" applyBorder="1" applyAlignment="1" applyProtection="1">
      <alignment horizontal="right" vertical="center"/>
    </xf>
    <xf numFmtId="0" fontId="24" fillId="0" borderId="0" xfId="0" applyFont="1"/>
    <xf numFmtId="49" fontId="27" fillId="0" borderId="0" xfId="1" applyNumberFormat="1" applyFont="1" applyFill="1" applyBorder="1" applyAlignment="1" applyProtection="1">
      <alignment horizontal="center" vertical="center"/>
    </xf>
    <xf numFmtId="43" fontId="27" fillId="0" borderId="0" xfId="1" applyFont="1" applyFill="1" applyBorder="1" applyAlignment="1" applyProtection="1">
      <alignment horizontal="center" vertical="center"/>
    </xf>
    <xf numFmtId="174" fontId="27" fillId="0" borderId="0" xfId="1" applyNumberFormat="1" applyFont="1" applyFill="1" applyBorder="1" applyAlignment="1" applyProtection="1">
      <alignment horizontal="right" vertical="center"/>
    </xf>
    <xf numFmtId="170" fontId="27" fillId="0" borderId="0" xfId="1" applyNumberFormat="1" applyFont="1" applyFill="1" applyBorder="1" applyAlignment="1" applyProtection="1">
      <alignment horizontal="left" vertical="center"/>
    </xf>
    <xf numFmtId="170" fontId="27" fillId="0" borderId="0" xfId="1" applyNumberFormat="1" applyFont="1" applyFill="1" applyBorder="1" applyAlignment="1" applyProtection="1">
      <alignment horizontal="center" vertical="center"/>
    </xf>
    <xf numFmtId="164" fontId="24" fillId="0" borderId="0" xfId="1" applyNumberFormat="1" applyFont="1" applyFill="1"/>
    <xf numFmtId="0" fontId="12" fillId="0" borderId="24" xfId="0" applyFont="1" applyBorder="1"/>
    <xf numFmtId="164" fontId="24" fillId="0" borderId="24" xfId="1" applyNumberFormat="1" applyFont="1" applyFill="1" applyBorder="1" applyAlignment="1">
      <alignment horizontal="right"/>
    </xf>
    <xf numFmtId="164" fontId="12" fillId="0" borderId="24" xfId="1" applyNumberFormat="1" applyFont="1" applyFill="1" applyBorder="1" applyAlignment="1">
      <alignment horizontal="right"/>
    </xf>
    <xf numFmtId="174" fontId="12" fillId="0" borderId="24" xfId="0" applyNumberFormat="1" applyFont="1" applyBorder="1" applyAlignment="1">
      <alignment horizontal="right"/>
    </xf>
    <xf numFmtId="0" fontId="12" fillId="0" borderId="24" xfId="0" applyFont="1" applyBorder="1" applyAlignment="1">
      <alignment horizontal="left"/>
    </xf>
    <xf numFmtId="0" fontId="28" fillId="0" borderId="24" xfId="0" applyFont="1" applyBorder="1" applyAlignment="1">
      <alignment horizontal="left"/>
    </xf>
    <xf numFmtId="176" fontId="12" fillId="0" borderId="0" xfId="1" applyNumberFormat="1" applyFont="1" applyFill="1" applyBorder="1" applyAlignment="1">
      <alignment horizontal="right"/>
    </xf>
    <xf numFmtId="49" fontId="0" fillId="0" borderId="2" xfId="0" applyNumberFormat="1" applyBorder="1" applyAlignment="1">
      <alignment horizontal="left" vertical="top" wrapText="1"/>
    </xf>
    <xf numFmtId="166" fontId="0" fillId="0" borderId="2" xfId="0" applyNumberFormat="1" applyBorder="1" applyAlignment="1">
      <alignment vertical="top"/>
    </xf>
    <xf numFmtId="171" fontId="0" fillId="0" borderId="2" xfId="0" applyNumberFormat="1" applyBorder="1" applyAlignment="1">
      <alignment horizontal="center" vertical="top"/>
    </xf>
    <xf numFmtId="49" fontId="0" fillId="0" borderId="16" xfId="0" applyNumberFormat="1" applyBorder="1" applyAlignment="1">
      <alignment horizontal="left" vertical="top" wrapText="1"/>
    </xf>
    <xf numFmtId="165" fontId="0" fillId="0" borderId="2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29" fillId="8" borderId="2" xfId="0" applyFont="1" applyFill="1" applyBorder="1" applyAlignment="1">
      <alignment horizontal="center" vertical="center" wrapText="1"/>
    </xf>
    <xf numFmtId="0" fontId="17" fillId="0" borderId="0" xfId="0" applyFont="1"/>
    <xf numFmtId="0" fontId="17" fillId="2" borderId="25" xfId="0" applyFont="1" applyFill="1" applyBorder="1"/>
    <xf numFmtId="0" fontId="17" fillId="2" borderId="25" xfId="0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7" fillId="3" borderId="1" xfId="0" applyFont="1" applyFill="1" applyBorder="1" applyAlignment="1">
      <alignment vertical="center" wrapText="1"/>
    </xf>
    <xf numFmtId="164" fontId="13" fillId="0" borderId="0" xfId="1" applyNumberFormat="1" applyFont="1" applyAlignment="1">
      <alignment wrapText="1"/>
    </xf>
    <xf numFmtId="0" fontId="17" fillId="2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2" fillId="0" borderId="26" xfId="0" applyFont="1" applyBorder="1"/>
    <xf numFmtId="49" fontId="2" fillId="0" borderId="26" xfId="0" applyNumberFormat="1" applyFont="1" applyBorder="1" applyAlignment="1">
      <alignment horizontal="left" vertical="top" wrapText="1"/>
    </xf>
    <xf numFmtId="166" fontId="2" fillId="0" borderId="26" xfId="0" applyNumberFormat="1" applyFont="1" applyBorder="1"/>
    <xf numFmtId="166" fontId="2" fillId="6" borderId="26" xfId="0" applyNumberFormat="1" applyFont="1" applyFill="1" applyBorder="1"/>
    <xf numFmtId="49" fontId="0" fillId="11" borderId="2" xfId="0" applyNumberFormat="1" applyFill="1" applyBorder="1" applyAlignment="1">
      <alignment horizontal="left" vertical="top" wrapText="1"/>
    </xf>
    <xf numFmtId="49" fontId="0" fillId="11" borderId="1" xfId="0" applyNumberFormat="1" applyFill="1" applyBorder="1" applyAlignment="1">
      <alignment horizontal="left" vertical="top" wrapText="1"/>
    </xf>
    <xf numFmtId="0" fontId="22" fillId="3" borderId="12" xfId="4" applyNumberFormat="1" applyFont="1" applyFill="1" applyBorder="1" applyAlignment="1">
      <alignment horizontal="center" vertical="center" wrapText="1"/>
    </xf>
    <xf numFmtId="167" fontId="13" fillId="4" borderId="12" xfId="4" applyFont="1" applyFill="1" applyBorder="1" applyAlignment="1">
      <alignment horizontal="left" vertical="center"/>
    </xf>
    <xf numFmtId="167" fontId="13" fillId="4" borderId="12" xfId="4" applyFont="1" applyFill="1" applyBorder="1" applyAlignment="1">
      <alignment horizontal="left" vertical="top"/>
    </xf>
    <xf numFmtId="170" fontId="12" fillId="0" borderId="1" xfId="1" applyNumberFormat="1" applyFont="1" applyFill="1" applyBorder="1" applyAlignment="1" applyProtection="1">
      <alignment horizontal="left" vertical="center"/>
    </xf>
    <xf numFmtId="164" fontId="13" fillId="0" borderId="1" xfId="1" applyNumberFormat="1" applyFont="1" applyBorder="1" applyAlignment="1">
      <alignment vertical="center"/>
    </xf>
    <xf numFmtId="49" fontId="12" fillId="0" borderId="1" xfId="0" applyNumberFormat="1" applyFont="1" applyBorder="1" applyAlignment="1">
      <alignment horizontal="left"/>
    </xf>
    <xf numFmtId="164" fontId="13" fillId="0" borderId="1" xfId="1" applyNumberFormat="1" applyFont="1" applyBorder="1"/>
    <xf numFmtId="170" fontId="16" fillId="0" borderId="1" xfId="1" applyNumberFormat="1" applyFont="1" applyFill="1" applyBorder="1" applyAlignment="1" applyProtection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67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164" fontId="13" fillId="2" borderId="1" xfId="1" applyNumberFormat="1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26" fillId="10" borderId="1" xfId="10" applyNumberFormat="1" applyFont="1" applyFill="1" applyBorder="1" applyAlignment="1">
      <alignment horizontal="left" vertical="top" wrapText="1"/>
    </xf>
    <xf numFmtId="0" fontId="12" fillId="0" borderId="1" xfId="0" applyFont="1" applyBorder="1" applyAlignment="1" applyProtection="1">
      <alignment horizontal="left" vertical="center"/>
      <protection locked="0"/>
    </xf>
    <xf numFmtId="0" fontId="12" fillId="2" borderId="1" xfId="0" applyFont="1" applyFill="1" applyBorder="1" applyAlignment="1" applyProtection="1">
      <alignment horizontal="left" vertical="center"/>
      <protection locked="0"/>
    </xf>
    <xf numFmtId="0" fontId="12" fillId="0" borderId="1" xfId="0" applyFont="1" applyBorder="1" applyAlignment="1">
      <alignment horizontal="left"/>
    </xf>
    <xf numFmtId="164" fontId="26" fillId="10" borderId="1" xfId="1" applyNumberFormat="1" applyFont="1" applyFill="1" applyBorder="1" applyAlignment="1" applyProtection="1">
      <alignment horizontal="left" vertical="top" wrapText="1"/>
    </xf>
    <xf numFmtId="174" fontId="26" fillId="10" borderId="1" xfId="10" applyNumberFormat="1" applyFont="1" applyFill="1" applyBorder="1" applyAlignment="1">
      <alignment horizontal="left" vertical="top" wrapText="1"/>
    </xf>
    <xf numFmtId="164" fontId="26" fillId="0" borderId="1" xfId="1" applyNumberFormat="1" applyFont="1" applyFill="1" applyBorder="1" applyAlignment="1" applyProtection="1">
      <alignment horizontal="left" vertical="top" wrapText="1"/>
    </xf>
    <xf numFmtId="174" fontId="26" fillId="0" borderId="1" xfId="10" applyNumberFormat="1" applyFont="1" applyBorder="1" applyAlignment="1">
      <alignment horizontal="left" vertical="top" wrapText="1"/>
    </xf>
    <xf numFmtId="164" fontId="27" fillId="0" borderId="1" xfId="1" applyNumberFormat="1" applyFont="1" applyFill="1" applyBorder="1" applyAlignment="1" applyProtection="1">
      <alignment horizontal="left" vertical="top" wrapText="1"/>
    </xf>
    <xf numFmtId="0" fontId="26" fillId="0" borderId="1" xfId="1" applyNumberFormat="1" applyFont="1" applyFill="1" applyBorder="1" applyAlignment="1" applyProtection="1">
      <alignment horizontal="left" vertical="top" wrapText="1"/>
    </xf>
    <xf numFmtId="0" fontId="26" fillId="0" borderId="1" xfId="1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164" fontId="12" fillId="0" borderId="1" xfId="1" applyNumberFormat="1" applyFont="1" applyFill="1" applyBorder="1" applyAlignment="1" applyProtection="1">
      <alignment horizontal="left" vertical="center"/>
    </xf>
    <xf numFmtId="174" fontId="12" fillId="0" borderId="1" xfId="10" applyNumberFormat="1" applyFont="1" applyBorder="1" applyAlignment="1">
      <alignment horizontal="left" vertical="center"/>
    </xf>
    <xf numFmtId="164" fontId="24" fillId="0" borderId="1" xfId="1" applyNumberFormat="1" applyFont="1" applyFill="1" applyBorder="1" applyAlignment="1" applyProtection="1">
      <alignment horizontal="left" vertical="center"/>
    </xf>
    <xf numFmtId="43" fontId="12" fillId="0" borderId="1" xfId="1" applyFont="1" applyFill="1" applyBorder="1" applyAlignment="1" applyProtection="1">
      <alignment horizontal="left" vertical="center"/>
    </xf>
    <xf numFmtId="0" fontId="12" fillId="0" borderId="1" xfId="10" quotePrefix="1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164" fontId="12" fillId="0" borderId="1" xfId="1" applyNumberFormat="1" applyFont="1" applyFill="1" applyBorder="1" applyAlignment="1">
      <alignment horizontal="left"/>
    </xf>
    <xf numFmtId="174" fontId="12" fillId="0" borderId="1" xfId="0" applyNumberFormat="1" applyFont="1" applyBorder="1" applyAlignment="1">
      <alignment horizontal="left"/>
    </xf>
    <xf numFmtId="164" fontId="24" fillId="0" borderId="1" xfId="1" applyNumberFormat="1" applyFont="1" applyFill="1" applyBorder="1" applyAlignment="1">
      <alignment horizontal="left"/>
    </xf>
    <xf numFmtId="0" fontId="5" fillId="3" borderId="27" xfId="0" applyFont="1" applyFill="1" applyBorder="1" applyAlignment="1">
      <alignment horizontal="center" vertical="center" wrapText="1"/>
    </xf>
    <xf numFmtId="167" fontId="31" fillId="0" borderId="0" xfId="4" applyFont="1" applyAlignment="1">
      <alignment vertical="center"/>
    </xf>
    <xf numFmtId="167" fontId="31" fillId="0" borderId="0" xfId="4" applyFont="1" applyAlignment="1">
      <alignment horizontal="left" vertical="center"/>
    </xf>
    <xf numFmtId="167" fontId="31" fillId="0" borderId="0" xfId="4" applyFont="1" applyAlignment="1">
      <alignment horizontal="left" vertical="center" wrapText="1"/>
    </xf>
    <xf numFmtId="167" fontId="31" fillId="0" borderId="0" xfId="4" applyFont="1" applyAlignment="1">
      <alignment horizontal="center" vertical="center"/>
    </xf>
    <xf numFmtId="167" fontId="31" fillId="0" borderId="0" xfId="4" applyFont="1" applyAlignment="1">
      <alignment horizontal="right" vertical="center"/>
    </xf>
    <xf numFmtId="0" fontId="31" fillId="0" borderId="0" xfId="0" applyFont="1"/>
    <xf numFmtId="0" fontId="32" fillId="3" borderId="1" xfId="4" applyNumberFormat="1" applyFont="1" applyFill="1" applyBorder="1" applyAlignment="1">
      <alignment horizontal="center" vertical="center" wrapText="1"/>
    </xf>
    <xf numFmtId="0" fontId="32" fillId="3" borderId="1" xfId="4" applyNumberFormat="1" applyFont="1" applyFill="1" applyBorder="1" applyAlignment="1">
      <alignment horizontal="left" vertical="center" wrapText="1"/>
    </xf>
    <xf numFmtId="0" fontId="28" fillId="3" borderId="1" xfId="4" applyNumberFormat="1" applyFont="1" applyFill="1" applyBorder="1" applyAlignment="1">
      <alignment horizontal="center" vertical="center" wrapText="1"/>
    </xf>
    <xf numFmtId="167" fontId="32" fillId="3" borderId="1" xfId="4" applyFont="1" applyFill="1" applyBorder="1" applyAlignment="1">
      <alignment horizontal="center" vertical="center" wrapText="1"/>
    </xf>
    <xf numFmtId="167" fontId="32" fillId="11" borderId="1" xfId="4" applyFont="1" applyFill="1" applyBorder="1" applyAlignment="1">
      <alignment horizontal="center" vertical="center"/>
    </xf>
    <xf numFmtId="164" fontId="31" fillId="0" borderId="0" xfId="1" applyNumberFormat="1" applyFont="1"/>
    <xf numFmtId="0" fontId="31" fillId="4" borderId="1" xfId="4" applyNumberFormat="1" applyFont="1" applyFill="1" applyBorder="1" applyAlignment="1">
      <alignment horizontal="center" vertical="center"/>
    </xf>
    <xf numFmtId="0" fontId="31" fillId="4" borderId="1" xfId="4" applyNumberFormat="1" applyFont="1" applyFill="1" applyBorder="1" applyAlignment="1">
      <alignment horizontal="left" vertical="center" wrapText="1"/>
    </xf>
    <xf numFmtId="167" fontId="31" fillId="4" borderId="1" xfId="4" applyFont="1" applyFill="1" applyBorder="1" applyAlignment="1">
      <alignment horizontal="left" vertical="center"/>
    </xf>
    <xf numFmtId="167" fontId="31" fillId="4" borderId="1" xfId="4" applyFont="1" applyFill="1" applyBorder="1" applyAlignment="1">
      <alignment horizontal="left" vertical="center" wrapText="1"/>
    </xf>
    <xf numFmtId="167" fontId="31" fillId="4" borderId="1" xfId="4" applyFont="1" applyFill="1" applyBorder="1" applyAlignment="1">
      <alignment horizontal="center" vertical="center"/>
    </xf>
    <xf numFmtId="167" fontId="31" fillId="4" borderId="1" xfId="4" applyFont="1" applyFill="1" applyBorder="1" applyAlignment="1">
      <alignment vertical="center" wrapText="1"/>
    </xf>
    <xf numFmtId="167" fontId="31" fillId="4" borderId="1" xfId="4" applyFont="1" applyFill="1" applyBorder="1" applyAlignment="1">
      <alignment horizontal="right" vertical="center" wrapText="1"/>
    </xf>
    <xf numFmtId="15" fontId="31" fillId="4" borderId="1" xfId="4" applyNumberFormat="1" applyFont="1" applyFill="1" applyBorder="1" applyAlignment="1">
      <alignment horizontal="right" vertical="center" wrapText="1"/>
    </xf>
    <xf numFmtId="15" fontId="31" fillId="4" borderId="1" xfId="4" applyNumberFormat="1" applyFont="1" applyFill="1" applyBorder="1" applyAlignment="1">
      <alignment horizontal="center" vertical="center" wrapText="1"/>
    </xf>
    <xf numFmtId="167" fontId="31" fillId="4" borderId="1" xfId="4" applyFont="1" applyFill="1" applyBorder="1" applyAlignment="1">
      <alignment horizontal="center" vertical="center" wrapText="1"/>
    </xf>
    <xf numFmtId="1" fontId="31" fillId="4" borderId="1" xfId="4" applyNumberFormat="1" applyFont="1" applyFill="1" applyBorder="1" applyAlignment="1">
      <alignment horizontal="center" vertical="center"/>
    </xf>
    <xf numFmtId="172" fontId="31" fillId="4" borderId="1" xfId="4" applyNumberFormat="1" applyFont="1" applyFill="1" applyBorder="1" applyAlignment="1">
      <alignment horizontal="right" vertical="center"/>
    </xf>
    <xf numFmtId="15" fontId="31" fillId="4" borderId="1" xfId="4" applyNumberFormat="1" applyFont="1" applyFill="1" applyBorder="1" applyAlignment="1">
      <alignment horizontal="right" vertical="center"/>
    </xf>
    <xf numFmtId="15" fontId="31" fillId="4" borderId="1" xfId="4" applyNumberFormat="1" applyFont="1" applyFill="1" applyBorder="1" applyAlignment="1">
      <alignment horizontal="center" vertical="center"/>
    </xf>
    <xf numFmtId="167" fontId="31" fillId="4" borderId="1" xfId="4" applyFont="1" applyFill="1" applyBorder="1" applyAlignment="1">
      <alignment vertical="center"/>
    </xf>
    <xf numFmtId="167" fontId="32" fillId="4" borderId="1" xfId="4" applyFont="1" applyFill="1" applyBorder="1" applyAlignment="1">
      <alignment horizontal="left" vertical="center"/>
    </xf>
    <xf numFmtId="167" fontId="31" fillId="4" borderId="1" xfId="4" applyFont="1" applyFill="1" applyBorder="1" applyAlignment="1">
      <alignment horizontal="right" vertical="center"/>
    </xf>
    <xf numFmtId="0" fontId="31" fillId="4" borderId="1" xfId="0" applyFont="1" applyFill="1" applyBorder="1" applyAlignment="1">
      <alignment horizontal="left" vertical="center"/>
    </xf>
    <xf numFmtId="0" fontId="31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vertical="center" wrapText="1"/>
    </xf>
    <xf numFmtId="15" fontId="31" fillId="4" borderId="1" xfId="0" applyNumberFormat="1" applyFont="1" applyFill="1" applyBorder="1" applyAlignment="1">
      <alignment horizontal="right" vertical="center"/>
    </xf>
    <xf numFmtId="0" fontId="31" fillId="4" borderId="1" xfId="0" applyFont="1" applyFill="1" applyBorder="1" applyAlignment="1">
      <alignment horizontal="center" vertical="center" wrapText="1"/>
    </xf>
    <xf numFmtId="172" fontId="31" fillId="4" borderId="1" xfId="4" applyNumberFormat="1" applyFont="1" applyFill="1" applyBorder="1" applyAlignment="1">
      <alignment horizontal="right" vertical="center" wrapText="1"/>
    </xf>
    <xf numFmtId="0" fontId="31" fillId="4" borderId="1" xfId="0" applyFont="1" applyFill="1" applyBorder="1" applyAlignment="1">
      <alignment horizontal="left" vertical="center" wrapText="1"/>
    </xf>
    <xf numFmtId="15" fontId="31" fillId="4" borderId="1" xfId="0" applyNumberFormat="1" applyFont="1" applyFill="1" applyBorder="1" applyAlignment="1">
      <alignment horizontal="right" vertical="center" wrapText="1"/>
    </xf>
    <xf numFmtId="0" fontId="31" fillId="4" borderId="1" xfId="0" applyFont="1" applyFill="1" applyBorder="1" applyAlignment="1">
      <alignment vertical="center"/>
    </xf>
    <xf numFmtId="0" fontId="31" fillId="4" borderId="2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center" vertical="center"/>
    </xf>
    <xf numFmtId="15" fontId="31" fillId="9" borderId="1" xfId="0" applyNumberFormat="1" applyFont="1" applyFill="1" applyBorder="1" applyAlignment="1">
      <alignment horizontal="right" vertical="center"/>
    </xf>
    <xf numFmtId="0" fontId="31" fillId="4" borderId="1" xfId="4" applyNumberFormat="1" applyFont="1" applyFill="1" applyBorder="1" applyAlignment="1">
      <alignment horizontal="left" vertical="center"/>
    </xf>
    <xf numFmtId="167" fontId="31" fillId="4" borderId="2" xfId="4" applyFont="1" applyFill="1" applyBorder="1" applyAlignment="1">
      <alignment horizontal="left" vertical="center" wrapText="1"/>
    </xf>
    <xf numFmtId="0" fontId="31" fillId="4" borderId="9" xfId="4" applyNumberFormat="1" applyFont="1" applyFill="1" applyBorder="1" applyAlignment="1">
      <alignment horizontal="left" vertical="center" wrapText="1"/>
    </xf>
    <xf numFmtId="0" fontId="31" fillId="4" borderId="9" xfId="0" applyFont="1" applyFill="1" applyBorder="1" applyAlignment="1">
      <alignment vertical="center" wrapText="1"/>
    </xf>
    <xf numFmtId="167" fontId="31" fillId="4" borderId="6" xfId="4" applyFont="1" applyFill="1" applyBorder="1" applyAlignment="1">
      <alignment horizontal="left" vertical="center" wrapText="1"/>
    </xf>
    <xf numFmtId="0" fontId="31" fillId="4" borderId="6" xfId="0" applyFont="1" applyFill="1" applyBorder="1" applyAlignment="1">
      <alignment horizontal="left" vertical="center" wrapText="1"/>
    </xf>
    <xf numFmtId="167" fontId="31" fillId="4" borderId="9" xfId="4" applyFont="1" applyFill="1" applyBorder="1" applyAlignment="1">
      <alignment horizontal="center" vertical="center" wrapText="1"/>
    </xf>
    <xf numFmtId="0" fontId="31" fillId="4" borderId="9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vertical="center" wrapText="1"/>
    </xf>
    <xf numFmtId="167" fontId="31" fillId="4" borderId="10" xfId="4" applyFont="1" applyFill="1" applyBorder="1" applyAlignment="1">
      <alignment horizontal="left" vertical="center" wrapText="1"/>
    </xf>
    <xf numFmtId="167" fontId="31" fillId="4" borderId="9" xfId="4" applyFont="1" applyFill="1" applyBorder="1" applyAlignment="1">
      <alignment horizontal="right" vertical="center"/>
    </xf>
    <xf numFmtId="167" fontId="31" fillId="4" borderId="9" xfId="4" applyFont="1" applyFill="1" applyBorder="1" applyAlignment="1">
      <alignment horizontal="left" vertical="center" wrapText="1"/>
    </xf>
    <xf numFmtId="167" fontId="31" fillId="4" borderId="8" xfId="4" applyFont="1" applyFill="1" applyBorder="1" applyAlignment="1">
      <alignment horizontal="left" vertical="center" wrapText="1"/>
    </xf>
    <xf numFmtId="15" fontId="31" fillId="9" borderId="1" xfId="0" applyNumberFormat="1" applyFont="1" applyFill="1" applyBorder="1" applyAlignment="1">
      <alignment horizontal="right" vertical="center" wrapText="1"/>
    </xf>
    <xf numFmtId="0" fontId="31" fillId="4" borderId="9" xfId="4" applyNumberFormat="1" applyFont="1" applyFill="1" applyBorder="1" applyAlignment="1">
      <alignment horizontal="center" vertical="center"/>
    </xf>
    <xf numFmtId="0" fontId="31" fillId="4" borderId="9" xfId="0" applyFont="1" applyFill="1" applyBorder="1" applyAlignment="1">
      <alignment vertical="center"/>
    </xf>
    <xf numFmtId="0" fontId="31" fillId="4" borderId="9" xfId="0" applyFont="1" applyFill="1" applyBorder="1" applyAlignment="1">
      <alignment horizontal="left" vertical="center"/>
    </xf>
    <xf numFmtId="167" fontId="31" fillId="4" borderId="9" xfId="4" applyFont="1" applyFill="1" applyBorder="1" applyAlignment="1">
      <alignment horizontal="center" vertical="center"/>
    </xf>
    <xf numFmtId="15" fontId="31" fillId="4" borderId="1" xfId="0" applyNumberFormat="1" applyFont="1" applyFill="1" applyBorder="1" applyAlignment="1">
      <alignment vertical="center"/>
    </xf>
    <xf numFmtId="15" fontId="31" fillId="4" borderId="1" xfId="0" applyNumberFormat="1" applyFont="1" applyFill="1" applyBorder="1" applyAlignment="1">
      <alignment vertical="center" wrapText="1"/>
    </xf>
    <xf numFmtId="167" fontId="31" fillId="4" borderId="14" xfId="4" applyFont="1" applyFill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5" fillId="11" borderId="1" xfId="0" applyFont="1" applyFill="1" applyBorder="1" applyAlignment="1">
      <alignment horizontal="center" vertical="center" wrapText="1"/>
    </xf>
    <xf numFmtId="0" fontId="31" fillId="0" borderId="1" xfId="0" applyFont="1" applyBorder="1"/>
    <xf numFmtId="164" fontId="31" fillId="0" borderId="1" xfId="1" applyNumberFormat="1" applyFont="1" applyBorder="1"/>
    <xf numFmtId="164" fontId="31" fillId="0" borderId="1" xfId="1" applyNumberFormat="1" applyFont="1" applyBorder="1" applyAlignment="1">
      <alignment vertical="center"/>
    </xf>
    <xf numFmtId="167" fontId="31" fillId="0" borderId="1" xfId="0" applyNumberFormat="1" applyFont="1" applyBorder="1"/>
    <xf numFmtId="164" fontId="31" fillId="0" borderId="1" xfId="0" applyNumberFormat="1" applyFont="1" applyBorder="1"/>
    <xf numFmtId="170" fontId="19" fillId="0" borderId="1" xfId="1" applyNumberFormat="1" applyFont="1" applyFill="1" applyBorder="1" applyAlignment="1" applyProtection="1">
      <alignment horizontal="left" vertical="center"/>
    </xf>
    <xf numFmtId="0" fontId="36" fillId="3" borderId="1" xfId="4" applyNumberFormat="1" applyFont="1" applyFill="1" applyBorder="1" applyAlignment="1">
      <alignment horizontal="center" vertical="center" wrapText="1"/>
    </xf>
    <xf numFmtId="167" fontId="36" fillId="3" borderId="1" xfId="4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167" fontId="35" fillId="4" borderId="1" xfId="4" applyFont="1" applyFill="1" applyBorder="1" applyAlignment="1">
      <alignment vertical="center"/>
    </xf>
    <xf numFmtId="0" fontId="34" fillId="0" borderId="0" xfId="0" applyFont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4" fillId="0" borderId="1" xfId="0" applyFont="1" applyBorder="1" applyAlignment="1">
      <alignment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 wrapText="1"/>
    </xf>
    <xf numFmtId="167" fontId="11" fillId="3" borderId="1" xfId="4" applyFont="1" applyFill="1" applyBorder="1" applyAlignment="1">
      <alignment vertical="center" wrapText="1"/>
    </xf>
    <xf numFmtId="167" fontId="10" fillId="3" borderId="1" xfId="4" applyFont="1" applyFill="1" applyBorder="1" applyAlignment="1">
      <alignment horizontal="center" vertical="center" wrapText="1"/>
    </xf>
    <xf numFmtId="167" fontId="7" fillId="3" borderId="1" xfId="4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36" fillId="2" borderId="1" xfId="0" applyFont="1" applyFill="1" applyBorder="1" applyAlignment="1">
      <alignment vertical="center" wrapText="1"/>
    </xf>
    <xf numFmtId="1" fontId="36" fillId="3" borderId="1" xfId="4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/>
    </xf>
    <xf numFmtId="0" fontId="36" fillId="3" borderId="1" xfId="4" applyNumberFormat="1" applyFont="1" applyFill="1" applyBorder="1" applyAlignment="1">
      <alignment horizontal="left" vertical="center" wrapText="1"/>
    </xf>
    <xf numFmtId="0" fontId="36" fillId="3" borderId="1" xfId="4" applyNumberFormat="1" applyFont="1" applyFill="1" applyBorder="1" applyAlignment="1">
      <alignment horizontal="right" vertical="center" wrapText="1"/>
    </xf>
    <xf numFmtId="169" fontId="36" fillId="3" borderId="1" xfId="4" applyNumberFormat="1" applyFont="1" applyFill="1" applyBorder="1" applyAlignment="1">
      <alignment vertical="center" wrapText="1"/>
    </xf>
    <xf numFmtId="43" fontId="36" fillId="3" borderId="1" xfId="4" applyNumberFormat="1" applyFont="1" applyFill="1" applyBorder="1" applyAlignment="1">
      <alignment horizontal="center" vertical="center" wrapText="1"/>
    </xf>
    <xf numFmtId="0" fontId="37" fillId="0" borderId="1" xfId="0" applyFont="1" applyBorder="1" applyAlignment="1">
      <alignment vertical="center"/>
    </xf>
    <xf numFmtId="0" fontId="37" fillId="4" borderId="1" xfId="0" applyFont="1" applyFill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168" fontId="34" fillId="4" borderId="1" xfId="0" applyNumberFormat="1" applyFont="1" applyFill="1" applyBorder="1" applyAlignment="1">
      <alignment horizontal="right" vertical="center"/>
    </xf>
    <xf numFmtId="167" fontId="34" fillId="0" borderId="1" xfId="4" applyFont="1" applyBorder="1" applyAlignment="1">
      <alignment horizontal="center" vertical="center"/>
    </xf>
    <xf numFmtId="0" fontId="34" fillId="0" borderId="1" xfId="0" applyFont="1" applyBorder="1" applyAlignment="1">
      <alignment horizontal="right" vertical="center"/>
    </xf>
    <xf numFmtId="49" fontId="35" fillId="0" borderId="1" xfId="4" applyNumberFormat="1" applyFont="1" applyBorder="1" applyAlignment="1">
      <alignment horizontal="right" vertical="center"/>
    </xf>
    <xf numFmtId="167" fontId="34" fillId="0" borderId="1" xfId="4" applyFont="1" applyBorder="1" applyAlignment="1">
      <alignment horizontal="right" vertical="center"/>
    </xf>
    <xf numFmtId="0" fontId="38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vertical="center"/>
    </xf>
    <xf numFmtId="165" fontId="0" fillId="0" borderId="1" xfId="0" applyNumberFormat="1" applyBorder="1" applyAlignment="1">
      <alignment vertical="top"/>
    </xf>
    <xf numFmtId="49" fontId="0" fillId="0" borderId="0" xfId="0" applyNumberFormat="1" applyAlignment="1">
      <alignment horizontal="left" vertical="top" wrapText="1"/>
    </xf>
    <xf numFmtId="168" fontId="0" fillId="0" borderId="2" xfId="0" applyNumberFormat="1" applyBorder="1" applyAlignment="1">
      <alignment vertical="top"/>
    </xf>
    <xf numFmtId="164" fontId="22" fillId="3" borderId="1" xfId="1" applyNumberFormat="1" applyFont="1" applyFill="1" applyBorder="1" applyAlignment="1">
      <alignment horizontal="left" vertical="center" wrapText="1"/>
    </xf>
    <xf numFmtId="164" fontId="22" fillId="3" borderId="1" xfId="1" applyNumberFormat="1" applyFont="1" applyFill="1" applyBorder="1" applyAlignment="1">
      <alignment horizontal="center" vertical="center" wrapText="1"/>
    </xf>
    <xf numFmtId="164" fontId="13" fillId="4" borderId="1" xfId="1" applyNumberFormat="1" applyFont="1" applyFill="1" applyBorder="1" applyAlignment="1">
      <alignment horizontal="left" vertical="center" wrapText="1"/>
    </xf>
    <xf numFmtId="164" fontId="13" fillId="4" borderId="1" xfId="1" applyNumberFormat="1" applyFont="1" applyFill="1" applyBorder="1" applyAlignment="1">
      <alignment horizontal="center" vertical="center" wrapText="1"/>
    </xf>
    <xf numFmtId="164" fontId="13" fillId="4" borderId="1" xfId="1" applyNumberFormat="1" applyFont="1" applyFill="1" applyBorder="1" applyAlignment="1">
      <alignment horizontal="left" vertical="center"/>
    </xf>
    <xf numFmtId="164" fontId="13" fillId="4" borderId="1" xfId="1" applyNumberFormat="1" applyFont="1" applyFill="1" applyBorder="1" applyAlignment="1">
      <alignment horizontal="left"/>
    </xf>
    <xf numFmtId="164" fontId="13" fillId="4" borderId="1" xfId="1" applyNumberFormat="1" applyFont="1" applyFill="1" applyBorder="1" applyAlignment="1">
      <alignment horizontal="center" vertical="top" wrapText="1"/>
    </xf>
    <xf numFmtId="164" fontId="13" fillId="4" borderId="1" xfId="1" applyNumberFormat="1" applyFont="1" applyFill="1" applyBorder="1" applyAlignment="1">
      <alignment horizontal="center"/>
    </xf>
    <xf numFmtId="164" fontId="13" fillId="4" borderId="1" xfId="1" applyNumberFormat="1" applyFont="1" applyFill="1" applyBorder="1" applyAlignment="1">
      <alignment horizontal="center" vertical="center"/>
    </xf>
    <xf numFmtId="164" fontId="13" fillId="4" borderId="1" xfId="1" applyNumberFormat="1" applyFont="1" applyFill="1" applyBorder="1" applyAlignment="1">
      <alignment horizontal="left" wrapText="1"/>
    </xf>
    <xf numFmtId="164" fontId="13" fillId="4" borderId="1" xfId="1" applyNumberFormat="1" applyFont="1" applyFill="1" applyBorder="1" applyAlignment="1">
      <alignment horizontal="center" wrapText="1"/>
    </xf>
    <xf numFmtId="164" fontId="13" fillId="9" borderId="1" xfId="1" applyNumberFormat="1" applyFont="1" applyFill="1" applyBorder="1" applyAlignment="1">
      <alignment horizontal="left" vertical="center" wrapText="1"/>
    </xf>
    <xf numFmtId="164" fontId="21" fillId="4" borderId="1" xfId="1" applyNumberFormat="1" applyFont="1" applyFill="1" applyBorder="1" applyAlignment="1">
      <alignment horizontal="left" wrapText="1"/>
    </xf>
    <xf numFmtId="14" fontId="13" fillId="4" borderId="1" xfId="0" applyNumberFormat="1" applyFont="1" applyFill="1" applyBorder="1" applyAlignment="1">
      <alignment horizontal="center" vertical="center" wrapText="1"/>
    </xf>
    <xf numFmtId="14" fontId="13" fillId="4" borderId="1" xfId="4" applyNumberFormat="1" applyFont="1" applyFill="1" applyBorder="1" applyAlignment="1">
      <alignment horizontal="center" vertical="center"/>
    </xf>
    <xf numFmtId="14" fontId="13" fillId="4" borderId="1" xfId="4" applyNumberFormat="1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/>
    </xf>
    <xf numFmtId="14" fontId="13" fillId="4" borderId="1" xfId="0" applyNumberFormat="1" applyFont="1" applyFill="1" applyBorder="1" applyAlignment="1">
      <alignment horizontal="center" vertical="center"/>
    </xf>
    <xf numFmtId="14" fontId="13" fillId="4" borderId="1" xfId="0" applyNumberFormat="1" applyFont="1" applyFill="1" applyBorder="1" applyAlignment="1">
      <alignment horizontal="center" wrapText="1"/>
    </xf>
    <xf numFmtId="14" fontId="13" fillId="4" borderId="1" xfId="4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vertical="center"/>
    </xf>
    <xf numFmtId="0" fontId="17" fillId="12" borderId="1" xfId="0" applyFont="1" applyFill="1" applyBorder="1" applyAlignment="1">
      <alignment vertical="center" wrapText="1"/>
    </xf>
    <xf numFmtId="0" fontId="17" fillId="13" borderId="1" xfId="0" applyFont="1" applyFill="1" applyBorder="1" applyAlignment="1">
      <alignment vertical="center" wrapText="1"/>
    </xf>
    <xf numFmtId="0" fontId="17" fillId="2" borderId="12" xfId="0" applyFont="1" applyFill="1" applyBorder="1" applyAlignment="1">
      <alignment vertical="center"/>
    </xf>
    <xf numFmtId="0" fontId="17" fillId="3" borderId="10" xfId="0" applyFont="1" applyFill="1" applyBorder="1" applyAlignment="1">
      <alignment vertical="center" wrapText="1"/>
    </xf>
    <xf numFmtId="0" fontId="17" fillId="4" borderId="1" xfId="0" applyFont="1" applyFill="1" applyBorder="1"/>
    <xf numFmtId="0" fontId="17" fillId="12" borderId="1" xfId="0" applyFont="1" applyFill="1" applyBorder="1"/>
    <xf numFmtId="0" fontId="17" fillId="13" borderId="1" xfId="0" applyFont="1" applyFill="1" applyBorder="1"/>
    <xf numFmtId="49" fontId="0" fillId="0" borderId="27" xfId="0" applyNumberFormat="1" applyBorder="1" applyAlignment="1">
      <alignment horizontal="left" vertical="top" wrapText="1"/>
    </xf>
    <xf numFmtId="0" fontId="23" fillId="0" borderId="0" xfId="0" applyFont="1"/>
    <xf numFmtId="0" fontId="33" fillId="0" borderId="0" xfId="0" applyFont="1"/>
    <xf numFmtId="0" fontId="3" fillId="0" borderId="1" xfId="2" applyBorder="1" applyAlignment="1">
      <alignment vertical="center"/>
    </xf>
    <xf numFmtId="0" fontId="3" fillId="3" borderId="1" xfId="2" applyFill="1" applyBorder="1" applyAlignment="1">
      <alignment vertical="center"/>
    </xf>
    <xf numFmtId="0" fontId="13" fillId="9" borderId="1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31" fillId="0" borderId="0" xfId="0" applyFont="1" applyAlignment="1">
      <alignment wrapText="1"/>
    </xf>
    <xf numFmtId="167" fontId="28" fillId="0" borderId="0" xfId="4" applyFont="1" applyAlignment="1">
      <alignment horizontal="center"/>
    </xf>
    <xf numFmtId="0" fontId="31" fillId="0" borderId="0" xfId="0" applyFont="1" applyAlignment="1">
      <alignment horizontal="left" vertical="center"/>
    </xf>
    <xf numFmtId="167" fontId="41" fillId="0" borderId="0" xfId="4" applyFont="1" applyAlignment="1">
      <alignment horizontal="center"/>
    </xf>
    <xf numFmtId="0" fontId="31" fillId="0" borderId="0" xfId="0" applyFont="1" applyAlignment="1">
      <alignment horizontal="center"/>
    </xf>
    <xf numFmtId="1" fontId="3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wrapText="1"/>
    </xf>
    <xf numFmtId="1" fontId="28" fillId="3" borderId="1" xfId="4" applyNumberFormat="1" applyFont="1" applyFill="1" applyBorder="1" applyAlignment="1">
      <alignment horizontal="center" vertical="center" wrapText="1"/>
    </xf>
    <xf numFmtId="0" fontId="28" fillId="3" borderId="1" xfId="4" applyNumberFormat="1" applyFont="1" applyFill="1" applyBorder="1" applyAlignment="1">
      <alignment horizontal="left" vertical="center" wrapText="1"/>
    </xf>
    <xf numFmtId="0" fontId="28" fillId="3" borderId="1" xfId="4" applyNumberFormat="1" applyFont="1" applyFill="1" applyBorder="1" applyAlignment="1">
      <alignment horizontal="right" vertical="center" wrapText="1"/>
    </xf>
    <xf numFmtId="0" fontId="42" fillId="3" borderId="1" xfId="4" applyNumberFormat="1" applyFont="1" applyFill="1" applyBorder="1" applyAlignment="1">
      <alignment horizontal="right" vertical="center" wrapText="1"/>
    </xf>
    <xf numFmtId="0" fontId="42" fillId="3" borderId="1" xfId="4" applyNumberFormat="1" applyFont="1" applyFill="1" applyBorder="1" applyAlignment="1">
      <alignment horizontal="center" vertical="center" wrapText="1"/>
    </xf>
    <xf numFmtId="167" fontId="43" fillId="3" borderId="1" xfId="4" applyFont="1" applyFill="1" applyBorder="1" applyAlignment="1">
      <alignment horizontal="center" vertical="center" wrapText="1"/>
    </xf>
    <xf numFmtId="167" fontId="28" fillId="3" borderId="1" xfId="4" applyFont="1" applyFill="1" applyBorder="1" applyAlignment="1">
      <alignment horizontal="center" vertical="center" wrapText="1"/>
    </xf>
    <xf numFmtId="0" fontId="28" fillId="3" borderId="12" xfId="4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164" fontId="31" fillId="2" borderId="1" xfId="1" applyNumberFormat="1" applyFont="1" applyFill="1" applyBorder="1" applyAlignment="1">
      <alignment vertical="center" wrapText="1"/>
    </xf>
    <xf numFmtId="0" fontId="32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1" fontId="19" fillId="0" borderId="1" xfId="4" applyNumberFormat="1" applyFont="1" applyBorder="1" applyAlignment="1">
      <alignment horizontal="center" vertical="center"/>
    </xf>
    <xf numFmtId="1" fontId="31" fillId="4" borderId="1" xfId="4" applyNumberFormat="1" applyFont="1" applyFill="1" applyBorder="1" applyAlignment="1">
      <alignment horizontal="center" vertical="center" wrapText="1"/>
    </xf>
    <xf numFmtId="167" fontId="31" fillId="4" borderId="12" xfId="4" applyFont="1" applyFill="1" applyBorder="1" applyAlignment="1">
      <alignment horizontal="left" vertical="center"/>
    </xf>
    <xf numFmtId="0" fontId="31" fillId="0" borderId="1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4" borderId="1" xfId="4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left" vertical="center"/>
    </xf>
    <xf numFmtId="167" fontId="31" fillId="0" borderId="1" xfId="0" applyNumberFormat="1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167" fontId="31" fillId="4" borderId="1" xfId="1" applyNumberFormat="1" applyFont="1" applyFill="1" applyBorder="1" applyAlignment="1">
      <alignment horizontal="right" vertical="center" wrapText="1"/>
    </xf>
    <xf numFmtId="167" fontId="31" fillId="4" borderId="1" xfId="7" applyNumberFormat="1" applyFont="1" applyFill="1" applyBorder="1" applyAlignment="1">
      <alignment horizontal="right" vertical="center" wrapText="1"/>
    </xf>
    <xf numFmtId="167" fontId="31" fillId="9" borderId="1" xfId="4" applyFont="1" applyFill="1" applyBorder="1" applyAlignment="1">
      <alignment horizontal="left" vertical="center" wrapText="1"/>
    </xf>
    <xf numFmtId="49" fontId="31" fillId="0" borderId="1" xfId="0" applyNumberFormat="1" applyFont="1" applyBorder="1" applyAlignment="1">
      <alignment horizontal="left" vertical="center"/>
    </xf>
    <xf numFmtId="15" fontId="31" fillId="4" borderId="1" xfId="4" applyNumberFormat="1" applyFont="1" applyFill="1" applyBorder="1" applyAlignment="1">
      <alignment horizontal="left" vertical="center" wrapText="1"/>
    </xf>
    <xf numFmtId="173" fontId="31" fillId="4" borderId="1" xfId="4" applyNumberFormat="1" applyFont="1" applyFill="1" applyBorder="1" applyAlignment="1">
      <alignment horizontal="center" vertical="center" wrapText="1"/>
    </xf>
    <xf numFmtId="17" fontId="31" fillId="4" borderId="1" xfId="4" quotePrefix="1" applyNumberFormat="1" applyFont="1" applyFill="1" applyBorder="1" applyAlignment="1">
      <alignment vertical="center" wrapText="1"/>
    </xf>
    <xf numFmtId="15" fontId="31" fillId="4" borderId="1" xfId="4" applyNumberFormat="1" applyFont="1" applyFill="1" applyBorder="1" applyAlignment="1">
      <alignment vertical="center"/>
    </xf>
    <xf numFmtId="172" fontId="31" fillId="4" borderId="1" xfId="4" applyNumberFormat="1" applyFont="1" applyFill="1" applyBorder="1" applyAlignment="1">
      <alignment horizontal="center" vertical="center"/>
    </xf>
    <xf numFmtId="167" fontId="45" fillId="4" borderId="1" xfId="4" applyFont="1" applyFill="1" applyBorder="1" applyAlignment="1">
      <alignment vertical="center" wrapText="1"/>
    </xf>
    <xf numFmtId="167" fontId="31" fillId="4" borderId="1" xfId="9" applyFont="1" applyFill="1" applyBorder="1" applyAlignment="1">
      <alignment horizontal="left" vertical="center" wrapText="1"/>
    </xf>
    <xf numFmtId="167" fontId="31" fillId="4" borderId="1" xfId="1" applyNumberFormat="1" applyFont="1" applyFill="1" applyBorder="1" applyAlignment="1">
      <alignment horizontal="center" vertical="center" wrapText="1"/>
    </xf>
    <xf numFmtId="0" fontId="31" fillId="4" borderId="1" xfId="4" applyNumberFormat="1" applyFont="1" applyFill="1" applyBorder="1" applyAlignment="1">
      <alignment vertical="center"/>
    </xf>
    <xf numFmtId="1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13" fillId="4" borderId="1" xfId="4" applyNumberFormat="1" applyFont="1" applyFill="1" applyBorder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1" fontId="31" fillId="0" borderId="0" xfId="0" applyNumberFormat="1" applyFont="1" applyAlignment="1">
      <alignment horizontal="left"/>
    </xf>
    <xf numFmtId="1" fontId="31" fillId="0" borderId="0" xfId="0" applyNumberFormat="1" applyFont="1" applyAlignment="1">
      <alignment horizontal="left" vertical="center"/>
    </xf>
    <xf numFmtId="1" fontId="32" fillId="0" borderId="0" xfId="0" applyNumberFormat="1" applyFont="1" applyAlignment="1">
      <alignment horizontal="left" vertical="center"/>
    </xf>
    <xf numFmtId="1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 wrapText="1"/>
    </xf>
    <xf numFmtId="164" fontId="31" fillId="0" borderId="0" xfId="1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7" fontId="9" fillId="4" borderId="1" xfId="4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6" fillId="11" borderId="1" xfId="0" applyFont="1" applyFill="1" applyBorder="1" applyAlignment="1">
      <alignment vertical="center"/>
    </xf>
    <xf numFmtId="164" fontId="34" fillId="0" borderId="1" xfId="0" applyNumberFormat="1" applyFont="1" applyBorder="1" applyAlignment="1">
      <alignment horizontal="right" vertical="center"/>
    </xf>
    <xf numFmtId="2" fontId="34" fillId="0" borderId="1" xfId="0" applyNumberFormat="1" applyFont="1" applyBorder="1" applyAlignment="1">
      <alignment vertical="center"/>
    </xf>
    <xf numFmtId="0" fontId="34" fillId="0" borderId="1" xfId="0" applyFont="1" applyBorder="1" applyAlignment="1">
      <alignment vertical="center" wrapText="1"/>
    </xf>
    <xf numFmtId="14" fontId="34" fillId="0" borderId="1" xfId="0" applyNumberFormat="1" applyFont="1" applyBorder="1" applyAlignment="1">
      <alignment vertical="center"/>
    </xf>
    <xf numFmtId="1" fontId="16" fillId="0" borderId="1" xfId="4" applyNumberFormat="1" applyFont="1" applyBorder="1" applyAlignment="1">
      <alignment horizontal="left" vertical="center"/>
    </xf>
    <xf numFmtId="1" fontId="16" fillId="0" borderId="1" xfId="4" applyNumberFormat="1" applyFont="1" applyBorder="1" applyAlignment="1">
      <alignment horizontal="left" vertical="top"/>
    </xf>
    <xf numFmtId="0" fontId="31" fillId="0" borderId="1" xfId="0" applyFont="1" applyBorder="1" applyAlignment="1">
      <alignment vertical="center" wrapText="1"/>
    </xf>
    <xf numFmtId="167" fontId="44" fillId="4" borderId="1" xfId="4" applyFont="1" applyFill="1" applyBorder="1" applyAlignment="1">
      <alignment horizontal="left" vertical="center"/>
    </xf>
    <xf numFmtId="0" fontId="44" fillId="4" borderId="1" xfId="0" applyFont="1" applyFill="1" applyBorder="1" applyAlignment="1">
      <alignment horizontal="left" vertical="center" wrapText="1"/>
    </xf>
    <xf numFmtId="15" fontId="31" fillId="9" borderId="1" xfId="0" applyNumberFormat="1" applyFont="1" applyFill="1" applyBorder="1" applyAlignment="1">
      <alignment vertical="center"/>
    </xf>
    <xf numFmtId="167" fontId="44" fillId="4" borderId="1" xfId="4" applyFont="1" applyFill="1" applyBorder="1" applyAlignment="1">
      <alignment vertical="center" wrapText="1"/>
    </xf>
    <xf numFmtId="167" fontId="44" fillId="4" borderId="1" xfId="4" applyFont="1" applyFill="1" applyBorder="1" applyAlignment="1">
      <alignment horizontal="center" vertical="center" wrapText="1"/>
    </xf>
    <xf numFmtId="14" fontId="31" fillId="4" borderId="1" xfId="0" applyNumberFormat="1" applyFont="1" applyFill="1" applyBorder="1" applyAlignment="1">
      <alignment vertical="center"/>
    </xf>
    <xf numFmtId="0" fontId="31" fillId="9" borderId="1" xfId="0" applyFont="1" applyFill="1" applyBorder="1" applyAlignment="1">
      <alignment horizontal="right" vertical="center"/>
    </xf>
    <xf numFmtId="0" fontId="28" fillId="3" borderId="1" xfId="4" applyNumberFormat="1" applyFont="1" applyFill="1" applyBorder="1" applyAlignment="1">
      <alignment horizontal="center" vertical="center"/>
    </xf>
    <xf numFmtId="173" fontId="31" fillId="4" borderId="1" xfId="4" applyNumberFormat="1" applyFont="1" applyFill="1" applyBorder="1" applyAlignment="1">
      <alignment horizontal="center" vertical="center"/>
    </xf>
    <xf numFmtId="0" fontId="31" fillId="4" borderId="1" xfId="8" applyFont="1" applyFill="1" applyBorder="1" applyAlignment="1">
      <alignment horizontal="center" vertical="center"/>
    </xf>
    <xf numFmtId="167" fontId="31" fillId="4" borderId="0" xfId="4" applyFont="1" applyFill="1" applyAlignment="1">
      <alignment horizontal="left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34" fillId="0" borderId="9" xfId="0" applyFont="1" applyBorder="1" applyAlignment="1">
      <alignment vertical="center"/>
    </xf>
    <xf numFmtId="167" fontId="34" fillId="0" borderId="9" xfId="4" applyFont="1" applyBorder="1" applyAlignment="1">
      <alignment horizontal="center" vertical="center"/>
    </xf>
    <xf numFmtId="0" fontId="34" fillId="0" borderId="9" xfId="0" applyFont="1" applyBorder="1" applyAlignment="1">
      <alignment horizontal="right" vertical="center"/>
    </xf>
    <xf numFmtId="2" fontId="34" fillId="0" borderId="9" xfId="0" applyNumberFormat="1" applyFont="1" applyBorder="1" applyAlignment="1">
      <alignment vertical="center"/>
    </xf>
    <xf numFmtId="0" fontId="34" fillId="0" borderId="9" xfId="0" applyFont="1" applyBorder="1" applyAlignment="1">
      <alignment horizontal="center" vertical="center"/>
    </xf>
    <xf numFmtId="167" fontId="34" fillId="0" borderId="9" xfId="4" applyFont="1" applyBorder="1" applyAlignment="1">
      <alignment horizontal="right" vertical="center"/>
    </xf>
    <xf numFmtId="167" fontId="35" fillId="0" borderId="9" xfId="4" applyFont="1" applyBorder="1" applyAlignment="1">
      <alignment vertical="center"/>
    </xf>
    <xf numFmtId="49" fontId="34" fillId="0" borderId="9" xfId="0" applyNumberFormat="1" applyFont="1" applyBorder="1" applyAlignment="1">
      <alignment horizontal="left" vertical="center" wrapText="1"/>
    </xf>
    <xf numFmtId="0" fontId="38" fillId="0" borderId="1" xfId="0" applyFont="1" applyBorder="1" applyAlignment="1">
      <alignment vertical="center"/>
    </xf>
    <xf numFmtId="167" fontId="38" fillId="4" borderId="1" xfId="4" applyFont="1" applyFill="1" applyBorder="1" applyAlignment="1">
      <alignment horizontal="left" vertical="center" wrapText="1"/>
    </xf>
    <xf numFmtId="167" fontId="38" fillId="4" borderId="1" xfId="4" applyFont="1" applyFill="1" applyBorder="1" applyAlignment="1">
      <alignment vertical="center"/>
    </xf>
    <xf numFmtId="14" fontId="38" fillId="4" borderId="1" xfId="4" applyNumberFormat="1" applyFont="1" applyFill="1" applyBorder="1" applyAlignment="1">
      <alignment horizontal="center" vertical="center"/>
    </xf>
    <xf numFmtId="14" fontId="38" fillId="4" borderId="1" xfId="4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167" fontId="19" fillId="0" borderId="0" xfId="4" applyFont="1" applyAlignment="1">
      <alignment horizontal="left" vertical="center" wrapText="1"/>
    </xf>
    <xf numFmtId="167" fontId="31" fillId="0" borderId="0" xfId="4" applyFont="1" applyAlignment="1">
      <alignment vertical="center" wrapText="1"/>
    </xf>
    <xf numFmtId="167" fontId="31" fillId="0" borderId="0" xfId="4" applyFont="1" applyAlignment="1">
      <alignment horizontal="center" vertical="center" wrapText="1"/>
    </xf>
    <xf numFmtId="164" fontId="31" fillId="0" borderId="0" xfId="1" applyNumberFormat="1" applyFont="1" applyAlignment="1">
      <alignment horizontal="center" vertical="center" wrapText="1"/>
    </xf>
    <xf numFmtId="167" fontId="31" fillId="0" borderId="1" xfId="4" applyFont="1" applyBorder="1" applyAlignment="1">
      <alignment vertical="center"/>
    </xf>
    <xf numFmtId="0" fontId="32" fillId="3" borderId="1" xfId="4" applyNumberFormat="1" applyFont="1" applyFill="1" applyBorder="1" applyAlignment="1">
      <alignment vertical="center"/>
    </xf>
    <xf numFmtId="0" fontId="32" fillId="7" borderId="1" xfId="0" applyFont="1" applyFill="1" applyBorder="1" applyAlignment="1">
      <alignment horizontal="center" vertical="center" wrapText="1"/>
    </xf>
    <xf numFmtId="164" fontId="32" fillId="3" borderId="1" xfId="1" applyNumberFormat="1" applyFont="1" applyFill="1" applyBorder="1" applyAlignment="1">
      <alignment horizontal="center" vertical="center" wrapText="1"/>
    </xf>
    <xf numFmtId="0" fontId="19" fillId="4" borderId="1" xfId="4" applyNumberFormat="1" applyFont="1" applyFill="1" applyBorder="1" applyAlignment="1">
      <alignment horizontal="center" vertical="center"/>
    </xf>
    <xf numFmtId="0" fontId="47" fillId="4" borderId="1" xfId="4" applyNumberFormat="1" applyFont="1" applyFill="1" applyBorder="1" applyAlignment="1">
      <alignment horizontal="left" vertical="center" wrapText="1"/>
    </xf>
    <xf numFmtId="167" fontId="19" fillId="4" borderId="1" xfId="4" applyFont="1" applyFill="1" applyBorder="1" applyAlignment="1">
      <alignment horizontal="left" vertical="center" wrapText="1"/>
    </xf>
    <xf numFmtId="167" fontId="19" fillId="4" borderId="1" xfId="4" applyFont="1" applyFill="1" applyBorder="1" applyAlignment="1">
      <alignment vertical="center"/>
    </xf>
    <xf numFmtId="167" fontId="19" fillId="4" borderId="1" xfId="4" applyFont="1" applyFill="1" applyBorder="1" applyAlignment="1">
      <alignment horizontal="center" vertical="center" wrapText="1"/>
    </xf>
    <xf numFmtId="167" fontId="19" fillId="4" borderId="1" xfId="4" applyFont="1" applyFill="1" applyBorder="1" applyAlignment="1">
      <alignment horizontal="center" vertical="center"/>
    </xf>
    <xf numFmtId="167" fontId="19" fillId="4" borderId="1" xfId="4" applyFont="1" applyFill="1" applyBorder="1" applyAlignment="1">
      <alignment horizontal="left" vertical="center"/>
    </xf>
    <xf numFmtId="1" fontId="19" fillId="4" borderId="1" xfId="4" applyNumberFormat="1" applyFont="1" applyFill="1" applyBorder="1" applyAlignment="1">
      <alignment horizontal="center" vertical="center" wrapText="1"/>
    </xf>
    <xf numFmtId="15" fontId="19" fillId="4" borderId="1" xfId="4" applyNumberFormat="1" applyFont="1" applyFill="1" applyBorder="1" applyAlignment="1">
      <alignment vertical="center"/>
    </xf>
    <xf numFmtId="172" fontId="19" fillId="4" borderId="1" xfId="4" applyNumberFormat="1" applyFont="1" applyFill="1" applyBorder="1" applyAlignment="1">
      <alignment horizontal="right" vertical="center" wrapText="1"/>
    </xf>
    <xf numFmtId="15" fontId="19" fillId="4" borderId="1" xfId="4" applyNumberFormat="1" applyFont="1" applyFill="1" applyBorder="1" applyAlignment="1">
      <alignment horizontal="center" vertical="center"/>
    </xf>
    <xf numFmtId="0" fontId="19" fillId="4" borderId="1" xfId="4" applyNumberFormat="1" applyFont="1" applyFill="1" applyBorder="1" applyAlignment="1">
      <alignment horizontal="center" vertical="center" wrapText="1"/>
    </xf>
    <xf numFmtId="164" fontId="19" fillId="4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left" vertical="center" wrapText="1"/>
    </xf>
    <xf numFmtId="15" fontId="19" fillId="4" borderId="1" xfId="4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 wrapText="1"/>
    </xf>
    <xf numFmtId="167" fontId="31" fillId="0" borderId="1" xfId="0" applyNumberFormat="1" applyFont="1" applyBorder="1" applyAlignment="1">
      <alignment vertical="center"/>
    </xf>
    <xf numFmtId="172" fontId="19" fillId="4" borderId="1" xfId="4" applyNumberFormat="1" applyFont="1" applyFill="1" applyBorder="1" applyAlignment="1">
      <alignment horizontal="center" vertical="center" wrapText="1"/>
    </xf>
    <xf numFmtId="172" fontId="19" fillId="4" borderId="1" xfId="4" applyNumberFormat="1" applyFont="1" applyFill="1" applyBorder="1" applyAlignment="1">
      <alignment vertical="center" wrapText="1"/>
    </xf>
    <xf numFmtId="0" fontId="19" fillId="4" borderId="1" xfId="4" applyNumberFormat="1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/>
    </xf>
    <xf numFmtId="167" fontId="19" fillId="4" borderId="1" xfId="4" applyFont="1" applyFill="1" applyBorder="1" applyAlignment="1">
      <alignment vertical="center" wrapText="1"/>
    </xf>
    <xf numFmtId="15" fontId="19" fillId="4" borderId="1" xfId="4" applyNumberFormat="1" applyFont="1" applyFill="1" applyBorder="1" applyAlignment="1">
      <alignment horizontal="right" vertical="center"/>
    </xf>
    <xf numFmtId="0" fontId="19" fillId="4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left" vertical="center" wrapText="1"/>
    </xf>
    <xf numFmtId="15" fontId="19" fillId="4" borderId="1" xfId="0" applyNumberFormat="1" applyFont="1" applyFill="1" applyBorder="1" applyAlignment="1">
      <alignment vertical="center" wrapText="1"/>
    </xf>
    <xf numFmtId="167" fontId="19" fillId="4" borderId="1" xfId="4" applyFont="1" applyFill="1" applyBorder="1" applyAlignment="1">
      <alignment horizontal="right" vertical="center"/>
    </xf>
    <xf numFmtId="0" fontId="43" fillId="4" borderId="1" xfId="4" applyNumberFormat="1" applyFont="1" applyFill="1" applyBorder="1" applyAlignment="1">
      <alignment horizontal="left" vertical="center" wrapText="1"/>
    </xf>
    <xf numFmtId="15" fontId="19" fillId="4" borderId="1" xfId="0" applyNumberFormat="1" applyFont="1" applyFill="1" applyBorder="1" applyAlignment="1">
      <alignment vertical="center"/>
    </xf>
    <xf numFmtId="0" fontId="19" fillId="4" borderId="1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vertical="center"/>
    </xf>
    <xf numFmtId="16" fontId="19" fillId="4" borderId="1" xfId="0" applyNumberFormat="1" applyFont="1" applyFill="1" applyBorder="1" applyAlignment="1">
      <alignment vertical="center"/>
    </xf>
    <xf numFmtId="0" fontId="48" fillId="4" borderId="1" xfId="4" applyNumberFormat="1" applyFont="1" applyFill="1" applyBorder="1" applyAlignment="1">
      <alignment horizontal="center" vertical="center"/>
    </xf>
    <xf numFmtId="0" fontId="48" fillId="4" borderId="1" xfId="0" applyFont="1" applyFill="1" applyBorder="1" applyAlignment="1">
      <alignment vertical="center" wrapText="1"/>
    </xf>
    <xf numFmtId="0" fontId="48" fillId="0" borderId="1" xfId="0" applyFont="1" applyBorder="1" applyAlignment="1">
      <alignment vertical="center"/>
    </xf>
    <xf numFmtId="14" fontId="48" fillId="4" borderId="1" xfId="4" applyNumberFormat="1" applyFont="1" applyFill="1" applyBorder="1" applyAlignment="1">
      <alignment horizontal="center" vertical="center" wrapText="1"/>
    </xf>
    <xf numFmtId="14" fontId="48" fillId="4" borderId="1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1" fontId="19" fillId="0" borderId="9" xfId="4" applyNumberFormat="1" applyFont="1" applyBorder="1" applyAlignment="1">
      <alignment horizontal="center" vertical="center"/>
    </xf>
    <xf numFmtId="167" fontId="31" fillId="4" borderId="9" xfId="4" applyFont="1" applyFill="1" applyBorder="1" applyAlignment="1">
      <alignment horizontal="left" vertical="center"/>
    </xf>
    <xf numFmtId="0" fontId="31" fillId="0" borderId="9" xfId="0" applyFont="1" applyBorder="1" applyAlignment="1">
      <alignment vertical="center" wrapText="1"/>
    </xf>
    <xf numFmtId="15" fontId="31" fillId="4" borderId="9" xfId="0" applyNumberFormat="1" applyFont="1" applyFill="1" applyBorder="1" applyAlignment="1">
      <alignment vertical="center"/>
    </xf>
    <xf numFmtId="167" fontId="31" fillId="4" borderId="9" xfId="4" applyFont="1" applyFill="1" applyBorder="1" applyAlignment="1">
      <alignment vertical="center"/>
    </xf>
    <xf numFmtId="167" fontId="31" fillId="4" borderId="5" xfId="4" applyFont="1" applyFill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164" fontId="31" fillId="0" borderId="9" xfId="1" applyNumberFormat="1" applyFont="1" applyBorder="1" applyAlignment="1">
      <alignment vertical="center"/>
    </xf>
    <xf numFmtId="0" fontId="31" fillId="0" borderId="9" xfId="0" applyFont="1" applyBorder="1" applyAlignment="1">
      <alignment vertical="center"/>
    </xf>
    <xf numFmtId="0" fontId="31" fillId="0" borderId="9" xfId="0" applyFont="1" applyBorder="1"/>
    <xf numFmtId="164" fontId="31" fillId="0" borderId="9" xfId="1" applyNumberFormat="1" applyFont="1" applyBorder="1"/>
    <xf numFmtId="164" fontId="31" fillId="0" borderId="9" xfId="0" applyNumberFormat="1" applyFont="1" applyBorder="1"/>
    <xf numFmtId="0" fontId="31" fillId="0" borderId="0" xfId="0" applyFont="1" applyAlignment="1">
      <alignment horizontal="left" wrapText="1"/>
    </xf>
    <xf numFmtId="0" fontId="31" fillId="0" borderId="1" xfId="0" applyFont="1" applyBorder="1" applyAlignment="1">
      <alignment horizontal="left"/>
    </xf>
    <xf numFmtId="167" fontId="32" fillId="4" borderId="1" xfId="4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left" vertical="center" wrapText="1"/>
    </xf>
    <xf numFmtId="167" fontId="31" fillId="4" borderId="13" xfId="4" applyFont="1" applyFill="1" applyBorder="1" applyAlignment="1">
      <alignment horizontal="left" vertical="center" wrapText="1"/>
    </xf>
    <xf numFmtId="167" fontId="31" fillId="4" borderId="15" xfId="4" applyFont="1" applyFill="1" applyBorder="1" applyAlignment="1">
      <alignment horizontal="left" vertical="center" wrapText="1"/>
    </xf>
    <xf numFmtId="0" fontId="31" fillId="4" borderId="10" xfId="0" applyFont="1" applyFill="1" applyBorder="1" applyAlignment="1">
      <alignment horizontal="left" vertical="center" wrapText="1"/>
    </xf>
    <xf numFmtId="167" fontId="31" fillId="4" borderId="3" xfId="4" applyFont="1" applyFill="1" applyBorder="1" applyAlignment="1">
      <alignment horizontal="left" vertical="center" wrapText="1"/>
    </xf>
    <xf numFmtId="167" fontId="31" fillId="4" borderId="20" xfId="4" applyFont="1" applyFill="1" applyBorder="1" applyAlignment="1">
      <alignment horizontal="left" vertical="center" wrapText="1"/>
    </xf>
    <xf numFmtId="0" fontId="31" fillId="9" borderId="10" xfId="0" applyFont="1" applyFill="1" applyBorder="1" applyAlignment="1">
      <alignment horizontal="left" vertical="center" wrapText="1"/>
    </xf>
    <xf numFmtId="167" fontId="31" fillId="4" borderId="21" xfId="4" applyFont="1" applyFill="1" applyBorder="1" applyAlignment="1">
      <alignment horizontal="left" vertical="center" wrapText="1"/>
    </xf>
    <xf numFmtId="0" fontId="31" fillId="4" borderId="20" xfId="0" applyFont="1" applyFill="1" applyBorder="1" applyAlignment="1">
      <alignment horizontal="left" vertical="center" wrapText="1"/>
    </xf>
    <xf numFmtId="0" fontId="31" fillId="4" borderId="21" xfId="0" applyFont="1" applyFill="1" applyBorder="1" applyAlignment="1">
      <alignment horizontal="left" vertical="center" wrapText="1"/>
    </xf>
    <xf numFmtId="0" fontId="31" fillId="4" borderId="13" xfId="0" applyFont="1" applyFill="1" applyBorder="1" applyAlignment="1">
      <alignment horizontal="left" vertical="center" wrapText="1"/>
    </xf>
    <xf numFmtId="0" fontId="31" fillId="4" borderId="15" xfId="0" applyFont="1" applyFill="1" applyBorder="1" applyAlignment="1">
      <alignment horizontal="left" vertical="center" wrapText="1"/>
    </xf>
    <xf numFmtId="0" fontId="31" fillId="4" borderId="0" xfId="0" applyFont="1" applyFill="1" applyAlignment="1">
      <alignment horizontal="left" vertical="center" wrapText="1"/>
    </xf>
    <xf numFmtId="0" fontId="31" fillId="4" borderId="9" xfId="0" applyFont="1" applyFill="1" applyBorder="1" applyAlignment="1">
      <alignment horizontal="left" vertical="center" wrapText="1"/>
    </xf>
    <xf numFmtId="0" fontId="31" fillId="4" borderId="14" xfId="0" applyFont="1" applyFill="1" applyBorder="1" applyAlignment="1">
      <alignment horizontal="left" vertical="center" wrapText="1"/>
    </xf>
    <xf numFmtId="167" fontId="31" fillId="4" borderId="17" xfId="4" applyFont="1" applyFill="1" applyBorder="1" applyAlignment="1">
      <alignment horizontal="left" vertical="center" wrapText="1"/>
    </xf>
    <xf numFmtId="169" fontId="32" fillId="3" borderId="1" xfId="4" applyNumberFormat="1" applyFont="1" applyFill="1" applyBorder="1" applyAlignment="1">
      <alignment horizontal="left" vertical="center" wrapText="1"/>
    </xf>
    <xf numFmtId="167" fontId="32" fillId="3" borderId="1" xfId="4" applyFont="1" applyFill="1" applyBorder="1" applyAlignment="1">
      <alignment horizontal="left" vertical="center" wrapText="1"/>
    </xf>
    <xf numFmtId="43" fontId="32" fillId="3" borderId="1" xfId="4" applyNumberFormat="1" applyFont="1" applyFill="1" applyBorder="1" applyAlignment="1">
      <alignment horizontal="left" vertical="center" wrapText="1"/>
    </xf>
    <xf numFmtId="1" fontId="32" fillId="3" borderId="1" xfId="4" applyNumberFormat="1" applyFont="1" applyFill="1" applyBorder="1" applyAlignment="1">
      <alignment horizontal="left" vertical="center" wrapText="1"/>
    </xf>
    <xf numFmtId="172" fontId="32" fillId="3" borderId="1" xfId="4" applyNumberFormat="1" applyFont="1" applyFill="1" applyBorder="1" applyAlignment="1">
      <alignment horizontal="left" vertical="center" wrapText="1"/>
    </xf>
    <xf numFmtId="2" fontId="32" fillId="3" borderId="1" xfId="4" applyNumberFormat="1" applyFont="1" applyFill="1" applyBorder="1" applyAlignment="1">
      <alignment horizontal="left" vertical="center" wrapText="1"/>
    </xf>
    <xf numFmtId="167" fontId="32" fillId="3" borderId="9" xfId="4" applyFont="1" applyFill="1" applyBorder="1" applyAlignment="1">
      <alignment horizontal="left" vertical="center" wrapText="1"/>
    </xf>
    <xf numFmtId="1" fontId="32" fillId="3" borderId="9" xfId="4" applyNumberFormat="1" applyFont="1" applyFill="1" applyBorder="1" applyAlignment="1">
      <alignment horizontal="left" vertical="center" wrapText="1"/>
    </xf>
    <xf numFmtId="167" fontId="32" fillId="3" borderId="12" xfId="4" applyFont="1" applyFill="1" applyBorder="1" applyAlignment="1">
      <alignment horizontal="left" vertical="center" wrapText="1"/>
    </xf>
    <xf numFmtId="167" fontId="32" fillId="3" borderId="0" xfId="4" applyFont="1" applyFill="1" applyAlignment="1">
      <alignment horizontal="left" vertical="center" wrapText="1"/>
    </xf>
    <xf numFmtId="1" fontId="32" fillId="3" borderId="0" xfId="4" applyNumberFormat="1" applyFont="1" applyFill="1" applyAlignment="1">
      <alignment horizontal="left" vertical="center" wrapText="1"/>
    </xf>
    <xf numFmtId="0" fontId="31" fillId="4" borderId="1" xfId="5" applyFont="1" applyFill="1" applyBorder="1" applyAlignment="1">
      <alignment horizontal="left" vertical="center" wrapText="1"/>
    </xf>
    <xf numFmtId="1" fontId="31" fillId="4" borderId="1" xfId="4" applyNumberFormat="1" applyFont="1" applyFill="1" applyBorder="1" applyAlignment="1">
      <alignment horizontal="left" vertical="center" wrapText="1"/>
    </xf>
    <xf numFmtId="172" fontId="31" fillId="4" borderId="1" xfId="4" applyNumberFormat="1" applyFont="1" applyFill="1" applyBorder="1" applyAlignment="1">
      <alignment horizontal="left" vertical="center" wrapText="1"/>
    </xf>
    <xf numFmtId="1" fontId="31" fillId="4" borderId="2" xfId="4" applyNumberFormat="1" applyFont="1" applyFill="1" applyBorder="1" applyAlignment="1">
      <alignment horizontal="left" vertical="center" wrapText="1"/>
    </xf>
    <xf numFmtId="169" fontId="31" fillId="4" borderId="1" xfId="5" applyNumberFormat="1" applyFont="1" applyFill="1" applyBorder="1" applyAlignment="1">
      <alignment horizontal="left" vertical="center" wrapText="1"/>
    </xf>
    <xf numFmtId="15" fontId="31" fillId="4" borderId="1" xfId="0" applyNumberFormat="1" applyFont="1" applyFill="1" applyBorder="1" applyAlignment="1">
      <alignment horizontal="left" vertical="center" wrapText="1"/>
    </xf>
    <xf numFmtId="2" fontId="31" fillId="4" borderId="1" xfId="4" applyNumberFormat="1" applyFont="1" applyFill="1" applyBorder="1" applyAlignment="1">
      <alignment horizontal="left" vertical="center" wrapText="1"/>
    </xf>
    <xf numFmtId="15" fontId="32" fillId="4" borderId="1" xfId="0" applyNumberFormat="1" applyFont="1" applyFill="1" applyBorder="1" applyAlignment="1">
      <alignment horizontal="left" vertical="center" wrapText="1"/>
    </xf>
    <xf numFmtId="0" fontId="32" fillId="9" borderId="1" xfId="0" applyFont="1" applyFill="1" applyBorder="1" applyAlignment="1">
      <alignment horizontal="left" vertical="center" wrapText="1"/>
    </xf>
    <xf numFmtId="15" fontId="31" fillId="9" borderId="1" xfId="0" applyNumberFormat="1" applyFont="1" applyFill="1" applyBorder="1" applyAlignment="1">
      <alignment horizontal="left" vertical="center" wrapText="1"/>
    </xf>
    <xf numFmtId="15" fontId="32" fillId="4" borderId="2" xfId="0" applyNumberFormat="1" applyFont="1" applyFill="1" applyBorder="1" applyAlignment="1">
      <alignment horizontal="left" vertical="center" wrapText="1"/>
    </xf>
    <xf numFmtId="15" fontId="32" fillId="4" borderId="13" xfId="0" applyNumberFormat="1" applyFont="1" applyFill="1" applyBorder="1" applyAlignment="1">
      <alignment horizontal="left" vertical="center" wrapText="1"/>
    </xf>
    <xf numFmtId="0" fontId="32" fillId="4" borderId="2" xfId="0" applyFont="1" applyFill="1" applyBorder="1" applyAlignment="1">
      <alignment horizontal="left" vertical="center" wrapText="1"/>
    </xf>
    <xf numFmtId="0" fontId="31" fillId="4" borderId="9" xfId="5" applyFont="1" applyFill="1" applyBorder="1" applyAlignment="1">
      <alignment horizontal="left" vertical="center" wrapText="1"/>
    </xf>
    <xf numFmtId="15" fontId="32" fillId="9" borderId="2" xfId="0" applyNumberFormat="1" applyFont="1" applyFill="1" applyBorder="1" applyAlignment="1">
      <alignment horizontal="left" vertical="center" wrapText="1"/>
    </xf>
    <xf numFmtId="172" fontId="31" fillId="4" borderId="2" xfId="4" applyNumberFormat="1" applyFont="1" applyFill="1" applyBorder="1" applyAlignment="1">
      <alignment horizontal="left" vertical="center" wrapText="1"/>
    </xf>
    <xf numFmtId="2" fontId="31" fillId="4" borderId="2" xfId="4" applyNumberFormat="1" applyFont="1" applyFill="1" applyBorder="1" applyAlignment="1">
      <alignment horizontal="left" vertical="center" wrapText="1"/>
    </xf>
    <xf numFmtId="15" fontId="31" fillId="4" borderId="2" xfId="0" applyNumberFormat="1" applyFont="1" applyFill="1" applyBorder="1" applyAlignment="1">
      <alignment horizontal="left" vertical="center" wrapText="1"/>
    </xf>
    <xf numFmtId="15" fontId="31" fillId="4" borderId="6" xfId="0" applyNumberFormat="1" applyFont="1" applyFill="1" applyBorder="1" applyAlignment="1">
      <alignment horizontal="left" vertical="center" wrapText="1"/>
    </xf>
    <xf numFmtId="1" fontId="31" fillId="4" borderId="6" xfId="4" applyNumberFormat="1" applyFont="1" applyFill="1" applyBorder="1" applyAlignment="1">
      <alignment horizontal="left" vertical="center" wrapText="1"/>
    </xf>
    <xf numFmtId="172" fontId="31" fillId="4" borderId="6" xfId="4" applyNumberFormat="1" applyFont="1" applyFill="1" applyBorder="1" applyAlignment="1">
      <alignment horizontal="left" vertical="center" wrapText="1"/>
    </xf>
    <xf numFmtId="2" fontId="31" fillId="4" borderId="6" xfId="4" applyNumberFormat="1" applyFont="1" applyFill="1" applyBorder="1" applyAlignment="1">
      <alignment horizontal="left" vertical="center" wrapText="1"/>
    </xf>
    <xf numFmtId="164" fontId="31" fillId="4" borderId="1" xfId="4" applyNumberFormat="1" applyFont="1" applyFill="1" applyBorder="1" applyAlignment="1">
      <alignment horizontal="left" vertical="center" wrapText="1"/>
    </xf>
    <xf numFmtId="15" fontId="31" fillId="4" borderId="15" xfId="0" applyNumberFormat="1" applyFont="1" applyFill="1" applyBorder="1" applyAlignment="1">
      <alignment horizontal="left" vertical="center" wrapText="1"/>
    </xf>
    <xf numFmtId="15" fontId="31" fillId="4" borderId="9" xfId="0" applyNumberFormat="1" applyFont="1" applyFill="1" applyBorder="1" applyAlignment="1">
      <alignment horizontal="left" vertical="center" wrapText="1"/>
    </xf>
    <xf numFmtId="1" fontId="31" fillId="4" borderId="9" xfId="4" applyNumberFormat="1" applyFont="1" applyFill="1" applyBorder="1" applyAlignment="1">
      <alignment horizontal="left" vertical="center" wrapText="1"/>
    </xf>
    <xf numFmtId="172" fontId="31" fillId="4" borderId="9" xfId="4" applyNumberFormat="1" applyFont="1" applyFill="1" applyBorder="1" applyAlignment="1">
      <alignment horizontal="left" vertical="center" wrapText="1"/>
    </xf>
    <xf numFmtId="2" fontId="31" fillId="4" borderId="9" xfId="4" applyNumberFormat="1" applyFont="1" applyFill="1" applyBorder="1" applyAlignment="1">
      <alignment horizontal="left" vertical="center" wrapText="1"/>
    </xf>
    <xf numFmtId="0" fontId="31" fillId="4" borderId="18" xfId="0" applyFont="1" applyFill="1" applyBorder="1" applyAlignment="1">
      <alignment horizontal="left" vertical="center" wrapText="1"/>
    </xf>
    <xf numFmtId="1" fontId="31" fillId="4" borderId="15" xfId="4" applyNumberFormat="1" applyFont="1" applyFill="1" applyBorder="1" applyAlignment="1">
      <alignment horizontal="left" vertical="center" wrapText="1"/>
    </xf>
    <xf numFmtId="15" fontId="31" fillId="9" borderId="14" xfId="0" applyNumberFormat="1" applyFont="1" applyFill="1" applyBorder="1" applyAlignment="1">
      <alignment horizontal="left" vertical="center" wrapText="1"/>
    </xf>
    <xf numFmtId="15" fontId="31" fillId="9" borderId="2" xfId="0" applyNumberFormat="1" applyFont="1" applyFill="1" applyBorder="1" applyAlignment="1">
      <alignment horizontal="left" vertical="center" wrapText="1"/>
    </xf>
    <xf numFmtId="0" fontId="31" fillId="4" borderId="11" xfId="0" applyFont="1" applyFill="1" applyBorder="1" applyAlignment="1">
      <alignment horizontal="left" vertical="center" wrapText="1"/>
    </xf>
    <xf numFmtId="1" fontId="31" fillId="4" borderId="13" xfId="4" applyNumberFormat="1" applyFont="1" applyFill="1" applyBorder="1" applyAlignment="1">
      <alignment horizontal="left" vertical="center" wrapText="1"/>
    </xf>
    <xf numFmtId="15" fontId="31" fillId="4" borderId="14" xfId="0" applyNumberFormat="1" applyFont="1" applyFill="1" applyBorder="1" applyAlignment="1">
      <alignment horizontal="left" vertical="center" wrapText="1"/>
    </xf>
    <xf numFmtId="0" fontId="31" fillId="9" borderId="9" xfId="0" applyFont="1" applyFill="1" applyBorder="1" applyAlignment="1">
      <alignment horizontal="left" vertical="center" wrapText="1"/>
    </xf>
    <xf numFmtId="0" fontId="31" fillId="9" borderId="2" xfId="0" applyFont="1" applyFill="1" applyBorder="1" applyAlignment="1">
      <alignment horizontal="left" vertical="center" wrapText="1"/>
    </xf>
    <xf numFmtId="15" fontId="31" fillId="9" borderId="6" xfId="0" applyNumberFormat="1" applyFont="1" applyFill="1" applyBorder="1" applyAlignment="1">
      <alignment horizontal="left" vertical="center" wrapText="1"/>
    </xf>
    <xf numFmtId="15" fontId="31" fillId="4" borderId="13" xfId="0" applyNumberFormat="1" applyFont="1" applyFill="1" applyBorder="1" applyAlignment="1">
      <alignment horizontal="left" vertical="center" wrapText="1"/>
    </xf>
    <xf numFmtId="0" fontId="31" fillId="4" borderId="8" xfId="0" applyFont="1" applyFill="1" applyBorder="1" applyAlignment="1">
      <alignment horizontal="left" vertical="center" wrapText="1"/>
    </xf>
    <xf numFmtId="169" fontId="31" fillId="4" borderId="2" xfId="4" applyNumberFormat="1" applyFont="1" applyFill="1" applyBorder="1" applyAlignment="1">
      <alignment horizontal="left" vertical="center" wrapText="1"/>
    </xf>
    <xf numFmtId="167" fontId="31" fillId="4" borderId="11" xfId="4" applyFont="1" applyFill="1" applyBorder="1" applyAlignment="1">
      <alignment horizontal="left" vertical="center" wrapText="1"/>
    </xf>
    <xf numFmtId="167" fontId="31" fillId="4" borderId="18" xfId="4" applyFont="1" applyFill="1" applyBorder="1" applyAlignment="1">
      <alignment horizontal="left" vertical="center" wrapText="1"/>
    </xf>
    <xf numFmtId="0" fontId="31" fillId="4" borderId="6" xfId="5" applyFont="1" applyFill="1" applyBorder="1" applyAlignment="1">
      <alignment horizontal="left" vertical="center" wrapText="1"/>
    </xf>
    <xf numFmtId="169" fontId="31" fillId="4" borderId="6" xfId="4" applyNumberFormat="1" applyFont="1" applyFill="1" applyBorder="1" applyAlignment="1">
      <alignment horizontal="left" vertical="center" wrapText="1"/>
    </xf>
    <xf numFmtId="169" fontId="31" fillId="4" borderId="1" xfId="4" applyNumberFormat="1" applyFont="1" applyFill="1" applyBorder="1" applyAlignment="1">
      <alignment horizontal="left" vertical="center" wrapText="1"/>
    </xf>
    <xf numFmtId="172" fontId="31" fillId="4" borderId="1" xfId="0" applyNumberFormat="1" applyFont="1" applyFill="1" applyBorder="1" applyAlignment="1">
      <alignment horizontal="left" vertical="center" wrapText="1"/>
    </xf>
    <xf numFmtId="0" fontId="31" fillId="4" borderId="14" xfId="6" applyFont="1" applyFill="1" applyBorder="1" applyAlignment="1">
      <alignment horizontal="left" vertical="center" wrapText="1"/>
    </xf>
    <xf numFmtId="0" fontId="31" fillId="4" borderId="14" xfId="5" applyFont="1" applyFill="1" applyBorder="1" applyAlignment="1">
      <alignment horizontal="left" vertical="center" wrapText="1"/>
    </xf>
    <xf numFmtId="169" fontId="31" fillId="4" borderId="16" xfId="4" applyNumberFormat="1" applyFont="1" applyFill="1" applyBorder="1" applyAlignment="1">
      <alignment horizontal="left" vertical="center" wrapText="1"/>
    </xf>
    <xf numFmtId="0" fontId="31" fillId="4" borderId="19" xfId="0" applyFont="1" applyFill="1" applyBorder="1" applyAlignment="1">
      <alignment horizontal="left" vertical="center" wrapText="1"/>
    </xf>
    <xf numFmtId="172" fontId="31" fillId="4" borderId="14" xfId="6" applyNumberFormat="1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left" vertical="center" wrapText="1"/>
    </xf>
    <xf numFmtId="1" fontId="31" fillId="4" borderId="14" xfId="4" applyNumberFormat="1" applyFont="1" applyFill="1" applyBorder="1" applyAlignment="1">
      <alignment horizontal="left" vertical="center" wrapText="1"/>
    </xf>
    <xf numFmtId="172" fontId="31" fillId="4" borderId="14" xfId="4" applyNumberFormat="1" applyFont="1" applyFill="1" applyBorder="1" applyAlignment="1">
      <alignment horizontal="left" vertical="center" wrapText="1"/>
    </xf>
    <xf numFmtId="2" fontId="31" fillId="4" borderId="14" xfId="4" applyNumberFormat="1" applyFont="1" applyFill="1" applyBorder="1" applyAlignment="1">
      <alignment horizontal="left" vertical="center" wrapText="1"/>
    </xf>
    <xf numFmtId="0" fontId="31" fillId="4" borderId="2" xfId="6" applyFont="1" applyFill="1" applyBorder="1" applyAlignment="1">
      <alignment horizontal="left" vertical="center" wrapText="1"/>
    </xf>
    <xf numFmtId="0" fontId="31" fillId="4" borderId="2" xfId="5" applyFont="1" applyFill="1" applyBorder="1" applyAlignment="1">
      <alignment horizontal="left" vertical="center" wrapText="1"/>
    </xf>
    <xf numFmtId="15" fontId="31" fillId="9" borderId="7" xfId="0" applyNumberFormat="1" applyFont="1" applyFill="1" applyBorder="1" applyAlignment="1">
      <alignment horizontal="left" vertical="center" wrapText="1"/>
    </xf>
    <xf numFmtId="15" fontId="31" fillId="9" borderId="9" xfId="0" applyNumberFormat="1" applyFont="1" applyFill="1" applyBorder="1" applyAlignment="1">
      <alignment horizontal="left" vertical="center" wrapText="1"/>
    </xf>
    <xf numFmtId="172" fontId="31" fillId="4" borderId="2" xfId="6" applyNumberFormat="1" applyFont="1" applyFill="1" applyBorder="1" applyAlignment="1">
      <alignment horizontal="left" vertical="center" wrapText="1"/>
    </xf>
    <xf numFmtId="0" fontId="31" fillId="4" borderId="6" xfId="6" applyFont="1" applyFill="1" applyBorder="1" applyAlignment="1">
      <alignment horizontal="left" vertical="center" wrapText="1"/>
    </xf>
    <xf numFmtId="172" fontId="31" fillId="4" borderId="6" xfId="6" applyNumberFormat="1" applyFont="1" applyFill="1" applyBorder="1" applyAlignment="1">
      <alignment horizontal="left" vertical="center" wrapText="1"/>
    </xf>
    <xf numFmtId="0" fontId="31" fillId="4" borderId="1" xfId="6" applyFont="1" applyFill="1" applyBorder="1" applyAlignment="1">
      <alignment horizontal="left" vertical="center" wrapText="1"/>
    </xf>
    <xf numFmtId="0" fontId="31" fillId="5" borderId="14" xfId="0" applyFont="1" applyFill="1" applyBorder="1" applyAlignment="1">
      <alignment horizontal="left" vertical="center" wrapText="1"/>
    </xf>
    <xf numFmtId="169" fontId="31" fillId="4" borderId="14" xfId="4" applyNumberFormat="1" applyFont="1" applyFill="1" applyBorder="1" applyAlignment="1">
      <alignment horizontal="left" vertical="center" wrapText="1"/>
    </xf>
    <xf numFmtId="0" fontId="31" fillId="4" borderId="16" xfId="0" applyFont="1" applyFill="1" applyBorder="1" applyAlignment="1">
      <alignment horizontal="left" vertical="center" wrapText="1"/>
    </xf>
    <xf numFmtId="0" fontId="31" fillId="5" borderId="2" xfId="0" applyFont="1" applyFill="1" applyBorder="1" applyAlignment="1">
      <alignment horizontal="left" vertical="center" wrapText="1"/>
    </xf>
    <xf numFmtId="0" fontId="31" fillId="5" borderId="6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167" fontId="28" fillId="0" borderId="0" xfId="4" applyFont="1" applyAlignment="1">
      <alignment horizontal="left" vertical="center" wrapText="1"/>
    </xf>
    <xf numFmtId="164" fontId="31" fillId="0" borderId="0" xfId="1" applyNumberFormat="1" applyFont="1" applyAlignment="1">
      <alignment horizontal="left" vertical="center" wrapText="1"/>
    </xf>
    <xf numFmtId="167" fontId="41" fillId="0" borderId="0" xfId="4" applyFont="1" applyAlignment="1">
      <alignment horizontal="left" vertical="center" wrapText="1"/>
    </xf>
    <xf numFmtId="0" fontId="17" fillId="2" borderId="0" xfId="0" applyFont="1" applyFill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17" fillId="12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167" fontId="28" fillId="0" borderId="0" xfId="4" applyFont="1" applyAlignment="1">
      <alignment horizontal="center"/>
    </xf>
    <xf numFmtId="167" fontId="41" fillId="0" borderId="0" xfId="4" applyFont="1" applyAlignment="1">
      <alignment horizontal="center"/>
    </xf>
    <xf numFmtId="0" fontId="32" fillId="0" borderId="0" xfId="0" applyFont="1" applyAlignment="1">
      <alignment horizontal="center" vertical="center"/>
    </xf>
    <xf numFmtId="167" fontId="28" fillId="2" borderId="1" xfId="4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11" borderId="23" xfId="0" applyFont="1" applyFill="1" applyBorder="1" applyAlignment="1">
      <alignment horizontal="center" vertical="center"/>
    </xf>
    <xf numFmtId="0" fontId="32" fillId="11" borderId="12" xfId="0" applyFont="1" applyFill="1" applyBorder="1" applyAlignment="1">
      <alignment horizontal="center" vertical="center"/>
    </xf>
    <xf numFmtId="0" fontId="32" fillId="11" borderId="28" xfId="0" applyFont="1" applyFill="1" applyBorder="1" applyAlignment="1">
      <alignment horizontal="center" vertical="center"/>
    </xf>
    <xf numFmtId="0" fontId="32" fillId="11" borderId="10" xfId="0" applyFont="1" applyFill="1" applyBorder="1" applyAlignment="1">
      <alignment horizontal="center" vertical="center"/>
    </xf>
    <xf numFmtId="167" fontId="19" fillId="6" borderId="1" xfId="4" applyFont="1" applyFill="1" applyBorder="1" applyAlignment="1">
      <alignment horizontal="center" vertical="top" wrapText="1"/>
    </xf>
    <xf numFmtId="167" fontId="28" fillId="0" borderId="0" xfId="4" applyFont="1" applyAlignment="1">
      <alignment horizontal="center" vertical="center"/>
    </xf>
    <xf numFmtId="167" fontId="41" fillId="0" borderId="0" xfId="4" applyFont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1" borderId="23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167" fontId="19" fillId="6" borderId="1" xfId="4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/>
    </xf>
    <xf numFmtId="167" fontId="9" fillId="6" borderId="5" xfId="4" applyFont="1" applyFill="1" applyBorder="1" applyAlignment="1">
      <alignment horizontal="center" vertical="center" wrapText="1"/>
    </xf>
    <xf numFmtId="167" fontId="9" fillId="6" borderId="4" xfId="4" applyFont="1" applyFill="1" applyBorder="1" applyAlignment="1">
      <alignment horizontal="center" vertical="center" wrapText="1"/>
    </xf>
    <xf numFmtId="167" fontId="9" fillId="6" borderId="3" xfId="4" applyFont="1" applyFill="1" applyBorder="1" applyAlignment="1">
      <alignment horizontal="center" vertical="center" wrapText="1"/>
    </xf>
    <xf numFmtId="167" fontId="40" fillId="0" borderId="0" xfId="4" applyFont="1" applyAlignment="1">
      <alignment horizontal="center" vertical="center"/>
    </xf>
    <xf numFmtId="167" fontId="46" fillId="0" borderId="0" xfId="4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7" fontId="35" fillId="6" borderId="1" xfId="4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/>
    </xf>
    <xf numFmtId="167" fontId="40" fillId="2" borderId="1" xfId="4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49" fontId="27" fillId="0" borderId="1" xfId="1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top" wrapText="1"/>
    </xf>
  </cellXfs>
  <cellStyles count="11">
    <cellStyle name="Comma" xfId="1" builtinId="3"/>
    <cellStyle name="Hyperlink" xfId="2" builtinId="8"/>
    <cellStyle name="Normal" xfId="0" builtinId="0"/>
    <cellStyle name="Normal 139" xfId="5" xr:uid="{FF9D24C7-98A9-41E2-BE1D-EC51130AA520}"/>
    <cellStyle name="Normal 2" xfId="4" xr:uid="{3BC2E784-CAAC-45F4-9682-58747B085E89}"/>
    <cellStyle name="Normal 3" xfId="3" xr:uid="{E8D2AC90-7F7C-4008-AB47-F10D4A6980E1}"/>
    <cellStyle name="Normal 4" xfId="10" xr:uid="{DD657D43-2C36-4923-A88C-715ACFAF02C2}"/>
    <cellStyle name="Normal 5 5" xfId="6" xr:uid="{C54C3FC4-B2C1-4EB0-946F-AD50233E3A71}"/>
    <cellStyle name="Normal_51 Features with optional title_2" xfId="9" xr:uid="{EAAFB324-772D-43AE-8D18-E8CE660C13E4}"/>
    <cellStyle name="Normal_Fox Yr 2" xfId="8" xr:uid="{0CB0AE85-9A65-4645-8A2C-B8C8B2109434}"/>
    <cellStyle name="Normal_K+ NS_4" xfId="7" xr:uid="{C5CC3696-36C2-48D4-91A3-ABF8398EA827}"/>
  </cellStyles>
  <dxfs count="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60C5-8AAB-4A32-AFCE-4B18442AA6F5}">
  <sheetPr codeName="Sheet2">
    <tabColor rgb="FFFFFF00"/>
  </sheetPr>
  <dimension ref="A1:L21"/>
  <sheetViews>
    <sheetView zoomScale="85" zoomScaleNormal="85" workbookViewId="0">
      <selection activeCell="D3" sqref="D3:E3"/>
    </sheetView>
  </sheetViews>
  <sheetFormatPr defaultColWidth="8.77734375" defaultRowHeight="13.8" x14ac:dyDescent="0.25"/>
  <cols>
    <col min="1" max="1" width="2.5546875" style="11" customWidth="1"/>
    <col min="2" max="2" width="29" style="11" bestFit="1" customWidth="1"/>
    <col min="3" max="3" width="7.21875" style="11" customWidth="1"/>
    <col min="4" max="4" width="9" style="11" bestFit="1" customWidth="1"/>
    <col min="5" max="5" width="21.21875" style="14" bestFit="1" customWidth="1"/>
    <col min="6" max="6" width="15.77734375" style="11" bestFit="1" customWidth="1"/>
    <col min="7" max="7" width="17.21875" style="11" bestFit="1" customWidth="1"/>
    <col min="8" max="8" width="15.77734375" style="11" bestFit="1" customWidth="1"/>
    <col min="9" max="9" width="17.44140625" style="11" customWidth="1"/>
    <col min="10" max="10" width="17.33203125" style="11" customWidth="1"/>
    <col min="11" max="11" width="8" style="11" bestFit="1" customWidth="1"/>
    <col min="12" max="12" width="51.21875" style="11" customWidth="1"/>
    <col min="13" max="13" width="33.21875" style="11" customWidth="1"/>
    <col min="14" max="16384" width="8.77734375" style="11"/>
  </cols>
  <sheetData>
    <row r="1" spans="1:12" x14ac:dyDescent="0.25">
      <c r="A1" s="263" t="s">
        <v>3239</v>
      </c>
    </row>
    <row r="2" spans="1:12" x14ac:dyDescent="0.25">
      <c r="A2" s="73"/>
    </row>
    <row r="3" spans="1:12" x14ac:dyDescent="0.25">
      <c r="B3" s="532" t="s">
        <v>3198</v>
      </c>
      <c r="C3" s="532" t="s">
        <v>2</v>
      </c>
      <c r="D3" s="537" t="s">
        <v>3209</v>
      </c>
      <c r="E3" s="537"/>
      <c r="F3" s="537" t="s">
        <v>3230</v>
      </c>
      <c r="G3" s="537"/>
      <c r="H3" s="537" t="s">
        <v>3207</v>
      </c>
      <c r="I3" s="537"/>
    </row>
    <row r="4" spans="1:12" ht="14.4" thickBot="1" x14ac:dyDescent="0.3">
      <c r="B4" s="533"/>
      <c r="C4" s="533"/>
      <c r="D4" s="74" t="s">
        <v>3208</v>
      </c>
      <c r="E4" s="75" t="s">
        <v>1</v>
      </c>
      <c r="F4" s="74" t="s">
        <v>3208</v>
      </c>
      <c r="G4" s="75" t="s">
        <v>1</v>
      </c>
      <c r="H4" s="74" t="s">
        <v>3208</v>
      </c>
      <c r="I4" s="75" t="s">
        <v>1</v>
      </c>
    </row>
    <row r="5" spans="1:12" x14ac:dyDescent="0.25">
      <c r="B5" s="11" t="s">
        <v>3202</v>
      </c>
      <c r="C5" s="15" t="s">
        <v>0</v>
      </c>
      <c r="D5" s="11">
        <f>COUNTA('TK 15666. Phim SX'!$B$6:$B$13)</f>
        <v>8</v>
      </c>
      <c r="E5" s="12">
        <v>36977023489</v>
      </c>
      <c r="F5" s="12"/>
      <c r="G5" s="12">
        <f>E5</f>
        <v>36977023489</v>
      </c>
    </row>
    <row r="6" spans="1:12" ht="14.4" x14ac:dyDescent="0.3">
      <c r="B6" s="11" t="s">
        <v>3203</v>
      </c>
      <c r="C6" s="15" t="s">
        <v>0</v>
      </c>
      <c r="D6" s="11">
        <f>COUNTA('TK 15661.Bản quyền phim '!$B$6:$B$497)+2</f>
        <v>494</v>
      </c>
      <c r="E6" s="12">
        <v>55564486653</v>
      </c>
      <c r="F6" s="12">
        <f>COUNTIF('TK 15661.Bản quyền phim '!$AH$6:$AH$497,"OK")+2</f>
        <v>456</v>
      </c>
      <c r="G6" s="12">
        <f>E6</f>
        <v>55564486653</v>
      </c>
      <c r="H6" s="1">
        <f>D6-F6</f>
        <v>38</v>
      </c>
      <c r="I6" s="12">
        <f>SUMIF('TK 15661.Bản quyền phim '!$AH$6:$AH$497, 0, 'TK 15661.Bản quyền phim '!$X$6:$X$497)</f>
        <v>901576190.66666663</v>
      </c>
      <c r="J6" s="264" t="s">
        <v>3241</v>
      </c>
    </row>
    <row r="7" spans="1:12" x14ac:dyDescent="0.25">
      <c r="B7" s="11" t="s">
        <v>3206</v>
      </c>
      <c r="C7" s="15" t="s">
        <v>0</v>
      </c>
      <c r="E7" s="82">
        <v>0</v>
      </c>
      <c r="F7" s="12">
        <f>H20</f>
        <v>36</v>
      </c>
      <c r="G7" s="82">
        <v>0</v>
      </c>
      <c r="H7" s="534" t="s">
        <v>3231</v>
      </c>
      <c r="I7" s="534"/>
    </row>
    <row r="8" spans="1:12" x14ac:dyDescent="0.25">
      <c r="B8" s="14" t="s">
        <v>3204</v>
      </c>
      <c r="C8" s="15" t="s">
        <v>0</v>
      </c>
      <c r="E8" s="82">
        <v>0</v>
      </c>
      <c r="F8" s="12">
        <f>I20</f>
        <v>67</v>
      </c>
      <c r="G8" s="82">
        <v>0</v>
      </c>
      <c r="H8" s="534"/>
      <c r="I8" s="534"/>
    </row>
    <row r="9" spans="1:12" x14ac:dyDescent="0.25">
      <c r="B9" s="11" t="s">
        <v>3205</v>
      </c>
      <c r="C9" s="15" t="s">
        <v>0</v>
      </c>
      <c r="E9" s="82">
        <v>0</v>
      </c>
      <c r="F9" s="12">
        <f>J20</f>
        <v>9</v>
      </c>
      <c r="G9" s="82">
        <v>0</v>
      </c>
      <c r="H9" s="534"/>
      <c r="I9" s="534"/>
    </row>
    <row r="11" spans="1:12" x14ac:dyDescent="0.25">
      <c r="A11" s="263" t="s">
        <v>3240</v>
      </c>
    </row>
    <row r="12" spans="1:12" ht="14.55" customHeight="1" x14ac:dyDescent="0.25">
      <c r="B12" s="263"/>
      <c r="E12" s="535" t="s">
        <v>3217</v>
      </c>
      <c r="F12" s="535"/>
      <c r="G12" s="535"/>
      <c r="H12" s="535"/>
      <c r="I12" s="536" t="s">
        <v>3211</v>
      </c>
      <c r="J12" s="536"/>
    </row>
    <row r="13" spans="1:12" s="76" customFormat="1" ht="41.4" x14ac:dyDescent="0.3">
      <c r="B13" s="83" t="s">
        <v>3242</v>
      </c>
      <c r="C13" s="83" t="s">
        <v>16</v>
      </c>
      <c r="D13" s="257" t="s">
        <v>15</v>
      </c>
      <c r="E13" s="255" t="s">
        <v>3199</v>
      </c>
      <c r="F13" s="255" t="s">
        <v>3200</v>
      </c>
      <c r="G13" s="255" t="s">
        <v>3201</v>
      </c>
      <c r="H13" s="255" t="s">
        <v>14</v>
      </c>
      <c r="I13" s="256" t="s">
        <v>3204</v>
      </c>
      <c r="J13" s="256" t="s">
        <v>3205</v>
      </c>
      <c r="K13" s="258" t="s">
        <v>3210</v>
      </c>
      <c r="L13" s="81" t="s">
        <v>3232</v>
      </c>
    </row>
    <row r="14" spans="1:12" s="76" customFormat="1" ht="27.6" x14ac:dyDescent="0.3">
      <c r="B14" s="265" t="s">
        <v>3213</v>
      </c>
      <c r="C14" s="77" t="s">
        <v>5</v>
      </c>
      <c r="D14" s="77">
        <f>COUNTA('KK1. Movies'!A7:A343)</f>
        <v>337</v>
      </c>
      <c r="E14" s="77">
        <f>COUNTIF('KK1. Movies'!$AM$7:$AM$343,1)</f>
        <v>331</v>
      </c>
      <c r="F14" s="77">
        <f>COUNTIF('242.BQ Phim hợp tác'!$R:$R,1)</f>
        <v>6</v>
      </c>
      <c r="G14" s="77"/>
      <c r="H14" s="77"/>
      <c r="I14" s="77"/>
      <c r="J14" s="77"/>
      <c r="K14" s="84" t="b">
        <f>SUM(E14:J14)=D14</f>
        <v>1</v>
      </c>
      <c r="L14" s="78" t="s">
        <v>11</v>
      </c>
    </row>
    <row r="15" spans="1:12" s="76" customFormat="1" ht="27.6" x14ac:dyDescent="0.3">
      <c r="B15" s="265" t="s">
        <v>3234</v>
      </c>
      <c r="C15" s="77" t="s">
        <v>5</v>
      </c>
      <c r="D15" s="77">
        <f>COUNTA('KK2. Series'!A7:A174)</f>
        <v>168</v>
      </c>
      <c r="E15" s="77">
        <f>COUNTIF('KK2. Series'!$AR$7:$AR$174,1)</f>
        <v>72</v>
      </c>
      <c r="F15" s="77"/>
      <c r="G15" s="77">
        <f>COUNTIF('KK2. Series'!$AQ$7:$AQ$174,1)</f>
        <v>7</v>
      </c>
      <c r="H15" s="77">
        <f>COUNTIF('KK2. Series'!$AP$7:$AP$174,1)</f>
        <v>36</v>
      </c>
      <c r="I15" s="77">
        <f>COUNTIF('KK2. Series'!$AS$7:$AS$174,1)</f>
        <v>53</v>
      </c>
      <c r="J15" s="77"/>
      <c r="K15" s="84" t="b">
        <f t="shared" ref="K15:K19" si="0">SUM(E15:J15)=D15</f>
        <v>1</v>
      </c>
      <c r="L15" s="78" t="s">
        <v>9</v>
      </c>
    </row>
    <row r="16" spans="1:12" s="76" customFormat="1" ht="14.4" x14ac:dyDescent="0.3">
      <c r="B16" s="265" t="s">
        <v>3235</v>
      </c>
      <c r="C16" s="77" t="s">
        <v>5</v>
      </c>
      <c r="D16" s="77">
        <f>COUNTA('KK3. Kids'!$A$7:$A$57)</f>
        <v>51</v>
      </c>
      <c r="E16" s="77">
        <f>COUNTIF('KK3. Kids'!$AI$7:$AI$57,1)</f>
        <v>51</v>
      </c>
      <c r="F16" s="77"/>
      <c r="G16" s="77"/>
      <c r="H16" s="77"/>
      <c r="I16" s="77"/>
      <c r="J16" s="77"/>
      <c r="K16" s="84" t="b">
        <f t="shared" si="0"/>
        <v>1</v>
      </c>
      <c r="L16" s="78" t="s">
        <v>3233</v>
      </c>
    </row>
    <row r="17" spans="2:12" s="76" customFormat="1" ht="27.6" x14ac:dyDescent="0.3">
      <c r="B17" s="265" t="s">
        <v>3236</v>
      </c>
      <c r="C17" s="77" t="s">
        <v>5</v>
      </c>
      <c r="D17" s="77">
        <f>COUNTA('KK4. Show'!A7:A15)</f>
        <v>9</v>
      </c>
      <c r="E17" s="77"/>
      <c r="F17" s="77"/>
      <c r="G17" s="77"/>
      <c r="H17" s="77"/>
      <c r="I17" s="77"/>
      <c r="J17" s="77">
        <f>COUNTIF('KK4. Show'!$O$6:$O$15,1)</f>
        <v>9</v>
      </c>
      <c r="K17" s="84" t="b">
        <f t="shared" si="0"/>
        <v>1</v>
      </c>
      <c r="L17" s="78" t="s">
        <v>7</v>
      </c>
    </row>
    <row r="18" spans="2:12" s="76" customFormat="1" ht="14.4" x14ac:dyDescent="0.3">
      <c r="B18" s="265" t="s">
        <v>3237</v>
      </c>
      <c r="C18" s="77" t="s">
        <v>5</v>
      </c>
      <c r="D18" s="77">
        <f>COUNTA('KK5. Doc'!A7:A23)</f>
        <v>17</v>
      </c>
      <c r="E18" s="77">
        <f>COUNTIF('KK5. Doc'!$X$7:$X$23,1)</f>
        <v>1</v>
      </c>
      <c r="F18" s="77"/>
      <c r="G18" s="77">
        <f>COUNTIF('KK5. Doc'!$Y$7:$Y$23,1)</f>
        <v>1</v>
      </c>
      <c r="H18" s="77"/>
      <c r="I18" s="77">
        <f>COUNTIF('KK5. Doc'!$Z$7:$Z$23,1)</f>
        <v>14</v>
      </c>
      <c r="J18" s="77"/>
      <c r="K18" s="84" t="b">
        <f t="shared" si="0"/>
        <v>0</v>
      </c>
      <c r="L18" s="78" t="s">
        <v>4</v>
      </c>
    </row>
    <row r="19" spans="2:12" s="76" customFormat="1" ht="14.4" x14ac:dyDescent="0.3">
      <c r="B19" s="266" t="s">
        <v>3238</v>
      </c>
      <c r="C19" s="254" t="s">
        <v>5</v>
      </c>
      <c r="D19" s="254">
        <f>COUNTA('KK6. Bổ sung'!$A$7:$A$44)</f>
        <v>38</v>
      </c>
      <c r="E19" s="77">
        <f>COUNTIF('TK 15661.Bản quyền phim '!$AH$5:$AH$1048576,0)</f>
        <v>38</v>
      </c>
      <c r="F19" s="77"/>
      <c r="G19" s="77"/>
      <c r="H19" s="77"/>
      <c r="I19" s="77"/>
      <c r="J19" s="77"/>
      <c r="K19" s="84" t="b">
        <f t="shared" si="0"/>
        <v>1</v>
      </c>
      <c r="L19" s="78"/>
    </row>
    <row r="20" spans="2:12" s="73" customFormat="1" x14ac:dyDescent="0.25">
      <c r="B20" s="259" t="s">
        <v>3</v>
      </c>
      <c r="C20" s="259"/>
      <c r="D20" s="259">
        <f>SUM(D14:D19)</f>
        <v>620</v>
      </c>
      <c r="E20" s="260">
        <f t="shared" ref="E20:J20" si="1">SUM(E14:E19)</f>
        <v>493</v>
      </c>
      <c r="F20" s="260">
        <f t="shared" si="1"/>
        <v>6</v>
      </c>
      <c r="G20" s="260">
        <f t="shared" si="1"/>
        <v>8</v>
      </c>
      <c r="H20" s="260">
        <f t="shared" si="1"/>
        <v>36</v>
      </c>
      <c r="I20" s="261">
        <f t="shared" si="1"/>
        <v>67</v>
      </c>
      <c r="J20" s="261">
        <f t="shared" si="1"/>
        <v>9</v>
      </c>
      <c r="K20" s="79"/>
      <c r="L20" s="80"/>
    </row>
    <row r="21" spans="2:12" x14ac:dyDescent="0.25">
      <c r="E21" s="11"/>
    </row>
  </sheetData>
  <mergeCells count="8">
    <mergeCell ref="B3:B4"/>
    <mergeCell ref="C3:C4"/>
    <mergeCell ref="H7:I9"/>
    <mergeCell ref="E12:H12"/>
    <mergeCell ref="I12:J12"/>
    <mergeCell ref="H3:I3"/>
    <mergeCell ref="D3:E3"/>
    <mergeCell ref="F3:G3"/>
  </mergeCells>
  <hyperlinks>
    <hyperlink ref="H6" location="'Annex A'!K18" display="'Annex A'!K18" xr:uid="{34BBC55C-0493-4971-A4BC-F04B038F3839}"/>
    <hyperlink ref="B14" location="'KK1. Movies'!A1" display="KK1. Movies" xr:uid="{F2D3EC42-4E27-4AD4-AA66-E1552DAA9D30}"/>
    <hyperlink ref="B15" location="'KK2. Series'!A1" display="KK2. Series" xr:uid="{7D793019-66C9-40F8-9EC9-414A41175C1F}"/>
    <hyperlink ref="B16" location="'KK3. Kids'!A1" display="KK3. Kids" xr:uid="{B6165420-0CE1-4E08-994F-60BFD4BD700B}"/>
    <hyperlink ref="B17" location="'KK4. Show'!A1" display="KK4. Show" xr:uid="{82039FEF-4076-4EC4-9627-96809EE6DD21}"/>
    <hyperlink ref="B18" location="'KK5. Doc'!A1" display="KK5. Doc" xr:uid="{CBF8F623-5ED9-415D-8EB7-2A75F277462B}"/>
    <hyperlink ref="B19" location="'KK6. Bổ sung'!A1" display="KK6. Bổ sung" xr:uid="{0F4CC8B9-D766-4BDD-8500-ED71F976E334}"/>
  </hyperlinks>
  <pageMargins left="0.7" right="0.7" top="0.75" bottom="0.75" header="0.3" footer="0.3"/>
  <headerFooter>
    <oddFooter>&amp;L_x000D_&amp;1#&amp;"Aptos"&amp;10&amp;K000000 C0 - This document or email is owned by Canal+ Group.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8E8C-5F3B-4F40-8984-3ECBC88D833B}">
  <sheetPr codeName="Sheet7">
    <tabColor rgb="FF92D050"/>
  </sheetPr>
  <dimension ref="A1:AS381"/>
  <sheetViews>
    <sheetView zoomScale="70" zoomScaleNormal="70" workbookViewId="0">
      <pane xSplit="3" ySplit="6" topLeftCell="D359" activePane="bottomRight" state="frozen"/>
      <selection pane="topRight" activeCell="D1" sqref="D1"/>
      <selection pane="bottomLeft" activeCell="A4" sqref="A4"/>
      <selection pane="bottomRight" activeCell="C375" sqref="C375"/>
    </sheetView>
  </sheetViews>
  <sheetFormatPr defaultColWidth="8.77734375" defaultRowHeight="13.2" outlineLevelCol="1" x14ac:dyDescent="0.25"/>
  <cols>
    <col min="1" max="1" width="9.77734375" style="314" bestFit="1" customWidth="1"/>
    <col min="2" max="2" width="7.6640625" style="134" hidden="1" customWidth="1"/>
    <col min="3" max="3" width="23.33203125" style="272" customWidth="1"/>
    <col min="4" max="4" width="19" style="272" customWidth="1"/>
    <col min="5" max="5" width="17.88671875" style="134" customWidth="1"/>
    <col min="6" max="6" width="19.109375" style="134" customWidth="1"/>
    <col min="7" max="7" width="12.88671875" style="134" customWidth="1"/>
    <col min="8" max="8" width="22.44140625" style="191" customWidth="1"/>
    <col min="9" max="9" width="8.77734375" style="134" bestFit="1" customWidth="1"/>
    <col min="10" max="11" width="8.77734375" style="134" customWidth="1" outlineLevel="1"/>
    <col min="12" max="14" width="13.5546875" style="134" hidden="1" customWidth="1" outlineLevel="1"/>
    <col min="15" max="18" width="8.77734375" style="134" hidden="1" customWidth="1" outlineLevel="1"/>
    <col min="19" max="19" width="10.5546875" style="134" hidden="1" customWidth="1" outlineLevel="1"/>
    <col min="20" max="23" width="8.77734375" style="134" hidden="1" customWidth="1" outlineLevel="1"/>
    <col min="24" max="24" width="12.44140625" style="134" hidden="1" customWidth="1" outlineLevel="1"/>
    <col min="25" max="25" width="15.21875" style="134" hidden="1" customWidth="1" outlineLevel="1"/>
    <col min="26" max="26" width="14.21875" style="134" customWidth="1" outlineLevel="1"/>
    <col min="27" max="27" width="13.5546875" style="134" customWidth="1" outlineLevel="1"/>
    <col min="28" max="28" width="10.5546875" style="134" hidden="1" customWidth="1" outlineLevel="1"/>
    <col min="29" max="29" width="8.77734375" style="134" hidden="1" customWidth="1" outlineLevel="1"/>
    <col min="30" max="31" width="8.77734375" style="276" customWidth="1" outlineLevel="1"/>
    <col min="32" max="32" width="8.77734375" style="134" customWidth="1" outlineLevel="1"/>
    <col min="33" max="33" width="21.77734375" style="134" hidden="1" customWidth="1" outlineLevel="1"/>
    <col min="34" max="34" width="30.77734375" style="134" hidden="1" customWidth="1" outlineLevel="1"/>
    <col min="35" max="35" width="23.44140625" style="274" hidden="1" customWidth="1"/>
    <col min="36" max="36" width="14.6640625" style="134" hidden="1" customWidth="1"/>
    <col min="37" max="37" width="13.6640625" style="140" hidden="1" customWidth="1"/>
    <col min="38" max="38" width="19.6640625" style="134" hidden="1" customWidth="1"/>
    <col min="39" max="39" width="20.88671875" style="134" hidden="1" customWidth="1"/>
    <col min="40" max="40" width="14.21875" style="134" hidden="1" customWidth="1"/>
    <col min="41" max="41" width="9.21875" style="134" bestFit="1" customWidth="1"/>
    <col min="42" max="42" width="11.21875" style="134" bestFit="1" customWidth="1"/>
    <col min="43" max="43" width="8.77734375" style="134" bestFit="1" customWidth="1"/>
    <col min="44" max="44" width="18.109375" style="134" customWidth="1"/>
    <col min="45" max="45" width="17.21875" style="134" customWidth="1"/>
    <col min="46" max="16384" width="8.77734375" style="134"/>
  </cols>
  <sheetData>
    <row r="1" spans="1:45" x14ac:dyDescent="0.25">
      <c r="A1" s="270" t="s">
        <v>3243</v>
      </c>
      <c r="C1" s="271" t="s">
        <v>3244</v>
      </c>
      <c r="D1" s="134"/>
      <c r="H1" s="428"/>
      <c r="J1" s="273"/>
      <c r="AD1" s="134"/>
      <c r="AE1" s="134"/>
      <c r="AO1" s="538" t="s">
        <v>3245</v>
      </c>
      <c r="AP1" s="538"/>
      <c r="AQ1" s="538"/>
      <c r="AR1" s="538"/>
      <c r="AS1" s="538"/>
    </row>
    <row r="2" spans="1:45" x14ac:dyDescent="0.25">
      <c r="A2" s="270"/>
      <c r="C2" s="134"/>
      <c r="D2" s="134"/>
      <c r="H2" s="428"/>
      <c r="J2" s="275"/>
      <c r="AD2" s="134"/>
      <c r="AE2" s="134"/>
      <c r="AO2" s="539" t="s">
        <v>3246</v>
      </c>
      <c r="AP2" s="539"/>
      <c r="AQ2" s="539"/>
      <c r="AR2" s="539"/>
      <c r="AS2" s="539"/>
    </row>
    <row r="3" spans="1:45" x14ac:dyDescent="0.25">
      <c r="A3" s="540" t="s">
        <v>3252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/>
      <c r="AD3" s="540"/>
      <c r="AE3" s="540"/>
      <c r="AF3" s="540"/>
      <c r="AG3" s="540"/>
      <c r="AH3" s="540"/>
      <c r="AI3" s="540"/>
      <c r="AJ3" s="540"/>
      <c r="AK3" s="540"/>
      <c r="AL3" s="540"/>
      <c r="AM3" s="540"/>
      <c r="AN3" s="540"/>
      <c r="AO3" s="540"/>
      <c r="AP3" s="540"/>
      <c r="AQ3" s="540"/>
      <c r="AR3" s="540"/>
      <c r="AS3" s="540"/>
    </row>
    <row r="4" spans="1:45" x14ac:dyDescent="0.25">
      <c r="A4" s="540" t="s">
        <v>3247</v>
      </c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0"/>
      <c r="AG4" s="540"/>
      <c r="AH4" s="540"/>
      <c r="AI4" s="540"/>
      <c r="AJ4" s="540"/>
      <c r="AK4" s="540"/>
      <c r="AL4" s="540"/>
      <c r="AM4" s="540"/>
      <c r="AN4" s="540"/>
      <c r="AO4" s="540"/>
      <c r="AP4" s="540"/>
      <c r="AQ4" s="540"/>
      <c r="AR4" s="540"/>
      <c r="AS4" s="540"/>
    </row>
    <row r="5" spans="1:45" x14ac:dyDescent="0.25">
      <c r="A5" s="277"/>
      <c r="B5" s="193"/>
      <c r="C5" s="278"/>
      <c r="D5" s="278"/>
      <c r="E5" s="193"/>
      <c r="F5" s="193"/>
      <c r="G5" s="193"/>
      <c r="H5" s="429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547" t="s">
        <v>86</v>
      </c>
      <c r="AE5" s="547"/>
      <c r="AF5" s="547"/>
      <c r="AG5" s="193"/>
      <c r="AH5" s="193"/>
      <c r="AI5" s="544" t="s">
        <v>3215</v>
      </c>
      <c r="AJ5" s="545"/>
      <c r="AK5" s="545"/>
      <c r="AL5" s="545"/>
      <c r="AM5" s="546"/>
      <c r="AN5" s="543" t="s">
        <v>3210</v>
      </c>
      <c r="AO5" s="541" t="s">
        <v>3248</v>
      </c>
      <c r="AP5" s="541"/>
      <c r="AQ5" s="541"/>
      <c r="AR5" s="542" t="s">
        <v>3249</v>
      </c>
      <c r="AS5" s="542" t="s">
        <v>3250</v>
      </c>
    </row>
    <row r="6" spans="1:45" ht="39.6" x14ac:dyDescent="0.25">
      <c r="A6" s="279" t="s">
        <v>2369</v>
      </c>
      <c r="B6" s="137" t="s">
        <v>2368</v>
      </c>
      <c r="C6" s="137" t="s">
        <v>346</v>
      </c>
      <c r="D6" s="137" t="s">
        <v>84</v>
      </c>
      <c r="E6" s="137" t="s">
        <v>83</v>
      </c>
      <c r="F6" s="280" t="s">
        <v>1123</v>
      </c>
      <c r="G6" s="280" t="s">
        <v>82</v>
      </c>
      <c r="H6" s="280" t="s">
        <v>344</v>
      </c>
      <c r="I6" s="137" t="s">
        <v>2367</v>
      </c>
      <c r="J6" s="137" t="s">
        <v>81</v>
      </c>
      <c r="K6" s="137" t="s">
        <v>78</v>
      </c>
      <c r="L6" s="281" t="s">
        <v>1122</v>
      </c>
      <c r="M6" s="281" t="s">
        <v>1121</v>
      </c>
      <c r="N6" s="281" t="s">
        <v>340</v>
      </c>
      <c r="O6" s="137" t="s">
        <v>339</v>
      </c>
      <c r="P6" s="349" t="s">
        <v>338</v>
      </c>
      <c r="Q6" s="137" t="s">
        <v>76</v>
      </c>
      <c r="R6" s="137" t="s">
        <v>337</v>
      </c>
      <c r="S6" s="137" t="s">
        <v>336</v>
      </c>
      <c r="T6" s="138" t="s">
        <v>75</v>
      </c>
      <c r="U6" s="138" t="s">
        <v>74</v>
      </c>
      <c r="V6" s="138" t="s">
        <v>73</v>
      </c>
      <c r="W6" s="138" t="s">
        <v>72</v>
      </c>
      <c r="X6" s="138" t="s">
        <v>2366</v>
      </c>
      <c r="Y6" s="138" t="s">
        <v>2365</v>
      </c>
      <c r="Z6" s="282" t="s">
        <v>69</v>
      </c>
      <c r="AA6" s="283" t="s">
        <v>68</v>
      </c>
      <c r="AB6" s="137" t="s">
        <v>334</v>
      </c>
      <c r="AC6" s="279" t="s">
        <v>1120</v>
      </c>
      <c r="AD6" s="284" t="s">
        <v>67</v>
      </c>
      <c r="AE6" s="285" t="s">
        <v>66</v>
      </c>
      <c r="AF6" s="285" t="s">
        <v>65</v>
      </c>
      <c r="AG6" s="285" t="s">
        <v>64</v>
      </c>
      <c r="AH6" s="286"/>
      <c r="AI6" s="287" t="s">
        <v>331</v>
      </c>
      <c r="AJ6" s="288" t="s">
        <v>330</v>
      </c>
      <c r="AK6" s="289" t="s">
        <v>329</v>
      </c>
      <c r="AL6" s="290" t="s">
        <v>3214</v>
      </c>
      <c r="AM6" s="290" t="s">
        <v>3212</v>
      </c>
      <c r="AN6" s="543"/>
      <c r="AO6" s="291" t="s">
        <v>3208</v>
      </c>
      <c r="AP6" s="291" t="s">
        <v>69</v>
      </c>
      <c r="AQ6" s="291" t="s">
        <v>68</v>
      </c>
      <c r="AR6" s="542"/>
      <c r="AS6" s="542"/>
    </row>
    <row r="7" spans="1:45" s="296" customFormat="1" ht="26.4" x14ac:dyDescent="0.3">
      <c r="A7" s="292">
        <f>_xlfn.AGGREGATE(3,3,$D$7:D7)</f>
        <v>1</v>
      </c>
      <c r="B7" s="143" t="s">
        <v>1422</v>
      </c>
      <c r="C7" s="144" t="s">
        <v>2326</v>
      </c>
      <c r="D7" s="160" t="s">
        <v>2362</v>
      </c>
      <c r="E7" s="160" t="s">
        <v>2364</v>
      </c>
      <c r="F7" s="164" t="s">
        <v>2363</v>
      </c>
      <c r="G7" s="164" t="s">
        <v>1372</v>
      </c>
      <c r="H7" s="144" t="s">
        <v>1371</v>
      </c>
      <c r="I7" s="162">
        <v>2023</v>
      </c>
      <c r="J7" s="162" t="s">
        <v>178</v>
      </c>
      <c r="K7" s="162">
        <v>107</v>
      </c>
      <c r="L7" s="163">
        <v>45674</v>
      </c>
      <c r="M7" s="165">
        <v>47169</v>
      </c>
      <c r="N7" s="163">
        <v>45674</v>
      </c>
      <c r="O7" s="145"/>
      <c r="P7" s="159">
        <v>12</v>
      </c>
      <c r="Q7" s="162" t="s">
        <v>20</v>
      </c>
      <c r="R7" s="145" t="s">
        <v>18</v>
      </c>
      <c r="S7" s="159" t="s">
        <v>18</v>
      </c>
      <c r="T7" s="145" t="s">
        <v>18</v>
      </c>
      <c r="U7" s="159" t="s">
        <v>18</v>
      </c>
      <c r="V7" s="159" t="s">
        <v>18</v>
      </c>
      <c r="W7" s="159" t="s">
        <v>18</v>
      </c>
      <c r="X7" s="159" t="s">
        <v>18</v>
      </c>
      <c r="Y7" s="159" t="s">
        <v>20</v>
      </c>
      <c r="Z7" s="165">
        <v>45674</v>
      </c>
      <c r="AA7" s="165">
        <v>47169</v>
      </c>
      <c r="AB7" s="162">
        <v>24</v>
      </c>
      <c r="AC7" s="293">
        <v>3</v>
      </c>
      <c r="AD7" s="145" t="s">
        <v>18</v>
      </c>
      <c r="AE7" s="145" t="s">
        <v>18</v>
      </c>
      <c r="AF7" s="155"/>
      <c r="AG7" s="155" t="s">
        <v>17</v>
      </c>
      <c r="AH7" s="294"/>
      <c r="AI7" s="198" t="s">
        <v>2362</v>
      </c>
      <c r="AJ7" s="195">
        <f>SUMIF('TK 15661.Bản quyền phim '!F:F,'KK1. Movies'!D7,'TK 15661.Bản quyền phim '!X:X)</f>
        <v>59932952.666666672</v>
      </c>
      <c r="AK7" s="195">
        <f>SUMIF('TK 15661.Bản quyền phim '!F:F,'KK1. Movies'!AI7,'TK 15661.Bản quyền phim '!X:X)</f>
        <v>59932952.666666672</v>
      </c>
      <c r="AL7" s="295">
        <f>COUNTIF('242.BQ Phim hợp tác'!$C:$C,'KK1. Movies'!AI7)</f>
        <v>0</v>
      </c>
      <c r="AM7" s="295">
        <f>COUNTIF('TK 15661.Bản quyền phim '!F:F,'KK1. Movies'!AI7)</f>
        <v>1</v>
      </c>
      <c r="AN7" s="296">
        <f t="shared" ref="AN7:AN70" si="0">AL7+AM7</f>
        <v>1</v>
      </c>
      <c r="AO7" s="295"/>
      <c r="AP7" s="295"/>
      <c r="AQ7" s="295"/>
      <c r="AR7" s="295"/>
      <c r="AS7" s="295"/>
    </row>
    <row r="8" spans="1:45" s="296" customFormat="1" ht="26.4" x14ac:dyDescent="0.3">
      <c r="A8" s="292">
        <f>_xlfn.AGGREGATE(3,3,$D$7:D8)</f>
        <v>2</v>
      </c>
      <c r="B8" s="143" t="s">
        <v>1402</v>
      </c>
      <c r="C8" s="144" t="s">
        <v>2361</v>
      </c>
      <c r="D8" s="146" t="s">
        <v>2360</v>
      </c>
      <c r="E8" s="144" t="s">
        <v>2359</v>
      </c>
      <c r="F8" s="144" t="s">
        <v>1013</v>
      </c>
      <c r="G8" s="143" t="s">
        <v>1389</v>
      </c>
      <c r="H8" s="144" t="s">
        <v>1388</v>
      </c>
      <c r="I8" s="297">
        <v>2020</v>
      </c>
      <c r="J8" s="145" t="s">
        <v>196</v>
      </c>
      <c r="K8" s="297">
        <v>105</v>
      </c>
      <c r="L8" s="148">
        <v>45077</v>
      </c>
      <c r="M8" s="153">
        <v>46172</v>
      </c>
      <c r="N8" s="152">
        <v>45077</v>
      </c>
      <c r="O8" s="309" t="s">
        <v>584</v>
      </c>
      <c r="P8" s="145" t="s">
        <v>1387</v>
      </c>
      <c r="Q8" s="145" t="s">
        <v>20</v>
      </c>
      <c r="R8" s="145" t="s">
        <v>18</v>
      </c>
      <c r="S8" s="145" t="s">
        <v>20</v>
      </c>
      <c r="T8" s="145" t="s">
        <v>18</v>
      </c>
      <c r="U8" s="145" t="s">
        <v>18</v>
      </c>
      <c r="V8" s="145" t="s">
        <v>18</v>
      </c>
      <c r="W8" s="145" t="s">
        <v>18</v>
      </c>
      <c r="X8" s="145" t="s">
        <v>18</v>
      </c>
      <c r="Y8" s="145" t="s">
        <v>20</v>
      </c>
      <c r="Z8" s="148">
        <v>45077</v>
      </c>
      <c r="AA8" s="153">
        <v>46172</v>
      </c>
      <c r="AB8" s="293">
        <v>24</v>
      </c>
      <c r="AC8" s="293">
        <v>14</v>
      </c>
      <c r="AD8" s="145" t="s">
        <v>18</v>
      </c>
      <c r="AE8" s="145" t="s">
        <v>18</v>
      </c>
      <c r="AF8" s="155"/>
      <c r="AG8" s="155" t="s">
        <v>17</v>
      </c>
      <c r="AH8" s="294"/>
      <c r="AI8" s="298" t="s">
        <v>2358</v>
      </c>
      <c r="AJ8" s="195">
        <f>SUMIF('TK 15661.Bản quyền phim '!F:F,'KK1. Movies'!D8,'TK 15661.Bản quyền phim '!X:X)</f>
        <v>0</v>
      </c>
      <c r="AK8" s="195">
        <f>SUMIF('TK 15661.Bản quyền phim '!F:F,'KK1. Movies'!AI8,'TK 15661.Bản quyền phim '!X:X)</f>
        <v>0</v>
      </c>
      <c r="AL8" s="295">
        <f>COUNTIF('242.BQ Phim hợp tác'!$C:$C,'KK1. Movies'!AI8)</f>
        <v>0</v>
      </c>
      <c r="AM8" s="295">
        <f>COUNTIF('TK 15661.Bản quyền phim '!F:F,'KK1. Movies'!AI8)</f>
        <v>1</v>
      </c>
      <c r="AN8" s="296">
        <f t="shared" si="0"/>
        <v>1</v>
      </c>
      <c r="AO8" s="295"/>
      <c r="AP8" s="295"/>
      <c r="AQ8" s="295"/>
      <c r="AR8" s="295"/>
      <c r="AS8" s="295"/>
    </row>
    <row r="9" spans="1:45" s="296" customFormat="1" ht="26.4" x14ac:dyDescent="0.3">
      <c r="A9" s="292">
        <f>_xlfn.AGGREGATE(3,3,$D$7:D9)</f>
        <v>3</v>
      </c>
      <c r="B9" s="143" t="s">
        <v>1402</v>
      </c>
      <c r="C9" s="144" t="s">
        <v>2357</v>
      </c>
      <c r="D9" s="146" t="s">
        <v>2355</v>
      </c>
      <c r="E9" s="144" t="s">
        <v>2356</v>
      </c>
      <c r="F9" s="144" t="s">
        <v>511</v>
      </c>
      <c r="G9" s="143" t="s">
        <v>1389</v>
      </c>
      <c r="H9" s="144" t="s">
        <v>1388</v>
      </c>
      <c r="I9" s="297">
        <v>2018</v>
      </c>
      <c r="J9" s="145" t="s">
        <v>196</v>
      </c>
      <c r="K9" s="297">
        <v>96</v>
      </c>
      <c r="L9" s="148">
        <v>44967</v>
      </c>
      <c r="M9" s="153">
        <v>46062</v>
      </c>
      <c r="N9" s="152">
        <v>44967</v>
      </c>
      <c r="O9" s="309" t="s">
        <v>584</v>
      </c>
      <c r="P9" s="145" t="s">
        <v>1387</v>
      </c>
      <c r="Q9" s="145" t="s">
        <v>20</v>
      </c>
      <c r="R9" s="145" t="s">
        <v>18</v>
      </c>
      <c r="S9" s="145" t="s">
        <v>20</v>
      </c>
      <c r="T9" s="145" t="s">
        <v>18</v>
      </c>
      <c r="U9" s="145" t="s">
        <v>18</v>
      </c>
      <c r="V9" s="145" t="s">
        <v>18</v>
      </c>
      <c r="W9" s="145" t="s">
        <v>18</v>
      </c>
      <c r="X9" s="145" t="s">
        <v>18</v>
      </c>
      <c r="Y9" s="145" t="s">
        <v>319</v>
      </c>
      <c r="Z9" s="148">
        <v>44967</v>
      </c>
      <c r="AA9" s="153">
        <v>46062</v>
      </c>
      <c r="AB9" s="293">
        <v>24</v>
      </c>
      <c r="AC9" s="293">
        <v>22</v>
      </c>
      <c r="AD9" s="145" t="s">
        <v>18</v>
      </c>
      <c r="AE9" s="145" t="s">
        <v>18</v>
      </c>
      <c r="AF9" s="155"/>
      <c r="AG9" s="155" t="s">
        <v>17</v>
      </c>
      <c r="AH9" s="294"/>
      <c r="AI9" s="299" t="s">
        <v>2355</v>
      </c>
      <c r="AJ9" s="195">
        <f>SUMIF('TK 15661.Bản quyền phim '!F:F,'KK1. Movies'!D9,'TK 15661.Bản quyền phim '!X:X)</f>
        <v>0</v>
      </c>
      <c r="AK9" s="195">
        <f>SUMIF('TK 15661.Bản quyền phim '!F:F,'KK1. Movies'!AI9,'TK 15661.Bản quyền phim '!X:X)</f>
        <v>0</v>
      </c>
      <c r="AL9" s="295">
        <f>COUNTIF('242.BQ Phim hợp tác'!$C:$C,'KK1. Movies'!AI9)</f>
        <v>0</v>
      </c>
      <c r="AM9" s="295">
        <f>COUNTIF('TK 15661.Bản quyền phim '!F:F,'KK1. Movies'!AI9)</f>
        <v>1</v>
      </c>
      <c r="AN9" s="296">
        <f t="shared" si="0"/>
        <v>1</v>
      </c>
      <c r="AO9" s="295"/>
      <c r="AP9" s="295"/>
      <c r="AQ9" s="295"/>
      <c r="AR9" s="295"/>
      <c r="AS9" s="295"/>
    </row>
    <row r="10" spans="1:45" s="296" customFormat="1" ht="26.4" x14ac:dyDescent="0.3">
      <c r="A10" s="292">
        <f>_xlfn.AGGREGATE(3,3,$D$7:D10)</f>
        <v>4</v>
      </c>
      <c r="B10" s="143" t="s">
        <v>1402</v>
      </c>
      <c r="C10" s="144" t="s">
        <v>2354</v>
      </c>
      <c r="D10" s="146" t="s">
        <v>2352</v>
      </c>
      <c r="E10" s="144" t="s">
        <v>2353</v>
      </c>
      <c r="F10" s="144" t="s">
        <v>385</v>
      </c>
      <c r="G10" s="143" t="s">
        <v>1389</v>
      </c>
      <c r="H10" s="144" t="s">
        <v>1388</v>
      </c>
      <c r="I10" s="297">
        <v>2020</v>
      </c>
      <c r="J10" s="150" t="s">
        <v>703</v>
      </c>
      <c r="K10" s="297">
        <v>108</v>
      </c>
      <c r="L10" s="148">
        <v>45064</v>
      </c>
      <c r="M10" s="153">
        <v>46159</v>
      </c>
      <c r="N10" s="152">
        <v>45064</v>
      </c>
      <c r="O10" s="309" t="s">
        <v>584</v>
      </c>
      <c r="P10" s="145" t="s">
        <v>1387</v>
      </c>
      <c r="Q10" s="145" t="s">
        <v>20</v>
      </c>
      <c r="R10" s="145" t="s">
        <v>18</v>
      </c>
      <c r="S10" s="145" t="s">
        <v>20</v>
      </c>
      <c r="T10" s="145" t="s">
        <v>18</v>
      </c>
      <c r="U10" s="145" t="s">
        <v>18</v>
      </c>
      <c r="V10" s="145" t="s">
        <v>18</v>
      </c>
      <c r="W10" s="145" t="s">
        <v>18</v>
      </c>
      <c r="X10" s="145" t="s">
        <v>18</v>
      </c>
      <c r="Y10" s="145" t="s">
        <v>20</v>
      </c>
      <c r="Z10" s="148">
        <v>45064</v>
      </c>
      <c r="AA10" s="153">
        <v>46159</v>
      </c>
      <c r="AB10" s="293">
        <v>24</v>
      </c>
      <c r="AC10" s="293">
        <v>16</v>
      </c>
      <c r="AD10" s="145" t="s">
        <v>18</v>
      </c>
      <c r="AE10" s="145" t="s">
        <v>18</v>
      </c>
      <c r="AF10" s="155"/>
      <c r="AG10" s="155" t="s">
        <v>17</v>
      </c>
      <c r="AH10" s="294"/>
      <c r="AI10" s="299" t="s">
        <v>2352</v>
      </c>
      <c r="AJ10" s="195">
        <f>SUMIF('TK 15661.Bản quyền phim '!F:F,'KK1. Movies'!D10,'TK 15661.Bản quyền phim '!X:X)</f>
        <v>0</v>
      </c>
      <c r="AK10" s="195">
        <f>SUMIF('TK 15661.Bản quyền phim '!F:F,'KK1. Movies'!AI10,'TK 15661.Bản quyền phim '!X:X)</f>
        <v>0</v>
      </c>
      <c r="AL10" s="295">
        <f>COUNTIF('242.BQ Phim hợp tác'!$C:$C,'KK1. Movies'!AI10)</f>
        <v>0</v>
      </c>
      <c r="AM10" s="295">
        <f>COUNTIF('TK 15661.Bản quyền phim '!F:F,'KK1. Movies'!AI10)</f>
        <v>1</v>
      </c>
      <c r="AN10" s="296">
        <f t="shared" si="0"/>
        <v>1</v>
      </c>
      <c r="AO10" s="295"/>
      <c r="AP10" s="295"/>
      <c r="AQ10" s="295"/>
      <c r="AR10" s="295"/>
      <c r="AS10" s="295"/>
    </row>
    <row r="11" spans="1:45" s="296" customFormat="1" ht="26.4" x14ac:dyDescent="0.3">
      <c r="A11" s="292">
        <f>_xlfn.AGGREGATE(3,3,$D$7:D11)</f>
        <v>5</v>
      </c>
      <c r="B11" s="143" t="s">
        <v>1392</v>
      </c>
      <c r="C11" s="341" t="s">
        <v>2351</v>
      </c>
      <c r="D11" s="146" t="s">
        <v>2348</v>
      </c>
      <c r="E11" s="144" t="s">
        <v>2350</v>
      </c>
      <c r="F11" s="144" t="s">
        <v>385</v>
      </c>
      <c r="G11" s="143" t="s">
        <v>1389</v>
      </c>
      <c r="H11" s="144" t="s">
        <v>1388</v>
      </c>
      <c r="I11" s="297">
        <v>2017</v>
      </c>
      <c r="J11" s="297" t="s">
        <v>2349</v>
      </c>
      <c r="K11" s="297">
        <v>96</v>
      </c>
      <c r="L11" s="148">
        <v>45227</v>
      </c>
      <c r="M11" s="153">
        <v>46322</v>
      </c>
      <c r="N11" s="157">
        <v>45227</v>
      </c>
      <c r="O11" s="145" t="s">
        <v>132</v>
      </c>
      <c r="P11" s="145"/>
      <c r="Q11" s="145" t="s">
        <v>20</v>
      </c>
      <c r="R11" s="145" t="s">
        <v>18</v>
      </c>
      <c r="S11" s="145" t="s">
        <v>20</v>
      </c>
      <c r="T11" s="145" t="s">
        <v>18</v>
      </c>
      <c r="U11" s="145" t="s">
        <v>18</v>
      </c>
      <c r="V11" s="145" t="s">
        <v>18</v>
      </c>
      <c r="W11" s="145" t="s">
        <v>18</v>
      </c>
      <c r="X11" s="145" t="s">
        <v>18</v>
      </c>
      <c r="Y11" s="145" t="s">
        <v>20</v>
      </c>
      <c r="Z11" s="148">
        <v>45227</v>
      </c>
      <c r="AA11" s="153">
        <v>46322</v>
      </c>
      <c r="AB11" s="293">
        <v>24</v>
      </c>
      <c r="AC11" s="293">
        <v>16</v>
      </c>
      <c r="AD11" s="145" t="s">
        <v>18</v>
      </c>
      <c r="AE11" s="145" t="s">
        <v>18</v>
      </c>
      <c r="AF11" s="155"/>
      <c r="AG11" s="155" t="s">
        <v>17</v>
      </c>
      <c r="AH11" s="294"/>
      <c r="AI11" s="299" t="s">
        <v>2348</v>
      </c>
      <c r="AJ11" s="195">
        <f>SUMIF('TK 15661.Bản quyền phim '!F:F,'KK1. Movies'!D11,'TK 15661.Bản quyền phim '!X:X)</f>
        <v>0</v>
      </c>
      <c r="AK11" s="195">
        <f>SUMIF('TK 15661.Bản quyền phim '!F:F,'KK1. Movies'!AI11,'TK 15661.Bản quyền phim '!X:X)</f>
        <v>0</v>
      </c>
      <c r="AL11" s="295">
        <f>COUNTIF('242.BQ Phim hợp tác'!$C:$C,'KK1. Movies'!AI11)</f>
        <v>0</v>
      </c>
      <c r="AM11" s="295">
        <f>COUNTIF('TK 15661.Bản quyền phim '!F:F,'KK1. Movies'!AI11)</f>
        <v>1</v>
      </c>
      <c r="AN11" s="296">
        <f t="shared" si="0"/>
        <v>1</v>
      </c>
      <c r="AO11" s="295"/>
      <c r="AP11" s="295"/>
      <c r="AQ11" s="295"/>
      <c r="AR11" s="295"/>
      <c r="AS11" s="295"/>
    </row>
    <row r="12" spans="1:45" s="296" customFormat="1" ht="52.8" x14ac:dyDescent="0.3">
      <c r="A12" s="292">
        <f>_xlfn.AGGREGATE(3,3,$D$7:D12)</f>
        <v>6</v>
      </c>
      <c r="B12" s="143" t="s">
        <v>1402</v>
      </c>
      <c r="C12" s="144" t="s">
        <v>2347</v>
      </c>
      <c r="D12" s="160" t="s">
        <v>2345</v>
      </c>
      <c r="E12" s="166" t="s">
        <v>2346</v>
      </c>
      <c r="F12" s="144" t="s">
        <v>350</v>
      </c>
      <c r="G12" s="158" t="s">
        <v>1141</v>
      </c>
      <c r="H12" s="144" t="s">
        <v>1140</v>
      </c>
      <c r="I12" s="159">
        <v>2005</v>
      </c>
      <c r="J12" s="159" t="s">
        <v>1283</v>
      </c>
      <c r="K12" s="159">
        <v>145</v>
      </c>
      <c r="L12" s="163">
        <v>45701</v>
      </c>
      <c r="M12" s="161">
        <v>46430</v>
      </c>
      <c r="N12" s="157"/>
      <c r="O12" s="145"/>
      <c r="P12" s="145"/>
      <c r="Q12" s="159" t="s">
        <v>20</v>
      </c>
      <c r="R12" s="159" t="s">
        <v>18</v>
      </c>
      <c r="S12" s="159" t="s">
        <v>18</v>
      </c>
      <c r="T12" s="145" t="s">
        <v>18</v>
      </c>
      <c r="U12" s="159" t="s">
        <v>20</v>
      </c>
      <c r="V12" s="159" t="s">
        <v>20</v>
      </c>
      <c r="W12" s="159" t="s">
        <v>20</v>
      </c>
      <c r="X12" s="159" t="s">
        <v>18</v>
      </c>
      <c r="Y12" s="159" t="s">
        <v>20</v>
      </c>
      <c r="Z12" s="161">
        <v>45701</v>
      </c>
      <c r="AA12" s="188">
        <v>46246</v>
      </c>
      <c r="AB12" s="159">
        <v>7</v>
      </c>
      <c r="AC12" s="293">
        <v>1</v>
      </c>
      <c r="AD12" s="145" t="s">
        <v>18</v>
      </c>
      <c r="AE12" s="145" t="s">
        <v>18</v>
      </c>
      <c r="AF12" s="155"/>
      <c r="AG12" s="155" t="s">
        <v>17</v>
      </c>
      <c r="AH12" s="294"/>
      <c r="AI12" s="300" t="s">
        <v>2345</v>
      </c>
      <c r="AJ12" s="195">
        <f>SUMIF('TK 15661.Bản quyền phim '!F:F,'KK1. Movies'!D12,'TK 15661.Bản quyền phim '!X:X)</f>
        <v>46627350</v>
      </c>
      <c r="AK12" s="195">
        <f>SUMIF('TK 15661.Bản quyền phim '!F:F,'KK1. Movies'!AI12,'TK 15661.Bản quyền phim '!X:X)</f>
        <v>46627350</v>
      </c>
      <c r="AL12" s="295">
        <f>COUNTIF('242.BQ Phim hợp tác'!$C:$C,'KK1. Movies'!AI12)</f>
        <v>0</v>
      </c>
      <c r="AM12" s="295">
        <f>COUNTIF('TK 15661.Bản quyền phim '!F:F,'KK1. Movies'!AI12)</f>
        <v>1</v>
      </c>
      <c r="AN12" s="296">
        <f t="shared" si="0"/>
        <v>1</v>
      </c>
      <c r="AO12" s="295"/>
      <c r="AP12" s="295"/>
      <c r="AQ12" s="295"/>
      <c r="AR12" s="295"/>
      <c r="AS12" s="295"/>
    </row>
    <row r="13" spans="1:45" s="296" customFormat="1" ht="26.4" x14ac:dyDescent="0.3">
      <c r="A13" s="292">
        <f>_xlfn.AGGREGATE(3,3,$D$7:D13)</f>
        <v>7</v>
      </c>
      <c r="B13" s="143" t="s">
        <v>1402</v>
      </c>
      <c r="C13" s="341" t="s">
        <v>2344</v>
      </c>
      <c r="D13" s="146" t="s">
        <v>2343</v>
      </c>
      <c r="E13" s="144" t="s">
        <v>2342</v>
      </c>
      <c r="F13" s="144" t="s">
        <v>511</v>
      </c>
      <c r="G13" s="143" t="s">
        <v>1389</v>
      </c>
      <c r="H13" s="144" t="s">
        <v>1388</v>
      </c>
      <c r="I13" s="297">
        <v>2021</v>
      </c>
      <c r="J13" s="145" t="s">
        <v>196</v>
      </c>
      <c r="K13" s="297">
        <v>112</v>
      </c>
      <c r="L13" s="148">
        <v>45191</v>
      </c>
      <c r="M13" s="153">
        <v>46286</v>
      </c>
      <c r="N13" s="152">
        <v>45191</v>
      </c>
      <c r="O13" s="309" t="s">
        <v>584</v>
      </c>
      <c r="P13" s="145" t="s">
        <v>1387</v>
      </c>
      <c r="Q13" s="145" t="s">
        <v>20</v>
      </c>
      <c r="R13" s="145" t="s">
        <v>18</v>
      </c>
      <c r="S13" s="145" t="s">
        <v>20</v>
      </c>
      <c r="T13" s="145" t="s">
        <v>18</v>
      </c>
      <c r="U13" s="145" t="s">
        <v>18</v>
      </c>
      <c r="V13" s="145" t="s">
        <v>18</v>
      </c>
      <c r="W13" s="145" t="s">
        <v>18</v>
      </c>
      <c r="X13" s="145" t="s">
        <v>18</v>
      </c>
      <c r="Y13" s="145" t="s">
        <v>18</v>
      </c>
      <c r="Z13" s="148">
        <v>45191</v>
      </c>
      <c r="AA13" s="153">
        <v>46286</v>
      </c>
      <c r="AB13" s="293">
        <v>24</v>
      </c>
      <c r="AC13" s="293">
        <v>12</v>
      </c>
      <c r="AD13" s="145" t="s">
        <v>18</v>
      </c>
      <c r="AE13" s="145" t="s">
        <v>18</v>
      </c>
      <c r="AF13" s="146"/>
      <c r="AG13" s="155" t="s">
        <v>17</v>
      </c>
      <c r="AH13" s="294"/>
      <c r="AI13" s="198" t="s">
        <v>2341</v>
      </c>
      <c r="AJ13" s="195">
        <f>SUMIF('TK 15661.Bản quyền phim '!F:F,'KK1. Movies'!D13,'TK 15661.Bản quyền phim '!X:X)</f>
        <v>0</v>
      </c>
      <c r="AK13" s="195">
        <f>SUMIF('TK 15661.Bản quyền phim '!F:F,'KK1. Movies'!AI13,'TK 15661.Bản quyền phim '!X:X)</f>
        <v>0</v>
      </c>
      <c r="AL13" s="295">
        <f>COUNTIF('242.BQ Phim hợp tác'!$C:$C,'KK1. Movies'!AI13)</f>
        <v>0</v>
      </c>
      <c r="AM13" s="295">
        <f>COUNTIF('TK 15661.Bản quyền phim '!F:F,'KK1. Movies'!AI13)</f>
        <v>1</v>
      </c>
      <c r="AN13" s="296">
        <f t="shared" si="0"/>
        <v>1</v>
      </c>
      <c r="AO13" s="295"/>
      <c r="AP13" s="295"/>
      <c r="AQ13" s="295"/>
      <c r="AR13" s="295"/>
      <c r="AS13" s="295"/>
    </row>
    <row r="14" spans="1:45" s="296" customFormat="1" ht="26.4" x14ac:dyDescent="0.3">
      <c r="A14" s="292">
        <f>_xlfn.AGGREGATE(3,3,$D$7:D14)</f>
        <v>8</v>
      </c>
      <c r="B14" s="143" t="s">
        <v>1402</v>
      </c>
      <c r="C14" s="144" t="s">
        <v>2340</v>
      </c>
      <c r="D14" s="146" t="s">
        <v>2338</v>
      </c>
      <c r="E14" s="144" t="s">
        <v>2339</v>
      </c>
      <c r="F14" s="144" t="s">
        <v>1013</v>
      </c>
      <c r="G14" s="143" t="s">
        <v>1389</v>
      </c>
      <c r="H14" s="144" t="s">
        <v>1388</v>
      </c>
      <c r="I14" s="297">
        <v>2021</v>
      </c>
      <c r="J14" s="145" t="s">
        <v>196</v>
      </c>
      <c r="K14" s="297">
        <v>89</v>
      </c>
      <c r="L14" s="148">
        <v>44951</v>
      </c>
      <c r="M14" s="148">
        <v>46046</v>
      </c>
      <c r="N14" s="152">
        <v>44951</v>
      </c>
      <c r="O14" s="145" t="s">
        <v>584</v>
      </c>
      <c r="P14" s="145" t="s">
        <v>1387</v>
      </c>
      <c r="Q14" s="145" t="s">
        <v>20</v>
      </c>
      <c r="R14" s="145" t="s">
        <v>18</v>
      </c>
      <c r="S14" s="145" t="s">
        <v>18</v>
      </c>
      <c r="T14" s="145" t="s">
        <v>18</v>
      </c>
      <c r="U14" s="145" t="s">
        <v>18</v>
      </c>
      <c r="V14" s="145" t="s">
        <v>18</v>
      </c>
      <c r="W14" s="145" t="s">
        <v>18</v>
      </c>
      <c r="X14" s="145" t="s">
        <v>18</v>
      </c>
      <c r="Y14" s="145" t="s">
        <v>319</v>
      </c>
      <c r="Z14" s="148">
        <v>44951</v>
      </c>
      <c r="AA14" s="148">
        <v>46046</v>
      </c>
      <c r="AB14" s="293">
        <v>24</v>
      </c>
      <c r="AC14" s="293">
        <v>13</v>
      </c>
      <c r="AD14" s="145" t="s">
        <v>18</v>
      </c>
      <c r="AE14" s="145" t="s">
        <v>18</v>
      </c>
      <c r="AF14" s="146"/>
      <c r="AG14" s="155" t="s">
        <v>17</v>
      </c>
      <c r="AH14" s="294"/>
      <c r="AI14" s="299" t="s">
        <v>2338</v>
      </c>
      <c r="AJ14" s="195">
        <f>SUMIF('TK 15661.Bản quyền phim '!F:F,'KK1. Movies'!D14,'TK 15661.Bản quyền phim '!X:X)</f>
        <v>0</v>
      </c>
      <c r="AK14" s="195">
        <f>SUMIF('TK 15661.Bản quyền phim '!F:F,'KK1. Movies'!AI14,'TK 15661.Bản quyền phim '!X:X)</f>
        <v>0</v>
      </c>
      <c r="AL14" s="295">
        <f>COUNTIF('242.BQ Phim hợp tác'!$C:$C,'KK1. Movies'!AI14)</f>
        <v>0</v>
      </c>
      <c r="AM14" s="295">
        <f>COUNTIF('TK 15661.Bản quyền phim '!F:F,'KK1. Movies'!AI14)</f>
        <v>1</v>
      </c>
      <c r="AN14" s="296">
        <f t="shared" si="0"/>
        <v>1</v>
      </c>
      <c r="AO14" s="295"/>
      <c r="AP14" s="295"/>
      <c r="AQ14" s="295"/>
      <c r="AR14" s="295"/>
      <c r="AS14" s="295"/>
    </row>
    <row r="15" spans="1:45" s="296" customFormat="1" ht="26.4" x14ac:dyDescent="0.3">
      <c r="A15" s="292">
        <f>_xlfn.AGGREGATE(3,3,$D$7:D15)</f>
        <v>9</v>
      </c>
      <c r="B15" s="143" t="s">
        <v>1402</v>
      </c>
      <c r="C15" s="144" t="s">
        <v>2337</v>
      </c>
      <c r="D15" s="160" t="s">
        <v>2336</v>
      </c>
      <c r="E15" s="166" t="s">
        <v>2335</v>
      </c>
      <c r="F15" s="144" t="s">
        <v>381</v>
      </c>
      <c r="G15" s="158" t="s">
        <v>1324</v>
      </c>
      <c r="H15" s="144" t="s">
        <v>1449</v>
      </c>
      <c r="I15" s="159">
        <v>2021</v>
      </c>
      <c r="J15" s="150" t="s">
        <v>133</v>
      </c>
      <c r="K15" s="159">
        <v>85</v>
      </c>
      <c r="L15" s="148">
        <v>45566</v>
      </c>
      <c r="M15" s="161">
        <v>46660</v>
      </c>
      <c r="N15" s="157">
        <v>45568</v>
      </c>
      <c r="O15" s="145" t="s">
        <v>553</v>
      </c>
      <c r="P15" s="151">
        <v>12</v>
      </c>
      <c r="Q15" s="159" t="s">
        <v>20</v>
      </c>
      <c r="R15" s="145" t="s">
        <v>18</v>
      </c>
      <c r="S15" s="145" t="s">
        <v>18</v>
      </c>
      <c r="T15" s="145" t="s">
        <v>18</v>
      </c>
      <c r="U15" s="145" t="s">
        <v>18</v>
      </c>
      <c r="V15" s="145" t="s">
        <v>18</v>
      </c>
      <c r="W15" s="145" t="s">
        <v>18</v>
      </c>
      <c r="X15" s="159" t="s">
        <v>20</v>
      </c>
      <c r="Y15" s="145" t="s">
        <v>18</v>
      </c>
      <c r="Z15" s="148">
        <v>45566</v>
      </c>
      <c r="AA15" s="161">
        <v>46660</v>
      </c>
      <c r="AB15" s="145" t="s">
        <v>218</v>
      </c>
      <c r="AC15" s="293">
        <v>11</v>
      </c>
      <c r="AD15" s="145" t="s">
        <v>18</v>
      </c>
      <c r="AE15" s="145" t="s">
        <v>18</v>
      </c>
      <c r="AF15" s="145"/>
      <c r="AG15" s="155" t="s">
        <v>17</v>
      </c>
      <c r="AH15" s="294"/>
      <c r="AI15" s="198" t="s">
        <v>2334</v>
      </c>
      <c r="AJ15" s="195">
        <f>SUMIF('TK 15661.Bản quyền phim '!F:F,'KK1. Movies'!D15,'TK 15661.Bản quyền phim '!X:X)</f>
        <v>0</v>
      </c>
      <c r="AK15" s="195">
        <f>SUMIF('TK 15661.Bản quyền phim '!F:F,'KK1. Movies'!AI15,'TK 15661.Bản quyền phim '!X:X)</f>
        <v>28571428.66666666</v>
      </c>
      <c r="AL15" s="295">
        <f>COUNTIF('242.BQ Phim hợp tác'!$C:$C,'KK1. Movies'!AI15)</f>
        <v>0</v>
      </c>
      <c r="AM15" s="295">
        <f>COUNTIF('TK 15661.Bản quyền phim '!F:F,'KK1. Movies'!AI15)</f>
        <v>1</v>
      </c>
      <c r="AN15" s="296">
        <f t="shared" si="0"/>
        <v>1</v>
      </c>
      <c r="AO15" s="295"/>
      <c r="AP15" s="295"/>
      <c r="AQ15" s="295"/>
      <c r="AR15" s="295"/>
      <c r="AS15" s="295"/>
    </row>
    <row r="16" spans="1:45" s="296" customFormat="1" ht="26.4" x14ac:dyDescent="0.3">
      <c r="A16" s="292">
        <f>_xlfn.AGGREGATE(3,3,$D$7:D16)</f>
        <v>10</v>
      </c>
      <c r="B16" s="143" t="s">
        <v>1402</v>
      </c>
      <c r="C16" s="144" t="s">
        <v>2332</v>
      </c>
      <c r="D16" s="146" t="s">
        <v>2331</v>
      </c>
      <c r="E16" s="144" t="s">
        <v>2333</v>
      </c>
      <c r="F16" s="144" t="s">
        <v>511</v>
      </c>
      <c r="G16" s="143" t="s">
        <v>1389</v>
      </c>
      <c r="H16" s="144" t="s">
        <v>1388</v>
      </c>
      <c r="I16" s="297">
        <v>2018</v>
      </c>
      <c r="J16" s="145" t="s">
        <v>196</v>
      </c>
      <c r="K16" s="297">
        <v>98</v>
      </c>
      <c r="L16" s="148">
        <v>45217</v>
      </c>
      <c r="M16" s="153">
        <v>46312</v>
      </c>
      <c r="N16" s="152">
        <v>45217</v>
      </c>
      <c r="O16" s="309" t="s">
        <v>584</v>
      </c>
      <c r="P16" s="145" t="s">
        <v>1387</v>
      </c>
      <c r="Q16" s="145" t="s">
        <v>20</v>
      </c>
      <c r="R16" s="145" t="s">
        <v>18</v>
      </c>
      <c r="S16" s="145" t="s">
        <v>20</v>
      </c>
      <c r="T16" s="145" t="s">
        <v>18</v>
      </c>
      <c r="U16" s="145" t="s">
        <v>18</v>
      </c>
      <c r="V16" s="145" t="s">
        <v>18</v>
      </c>
      <c r="W16" s="145" t="s">
        <v>18</v>
      </c>
      <c r="X16" s="145" t="s">
        <v>18</v>
      </c>
      <c r="Y16" s="145" t="s">
        <v>20</v>
      </c>
      <c r="Z16" s="148">
        <v>45217</v>
      </c>
      <c r="AA16" s="153">
        <v>46312</v>
      </c>
      <c r="AB16" s="293">
        <v>24</v>
      </c>
      <c r="AC16" s="293">
        <v>18</v>
      </c>
      <c r="AD16" s="145" t="s">
        <v>18</v>
      </c>
      <c r="AE16" s="145" t="s">
        <v>18</v>
      </c>
      <c r="AF16" s="155"/>
      <c r="AG16" s="155" t="s">
        <v>17</v>
      </c>
      <c r="AH16" s="294" t="s">
        <v>2332</v>
      </c>
      <c r="AI16" s="299" t="s">
        <v>2331</v>
      </c>
      <c r="AJ16" s="195">
        <f>SUMIF('TK 15661.Bản quyền phim '!F:F,'KK1. Movies'!D16,'TK 15661.Bản quyền phim '!X:X)</f>
        <v>0</v>
      </c>
      <c r="AK16" s="195">
        <f>SUMIF('TK 15661.Bản quyền phim '!F:F,'KK1. Movies'!AI16,'TK 15661.Bản quyền phim '!X:X)</f>
        <v>0</v>
      </c>
      <c r="AL16" s="295">
        <f>COUNTIF('242.BQ Phim hợp tác'!$C:$C,'KK1. Movies'!AI16)</f>
        <v>0</v>
      </c>
      <c r="AM16" s="295">
        <f>COUNTIF('TK 15661.Bản quyền phim '!F:F,'KK1. Movies'!AI16)</f>
        <v>1</v>
      </c>
      <c r="AN16" s="296">
        <f t="shared" si="0"/>
        <v>1</v>
      </c>
      <c r="AO16" s="295"/>
      <c r="AP16" s="295"/>
      <c r="AQ16" s="295"/>
      <c r="AR16" s="295"/>
      <c r="AS16" s="295"/>
    </row>
    <row r="17" spans="1:45" s="296" customFormat="1" ht="39.6" x14ac:dyDescent="0.3">
      <c r="A17" s="292">
        <f>_xlfn.AGGREGATE(3,3,$D$7:D17)</f>
        <v>11</v>
      </c>
      <c r="B17" s="143" t="s">
        <v>1723</v>
      </c>
      <c r="C17" s="144" t="s">
        <v>2328</v>
      </c>
      <c r="D17" s="146" t="s">
        <v>2330</v>
      </c>
      <c r="E17" s="144" t="s">
        <v>2329</v>
      </c>
      <c r="F17" s="144" t="s">
        <v>385</v>
      </c>
      <c r="G17" s="143" t="s">
        <v>1324</v>
      </c>
      <c r="H17" s="144" t="s">
        <v>1418</v>
      </c>
      <c r="I17" s="297">
        <v>2018</v>
      </c>
      <c r="J17" s="150" t="s">
        <v>196</v>
      </c>
      <c r="K17" s="297">
        <v>105</v>
      </c>
      <c r="L17" s="148">
        <v>44952</v>
      </c>
      <c r="M17" s="148">
        <v>46047</v>
      </c>
      <c r="N17" s="152">
        <v>44952</v>
      </c>
      <c r="O17" s="309" t="s">
        <v>584</v>
      </c>
      <c r="P17" s="141">
        <v>12</v>
      </c>
      <c r="Q17" s="145" t="s">
        <v>20</v>
      </c>
      <c r="R17" s="145" t="s">
        <v>18</v>
      </c>
      <c r="S17" s="145" t="s">
        <v>18</v>
      </c>
      <c r="T17" s="145" t="s">
        <v>18</v>
      </c>
      <c r="U17" s="145" t="s">
        <v>18</v>
      </c>
      <c r="V17" s="145" t="s">
        <v>18</v>
      </c>
      <c r="W17" s="145" t="s">
        <v>18</v>
      </c>
      <c r="X17" s="145" t="s">
        <v>20</v>
      </c>
      <c r="Y17" s="145" t="s">
        <v>18</v>
      </c>
      <c r="Z17" s="148">
        <v>44952</v>
      </c>
      <c r="AA17" s="148">
        <v>46047</v>
      </c>
      <c r="AB17" s="141" t="s">
        <v>1394</v>
      </c>
      <c r="AC17" s="293">
        <v>22</v>
      </c>
      <c r="AD17" s="145" t="s">
        <v>18</v>
      </c>
      <c r="AE17" s="145" t="s">
        <v>18</v>
      </c>
      <c r="AF17" s="145"/>
      <c r="AG17" s="155" t="s">
        <v>17</v>
      </c>
      <c r="AH17" s="294" t="s">
        <v>2328</v>
      </c>
      <c r="AI17" s="198" t="s">
        <v>2327</v>
      </c>
      <c r="AJ17" s="195">
        <f>SUMIF('TK 15661.Bản quyền phim '!F:F,'KK1. Movies'!D17,'TK 15661.Bản quyền phim '!X:X)</f>
        <v>0</v>
      </c>
      <c r="AK17" s="195">
        <f>SUMIF('TK 15661.Bản quyền phim '!F:F,'KK1. Movies'!AI17,'TK 15661.Bản quyền phim '!X:X)</f>
        <v>0</v>
      </c>
      <c r="AL17" s="295">
        <f>COUNTIF('242.BQ Phim hợp tác'!$C:$C,'KK1. Movies'!AI17)</f>
        <v>0</v>
      </c>
      <c r="AM17" s="295">
        <f>COUNTIF('TK 15661.Bản quyền phim '!F:F,'KK1. Movies'!AI17)</f>
        <v>1</v>
      </c>
      <c r="AN17" s="296">
        <f t="shared" si="0"/>
        <v>1</v>
      </c>
      <c r="AO17" s="295"/>
      <c r="AP17" s="295"/>
      <c r="AQ17" s="295"/>
      <c r="AR17" s="295"/>
      <c r="AS17" s="295"/>
    </row>
    <row r="18" spans="1:45" s="296" customFormat="1" x14ac:dyDescent="0.3">
      <c r="A18" s="292">
        <f>_xlfn.AGGREGATE(3,3,$D$7:D18)</f>
        <v>12</v>
      </c>
      <c r="B18" s="143" t="s">
        <v>1402</v>
      </c>
      <c r="C18" s="144" t="s">
        <v>2326</v>
      </c>
      <c r="D18" s="160" t="s">
        <v>2324</v>
      </c>
      <c r="E18" s="166" t="s">
        <v>2325</v>
      </c>
      <c r="F18" s="164" t="s">
        <v>824</v>
      </c>
      <c r="G18" s="164" t="s">
        <v>198</v>
      </c>
      <c r="H18" s="164" t="s">
        <v>197</v>
      </c>
      <c r="I18" s="159">
        <v>2019</v>
      </c>
      <c r="J18" s="162" t="s">
        <v>196</v>
      </c>
      <c r="K18" s="159">
        <v>90</v>
      </c>
      <c r="L18" s="148">
        <v>45414</v>
      </c>
      <c r="M18" s="165">
        <v>46143</v>
      </c>
      <c r="N18" s="157">
        <v>45442</v>
      </c>
      <c r="O18" s="159" t="s">
        <v>553</v>
      </c>
      <c r="P18" s="159" t="s">
        <v>211</v>
      </c>
      <c r="Q18" s="159" t="s">
        <v>20</v>
      </c>
      <c r="R18" s="145" t="s">
        <v>18</v>
      </c>
      <c r="S18" s="159" t="s">
        <v>18</v>
      </c>
      <c r="T18" s="145" t="s">
        <v>18</v>
      </c>
      <c r="U18" s="159" t="s">
        <v>20</v>
      </c>
      <c r="V18" s="159" t="s">
        <v>20</v>
      </c>
      <c r="W18" s="159" t="s">
        <v>20</v>
      </c>
      <c r="X18" s="159" t="s">
        <v>20</v>
      </c>
      <c r="Y18" s="159" t="s">
        <v>18</v>
      </c>
      <c r="Z18" s="148">
        <v>45414</v>
      </c>
      <c r="AA18" s="165">
        <v>46143</v>
      </c>
      <c r="AB18" s="162">
        <v>6</v>
      </c>
      <c r="AC18" s="160">
        <v>4</v>
      </c>
      <c r="AD18" s="145" t="s">
        <v>18</v>
      </c>
      <c r="AE18" s="145" t="s">
        <v>18</v>
      </c>
      <c r="AF18" s="145"/>
      <c r="AG18" s="155" t="s">
        <v>17</v>
      </c>
      <c r="AH18" s="294"/>
      <c r="AI18" s="299" t="s">
        <v>2324</v>
      </c>
      <c r="AJ18" s="195">
        <f>SUMIF('TK 15661.Bản quyền phim '!F:F,'KK1. Movies'!D18,'TK 15661.Bản quyền phim '!X:X)</f>
        <v>0</v>
      </c>
      <c r="AK18" s="195">
        <f>SUMIF('TK 15661.Bản quyền phim '!F:F,'KK1. Movies'!AI18,'TK 15661.Bản quyền phim '!X:X)</f>
        <v>0</v>
      </c>
      <c r="AL18" s="295">
        <f>COUNTIF('242.BQ Phim hợp tác'!$C:$C,'KK1. Movies'!AI18)</f>
        <v>0</v>
      </c>
      <c r="AM18" s="295">
        <f>COUNTIF('TK 15661.Bản quyền phim '!F:F,'KK1. Movies'!AI18)</f>
        <v>1</v>
      </c>
      <c r="AN18" s="296">
        <f t="shared" si="0"/>
        <v>1</v>
      </c>
      <c r="AO18" s="295"/>
      <c r="AP18" s="295"/>
      <c r="AQ18" s="295"/>
      <c r="AR18" s="295"/>
      <c r="AS18" s="295"/>
    </row>
    <row r="19" spans="1:45" s="296" customFormat="1" x14ac:dyDescent="0.3">
      <c r="A19" s="292">
        <f>_xlfn.AGGREGATE(3,3,$D$7:D19)</f>
        <v>13</v>
      </c>
      <c r="B19" s="143" t="s">
        <v>1402</v>
      </c>
      <c r="C19" s="144" t="s">
        <v>2322</v>
      </c>
      <c r="D19" s="144" t="s">
        <v>2321</v>
      </c>
      <c r="E19" s="144" t="s">
        <v>2323</v>
      </c>
      <c r="F19" s="144" t="s">
        <v>511</v>
      </c>
      <c r="G19" s="144" t="s">
        <v>1697</v>
      </c>
      <c r="H19" s="170">
        <v>202104013</v>
      </c>
      <c r="I19" s="141">
        <v>2015</v>
      </c>
      <c r="J19" s="150" t="s">
        <v>219</v>
      </c>
      <c r="K19" s="141">
        <v>116</v>
      </c>
      <c r="L19" s="148">
        <v>44284</v>
      </c>
      <c r="M19" s="301">
        <v>46109</v>
      </c>
      <c r="N19" s="302">
        <v>44349</v>
      </c>
      <c r="O19" s="145" t="s">
        <v>584</v>
      </c>
      <c r="P19" s="145"/>
      <c r="Q19" s="145" t="s">
        <v>20</v>
      </c>
      <c r="R19" s="145" t="s">
        <v>18</v>
      </c>
      <c r="S19" s="145" t="s">
        <v>18</v>
      </c>
      <c r="T19" s="145" t="s">
        <v>18</v>
      </c>
      <c r="U19" s="145" t="s">
        <v>18</v>
      </c>
      <c r="V19" s="145" t="s">
        <v>18</v>
      </c>
      <c r="W19" s="145" t="s">
        <v>18</v>
      </c>
      <c r="X19" s="145" t="s">
        <v>18</v>
      </c>
      <c r="Y19" s="145" t="s">
        <v>18</v>
      </c>
      <c r="Z19" s="148">
        <v>44284</v>
      </c>
      <c r="AA19" s="301">
        <v>46109</v>
      </c>
      <c r="AB19" s="293">
        <v>50</v>
      </c>
      <c r="AC19" s="151">
        <v>34</v>
      </c>
      <c r="AD19" s="145" t="s">
        <v>18</v>
      </c>
      <c r="AE19" s="145" t="s">
        <v>18</v>
      </c>
      <c r="AF19" s="145"/>
      <c r="AG19" s="155" t="s">
        <v>17</v>
      </c>
      <c r="AH19" s="294" t="s">
        <v>2322</v>
      </c>
      <c r="AI19" s="299" t="s">
        <v>2321</v>
      </c>
      <c r="AJ19" s="195">
        <f>SUMIF('TK 15661.Bản quyền phim '!F:F,'KK1. Movies'!D19,'TK 15661.Bản quyền phim '!X:X)</f>
        <v>0</v>
      </c>
      <c r="AK19" s="195">
        <f>SUMIF('TK 15661.Bản quyền phim '!F:F,'KK1. Movies'!AI19,'TK 15661.Bản quyền phim '!X:X)</f>
        <v>0</v>
      </c>
      <c r="AL19" s="295">
        <f>COUNTIF('242.BQ Phim hợp tác'!$C:$C,'KK1. Movies'!AI19)</f>
        <v>0</v>
      </c>
      <c r="AM19" s="295">
        <f>COUNTIF('TK 15661.Bản quyền phim '!F:F,'KK1. Movies'!AI19)</f>
        <v>1</v>
      </c>
      <c r="AN19" s="296">
        <f t="shared" si="0"/>
        <v>1</v>
      </c>
      <c r="AO19" s="295"/>
      <c r="AP19" s="295"/>
      <c r="AQ19" s="295"/>
      <c r="AR19" s="295"/>
      <c r="AS19" s="295"/>
    </row>
    <row r="20" spans="1:45" s="296" customFormat="1" ht="26.4" x14ac:dyDescent="0.3">
      <c r="A20" s="292">
        <f>_xlfn.AGGREGATE(3,3,$D$7:D20)</f>
        <v>14</v>
      </c>
      <c r="B20" s="143" t="s">
        <v>1402</v>
      </c>
      <c r="C20" s="144" t="s">
        <v>2318</v>
      </c>
      <c r="D20" s="160" t="s">
        <v>2320</v>
      </c>
      <c r="E20" s="166" t="s">
        <v>2319</v>
      </c>
      <c r="F20" s="164" t="s">
        <v>824</v>
      </c>
      <c r="G20" s="164" t="s">
        <v>1515</v>
      </c>
      <c r="H20" s="164" t="s">
        <v>1514</v>
      </c>
      <c r="I20" s="159">
        <v>2020</v>
      </c>
      <c r="J20" s="162" t="s">
        <v>178</v>
      </c>
      <c r="K20" s="159">
        <v>95</v>
      </c>
      <c r="L20" s="148">
        <v>45443</v>
      </c>
      <c r="M20" s="148">
        <v>46537</v>
      </c>
      <c r="N20" s="157">
        <v>45443</v>
      </c>
      <c r="O20" s="145" t="s">
        <v>584</v>
      </c>
      <c r="P20" s="159" t="s">
        <v>1513</v>
      </c>
      <c r="Q20" s="159" t="s">
        <v>20</v>
      </c>
      <c r="R20" s="145" t="s">
        <v>18</v>
      </c>
      <c r="S20" s="159" t="s">
        <v>18</v>
      </c>
      <c r="T20" s="145" t="s">
        <v>18</v>
      </c>
      <c r="U20" s="159" t="s">
        <v>20</v>
      </c>
      <c r="V20" s="159" t="s">
        <v>18</v>
      </c>
      <c r="W20" s="159" t="s">
        <v>18</v>
      </c>
      <c r="X20" s="159" t="s">
        <v>20</v>
      </c>
      <c r="Y20" s="159" t="s">
        <v>20</v>
      </c>
      <c r="Z20" s="148">
        <v>45443</v>
      </c>
      <c r="AA20" s="148">
        <v>46537</v>
      </c>
      <c r="AB20" s="162" t="s">
        <v>130</v>
      </c>
      <c r="AC20" s="160">
        <v>14</v>
      </c>
      <c r="AD20" s="145" t="s">
        <v>18</v>
      </c>
      <c r="AE20" s="145" t="s">
        <v>18</v>
      </c>
      <c r="AF20" s="145"/>
      <c r="AG20" s="155" t="s">
        <v>17</v>
      </c>
      <c r="AH20" s="294" t="s">
        <v>2318</v>
      </c>
      <c r="AI20" s="198" t="s">
        <v>2317</v>
      </c>
      <c r="AJ20" s="195">
        <f>SUMIF('TK 15661.Bản quyền phim '!F:F,'KK1. Movies'!D20,'TK 15661.Bản quyền phim '!X:X)</f>
        <v>0</v>
      </c>
      <c r="AK20" s="195">
        <f>SUMIF('TK 15661.Bản quyền phim '!F:F,'KK1. Movies'!AI20,'TK 15661.Bản quyền phim '!X:X)</f>
        <v>33737936.666666679</v>
      </c>
      <c r="AL20" s="295">
        <f>COUNTIF('242.BQ Phim hợp tác'!$C:$C,'KK1. Movies'!AI20)</f>
        <v>0</v>
      </c>
      <c r="AM20" s="295">
        <f>COUNTIF('TK 15661.Bản quyền phim '!F:F,'KK1. Movies'!AI20)</f>
        <v>1</v>
      </c>
      <c r="AN20" s="296">
        <f t="shared" si="0"/>
        <v>1</v>
      </c>
      <c r="AO20" s="295"/>
      <c r="AP20" s="295"/>
      <c r="AQ20" s="295"/>
      <c r="AR20" s="295"/>
      <c r="AS20" s="295"/>
    </row>
    <row r="21" spans="1:45" s="296" customFormat="1" ht="26.4" x14ac:dyDescent="0.3">
      <c r="A21" s="292">
        <f>_xlfn.AGGREGATE(3,3,$D$7:D21)</f>
        <v>15</v>
      </c>
      <c r="B21" s="143" t="s">
        <v>1402</v>
      </c>
      <c r="C21" s="144" t="s">
        <v>2314</v>
      </c>
      <c r="D21" s="160" t="s">
        <v>2316</v>
      </c>
      <c r="E21" s="166" t="s">
        <v>2315</v>
      </c>
      <c r="F21" s="144" t="s">
        <v>381</v>
      </c>
      <c r="G21" s="158" t="s">
        <v>1324</v>
      </c>
      <c r="H21" s="144" t="s">
        <v>1449</v>
      </c>
      <c r="I21" s="159">
        <v>2022</v>
      </c>
      <c r="J21" s="150" t="s">
        <v>133</v>
      </c>
      <c r="K21" s="159">
        <v>90</v>
      </c>
      <c r="L21" s="148">
        <v>45566</v>
      </c>
      <c r="M21" s="161">
        <v>46660</v>
      </c>
      <c r="N21" s="157">
        <v>45589</v>
      </c>
      <c r="O21" s="145" t="s">
        <v>553</v>
      </c>
      <c r="P21" s="151">
        <v>12</v>
      </c>
      <c r="Q21" s="159" t="s">
        <v>20</v>
      </c>
      <c r="R21" s="145" t="s">
        <v>18</v>
      </c>
      <c r="S21" s="145" t="s">
        <v>18</v>
      </c>
      <c r="T21" s="145" t="s">
        <v>18</v>
      </c>
      <c r="U21" s="145" t="s">
        <v>18</v>
      </c>
      <c r="V21" s="145" t="s">
        <v>18</v>
      </c>
      <c r="W21" s="145" t="s">
        <v>18</v>
      </c>
      <c r="X21" s="159" t="s">
        <v>20</v>
      </c>
      <c r="Y21" s="159" t="s">
        <v>20</v>
      </c>
      <c r="Z21" s="148">
        <v>45566</v>
      </c>
      <c r="AA21" s="161">
        <v>46660</v>
      </c>
      <c r="AB21" s="145" t="s">
        <v>218</v>
      </c>
      <c r="AC21" s="293">
        <v>11</v>
      </c>
      <c r="AD21" s="145" t="s">
        <v>18</v>
      </c>
      <c r="AE21" s="145" t="s">
        <v>18</v>
      </c>
      <c r="AF21" s="155"/>
      <c r="AG21" s="155" t="s">
        <v>17</v>
      </c>
      <c r="AH21" s="294" t="s">
        <v>2314</v>
      </c>
      <c r="AI21" s="198" t="s">
        <v>2313</v>
      </c>
      <c r="AJ21" s="195">
        <f>SUMIF('TK 15661.Bản quyền phim '!F:F,'KK1. Movies'!D21,'TK 15661.Bản quyền phim '!X:X)</f>
        <v>0</v>
      </c>
      <c r="AK21" s="195">
        <f>SUMIF('TK 15661.Bản quyền phim '!F:F,'KK1. Movies'!AI21,'TK 15661.Bản quyền phim '!X:X)</f>
        <v>28571428.66666666</v>
      </c>
      <c r="AL21" s="295">
        <f>COUNTIF('242.BQ Phim hợp tác'!$C:$C,'KK1. Movies'!AI21)</f>
        <v>0</v>
      </c>
      <c r="AM21" s="295">
        <f>COUNTIF('TK 15661.Bản quyền phim '!F:F,'KK1. Movies'!AI21)</f>
        <v>1</v>
      </c>
      <c r="AN21" s="296">
        <f t="shared" si="0"/>
        <v>1</v>
      </c>
      <c r="AO21" s="295"/>
      <c r="AP21" s="295"/>
      <c r="AQ21" s="295"/>
      <c r="AR21" s="295"/>
      <c r="AS21" s="295"/>
    </row>
    <row r="22" spans="1:45" s="296" customFormat="1" ht="26.4" x14ac:dyDescent="0.3">
      <c r="A22" s="292">
        <f>_xlfn.AGGREGATE(3,3,$D$7:D22)</f>
        <v>16</v>
      </c>
      <c r="B22" s="143" t="s">
        <v>1402</v>
      </c>
      <c r="C22" s="144" t="s">
        <v>2312</v>
      </c>
      <c r="D22" s="160" t="s">
        <v>2310</v>
      </c>
      <c r="E22" s="166" t="s">
        <v>2311</v>
      </c>
      <c r="F22" s="144" t="s">
        <v>561</v>
      </c>
      <c r="G22" s="158" t="s">
        <v>1324</v>
      </c>
      <c r="H22" s="144" t="s">
        <v>1323</v>
      </c>
      <c r="I22" s="159">
        <v>2024</v>
      </c>
      <c r="J22" s="159" t="s">
        <v>196</v>
      </c>
      <c r="K22" s="159">
        <v>91</v>
      </c>
      <c r="L22" s="163">
        <v>45722</v>
      </c>
      <c r="M22" s="161">
        <v>46817</v>
      </c>
      <c r="N22" s="163"/>
      <c r="O22" s="145"/>
      <c r="P22" s="159">
        <v>12</v>
      </c>
      <c r="Q22" s="159" t="s">
        <v>20</v>
      </c>
      <c r="R22" s="159" t="s">
        <v>18</v>
      </c>
      <c r="S22" s="159" t="s">
        <v>18</v>
      </c>
      <c r="T22" s="145" t="s">
        <v>18</v>
      </c>
      <c r="U22" s="159" t="s">
        <v>18</v>
      </c>
      <c r="V22" s="159" t="s">
        <v>18</v>
      </c>
      <c r="W22" s="159" t="s">
        <v>18</v>
      </c>
      <c r="X22" s="159" t="s">
        <v>18</v>
      </c>
      <c r="Y22" s="159" t="s">
        <v>18</v>
      </c>
      <c r="Z22" s="161">
        <v>45722</v>
      </c>
      <c r="AA22" s="188">
        <v>46817</v>
      </c>
      <c r="AB22" s="159" t="s">
        <v>1322</v>
      </c>
      <c r="AC22" s="293">
        <v>8</v>
      </c>
      <c r="AD22" s="145" t="s">
        <v>18</v>
      </c>
      <c r="AE22" s="145" t="s">
        <v>18</v>
      </c>
      <c r="AF22" s="155"/>
      <c r="AG22" s="155" t="s">
        <v>17</v>
      </c>
      <c r="AH22" s="294"/>
      <c r="AI22" s="300" t="s">
        <v>2310</v>
      </c>
      <c r="AJ22" s="195">
        <f>SUMIF('TK 15661.Bản quyền phim '!F:F,'KK1. Movies'!D22,'TK 15661.Bản quyền phim '!X:X)</f>
        <v>60317460</v>
      </c>
      <c r="AK22" s="195">
        <f>SUMIF('TK 15661.Bản quyền phim '!F:F,'KK1. Movies'!AI22,'TK 15661.Bản quyền phim '!X:X)</f>
        <v>60317460</v>
      </c>
      <c r="AL22" s="295">
        <f>COUNTIF('242.BQ Phim hợp tác'!$C:$C,'KK1. Movies'!AI22)</f>
        <v>0</v>
      </c>
      <c r="AM22" s="295">
        <f>COUNTIF('TK 15661.Bản quyền phim '!F:F,'KK1. Movies'!AI22)</f>
        <v>1</v>
      </c>
      <c r="AN22" s="296">
        <f t="shared" si="0"/>
        <v>1</v>
      </c>
      <c r="AO22" s="295"/>
      <c r="AP22" s="295"/>
      <c r="AQ22" s="295"/>
      <c r="AR22" s="295"/>
      <c r="AS22" s="295"/>
    </row>
    <row r="23" spans="1:45" s="296" customFormat="1" x14ac:dyDescent="0.3">
      <c r="A23" s="292">
        <f>_xlfn.AGGREGATE(3,3,$D$7:D23)</f>
        <v>17</v>
      </c>
      <c r="B23" s="143" t="s">
        <v>1402</v>
      </c>
      <c r="C23" s="144" t="s">
        <v>2309</v>
      </c>
      <c r="D23" s="146" t="s">
        <v>2307</v>
      </c>
      <c r="E23" s="144" t="s">
        <v>2308</v>
      </c>
      <c r="F23" s="144" t="s">
        <v>511</v>
      </c>
      <c r="G23" s="303" t="s">
        <v>1372</v>
      </c>
      <c r="H23" s="144" t="s">
        <v>1415</v>
      </c>
      <c r="I23" s="297">
        <v>2020</v>
      </c>
      <c r="J23" s="150" t="s">
        <v>196</v>
      </c>
      <c r="K23" s="297">
        <v>90</v>
      </c>
      <c r="L23" s="148">
        <v>44937</v>
      </c>
      <c r="M23" s="163">
        <v>46032</v>
      </c>
      <c r="N23" s="157">
        <v>44937</v>
      </c>
      <c r="O23" s="309" t="s">
        <v>584</v>
      </c>
      <c r="P23" s="145" t="s">
        <v>1414</v>
      </c>
      <c r="Q23" s="150" t="s">
        <v>20</v>
      </c>
      <c r="R23" s="145" t="s">
        <v>18</v>
      </c>
      <c r="S23" s="145" t="s">
        <v>18</v>
      </c>
      <c r="T23" s="145" t="s">
        <v>18</v>
      </c>
      <c r="U23" s="145" t="s">
        <v>18</v>
      </c>
      <c r="V23" s="145" t="s">
        <v>18</v>
      </c>
      <c r="W23" s="145" t="s">
        <v>18</v>
      </c>
      <c r="X23" s="145" t="s">
        <v>18</v>
      </c>
      <c r="Y23" s="145" t="s">
        <v>18</v>
      </c>
      <c r="Z23" s="148">
        <v>44937</v>
      </c>
      <c r="AA23" s="163">
        <v>46032</v>
      </c>
      <c r="AB23" s="141">
        <v>24</v>
      </c>
      <c r="AC23" s="293">
        <v>21</v>
      </c>
      <c r="AD23" s="145" t="s">
        <v>18</v>
      </c>
      <c r="AE23" s="145" t="s">
        <v>18</v>
      </c>
      <c r="AF23" s="145"/>
      <c r="AG23" s="155" t="s">
        <v>17</v>
      </c>
      <c r="AH23" s="294"/>
      <c r="AI23" s="299" t="s">
        <v>2307</v>
      </c>
      <c r="AJ23" s="195">
        <f>SUMIF('TK 15661.Bản quyền phim '!F:F,'KK1. Movies'!D23,'TK 15661.Bản quyền phim '!X:X)</f>
        <v>0</v>
      </c>
      <c r="AK23" s="195">
        <f>SUMIF('TK 15661.Bản quyền phim '!F:F,'KK1. Movies'!AI23,'TK 15661.Bản quyền phim '!X:X)</f>
        <v>0</v>
      </c>
      <c r="AL23" s="295">
        <f>COUNTIF('242.BQ Phim hợp tác'!$C:$C,'KK1. Movies'!AI23)</f>
        <v>0</v>
      </c>
      <c r="AM23" s="295">
        <f>COUNTIF('TK 15661.Bản quyền phim '!F:F,'KK1. Movies'!AI23)</f>
        <v>1</v>
      </c>
      <c r="AN23" s="296">
        <f t="shared" si="0"/>
        <v>1</v>
      </c>
      <c r="AO23" s="295"/>
      <c r="AP23" s="295"/>
      <c r="AQ23" s="295"/>
      <c r="AR23" s="295"/>
      <c r="AS23" s="295"/>
    </row>
    <row r="24" spans="1:45" s="296" customFormat="1" ht="39.6" x14ac:dyDescent="0.3">
      <c r="A24" s="292">
        <f>_xlfn.AGGREGATE(3,3,$D$7:D24)</f>
        <v>18</v>
      </c>
      <c r="B24" s="143" t="s">
        <v>1422</v>
      </c>
      <c r="C24" s="144" t="s">
        <v>2306</v>
      </c>
      <c r="D24" s="160" t="s">
        <v>2304</v>
      </c>
      <c r="E24" s="144" t="s">
        <v>2305</v>
      </c>
      <c r="F24" s="144" t="s">
        <v>1013</v>
      </c>
      <c r="G24" s="164" t="s">
        <v>1649</v>
      </c>
      <c r="H24" s="144" t="s">
        <v>1648</v>
      </c>
      <c r="I24" s="159">
        <v>2019</v>
      </c>
      <c r="J24" s="159" t="s">
        <v>178</v>
      </c>
      <c r="K24" s="159">
        <v>120</v>
      </c>
      <c r="L24" s="148">
        <v>45338</v>
      </c>
      <c r="M24" s="161">
        <v>46433</v>
      </c>
      <c r="N24" s="157">
        <v>45338</v>
      </c>
      <c r="O24" s="145" t="s">
        <v>584</v>
      </c>
      <c r="P24" s="145"/>
      <c r="Q24" s="159" t="s">
        <v>20</v>
      </c>
      <c r="R24" s="145" t="s">
        <v>18</v>
      </c>
      <c r="S24" s="145" t="s">
        <v>18</v>
      </c>
      <c r="T24" s="145" t="s">
        <v>18</v>
      </c>
      <c r="U24" s="145" t="s">
        <v>18</v>
      </c>
      <c r="V24" s="145" t="s">
        <v>18</v>
      </c>
      <c r="W24" s="145" t="s">
        <v>18</v>
      </c>
      <c r="X24" s="145" t="s">
        <v>18</v>
      </c>
      <c r="Y24" s="162" t="s">
        <v>20</v>
      </c>
      <c r="Z24" s="148">
        <v>45338</v>
      </c>
      <c r="AA24" s="161">
        <v>46433</v>
      </c>
      <c r="AB24" s="159">
        <v>24</v>
      </c>
      <c r="AC24" s="293">
        <v>18</v>
      </c>
      <c r="AD24" s="145" t="s">
        <v>18</v>
      </c>
      <c r="AE24" s="145" t="s">
        <v>18</v>
      </c>
      <c r="AF24" s="145"/>
      <c r="AG24" s="155" t="s">
        <v>17</v>
      </c>
      <c r="AH24" s="294"/>
      <c r="AI24" s="300" t="s">
        <v>2304</v>
      </c>
      <c r="AJ24" s="195">
        <f>SUMIF('TK 15661.Bản quyền phim '!F:F,'KK1. Movies'!D24,'TK 15661.Bản quyền phim '!X:X)</f>
        <v>29462698.33333334</v>
      </c>
      <c r="AK24" s="195">
        <f>SUMIF('TK 15661.Bản quyền phim '!F:F,'KK1. Movies'!AI24,'TK 15661.Bản quyền phim '!X:X)</f>
        <v>29462698.33333334</v>
      </c>
      <c r="AL24" s="295">
        <f>COUNTIF('242.BQ Phim hợp tác'!$C:$C,'KK1. Movies'!AI24)</f>
        <v>0</v>
      </c>
      <c r="AM24" s="295">
        <f>COUNTIF('TK 15661.Bản quyền phim '!F:F,'KK1. Movies'!AI24)</f>
        <v>1</v>
      </c>
      <c r="AN24" s="296">
        <f t="shared" si="0"/>
        <v>1</v>
      </c>
      <c r="AO24" s="295"/>
      <c r="AP24" s="295"/>
      <c r="AQ24" s="295"/>
      <c r="AR24" s="295"/>
      <c r="AS24" s="295"/>
    </row>
    <row r="25" spans="1:45" s="296" customFormat="1" ht="26.4" x14ac:dyDescent="0.3">
      <c r="A25" s="292">
        <f>_xlfn.AGGREGATE(3,3,$D$7:D25)</f>
        <v>19</v>
      </c>
      <c r="B25" s="166" t="s">
        <v>1402</v>
      </c>
      <c r="C25" s="341" t="s">
        <v>2303</v>
      </c>
      <c r="D25" s="146" t="s">
        <v>2301</v>
      </c>
      <c r="E25" s="144" t="s">
        <v>2302</v>
      </c>
      <c r="F25" s="144" t="s">
        <v>1013</v>
      </c>
      <c r="G25" s="303" t="s">
        <v>1056</v>
      </c>
      <c r="H25" s="144" t="s">
        <v>1479</v>
      </c>
      <c r="I25" s="297">
        <v>2018</v>
      </c>
      <c r="J25" s="150" t="s">
        <v>196</v>
      </c>
      <c r="K25" s="297">
        <v>111</v>
      </c>
      <c r="L25" s="148">
        <v>44930</v>
      </c>
      <c r="M25" s="163">
        <v>46025</v>
      </c>
      <c r="N25" s="157">
        <v>44930</v>
      </c>
      <c r="O25" s="309" t="s">
        <v>584</v>
      </c>
      <c r="P25" s="145" t="s">
        <v>1478</v>
      </c>
      <c r="Q25" s="150" t="s">
        <v>20</v>
      </c>
      <c r="R25" s="145" t="s">
        <v>18</v>
      </c>
      <c r="S25" s="145" t="s">
        <v>18</v>
      </c>
      <c r="T25" s="145" t="s">
        <v>18</v>
      </c>
      <c r="U25" s="145" t="s">
        <v>18</v>
      </c>
      <c r="V25" s="145" t="s">
        <v>18</v>
      </c>
      <c r="W25" s="145" t="s">
        <v>18</v>
      </c>
      <c r="X25" s="145" t="s">
        <v>18</v>
      </c>
      <c r="Y25" s="145" t="s">
        <v>18</v>
      </c>
      <c r="Z25" s="148">
        <v>44930</v>
      </c>
      <c r="AA25" s="163">
        <v>46025</v>
      </c>
      <c r="AB25" s="141" t="s">
        <v>1394</v>
      </c>
      <c r="AC25" s="293">
        <v>27</v>
      </c>
      <c r="AD25" s="145" t="s">
        <v>18</v>
      </c>
      <c r="AE25" s="145" t="s">
        <v>18</v>
      </c>
      <c r="AF25" s="150"/>
      <c r="AG25" s="155" t="s">
        <v>17</v>
      </c>
      <c r="AH25" s="294"/>
      <c r="AI25" s="144" t="s">
        <v>2301</v>
      </c>
      <c r="AJ25" s="195">
        <f>SUMIF('TK 15661.Bản quyền phim '!F:F,'KK1. Movies'!D25,'TK 15661.Bản quyền phim '!X:X)</f>
        <v>0</v>
      </c>
      <c r="AK25" s="195">
        <f>SUMIF('TK 15661.Bản quyền phim '!F:F,'KK1. Movies'!AI25,'TK 15661.Bản quyền phim '!X:X)</f>
        <v>0</v>
      </c>
      <c r="AL25" s="295">
        <f>COUNTIF('242.BQ Phim hợp tác'!$C:$C,'KK1. Movies'!AI25)</f>
        <v>0</v>
      </c>
      <c r="AM25" s="295">
        <f>COUNTIF('TK 15661.Bản quyền phim '!F:F,'KK1. Movies'!AI25)</f>
        <v>1</v>
      </c>
      <c r="AN25" s="296">
        <f t="shared" si="0"/>
        <v>1</v>
      </c>
      <c r="AO25" s="295"/>
      <c r="AP25" s="295"/>
      <c r="AQ25" s="295"/>
      <c r="AR25" s="295"/>
      <c r="AS25" s="295"/>
    </row>
    <row r="26" spans="1:45" s="296" customFormat="1" ht="26.4" x14ac:dyDescent="0.3">
      <c r="A26" s="292">
        <f>_xlfn.AGGREGATE(3,3,$D$7:D26)</f>
        <v>20</v>
      </c>
      <c r="B26" s="143" t="s">
        <v>1402</v>
      </c>
      <c r="C26" s="144" t="s">
        <v>2300</v>
      </c>
      <c r="D26" s="146" t="s">
        <v>2299</v>
      </c>
      <c r="E26" s="144" t="s">
        <v>2298</v>
      </c>
      <c r="F26" s="144" t="s">
        <v>511</v>
      </c>
      <c r="G26" s="143" t="s">
        <v>1324</v>
      </c>
      <c r="H26" s="144" t="s">
        <v>1418</v>
      </c>
      <c r="I26" s="297">
        <v>2016</v>
      </c>
      <c r="J26" s="150" t="s">
        <v>196</v>
      </c>
      <c r="K26" s="297">
        <v>112</v>
      </c>
      <c r="L26" s="148">
        <v>45275</v>
      </c>
      <c r="M26" s="148">
        <v>46370</v>
      </c>
      <c r="N26" s="152">
        <v>45275</v>
      </c>
      <c r="O26" s="309" t="s">
        <v>584</v>
      </c>
      <c r="P26" s="141">
        <v>12</v>
      </c>
      <c r="Q26" s="145" t="s">
        <v>20</v>
      </c>
      <c r="R26" s="145" t="s">
        <v>18</v>
      </c>
      <c r="S26" s="145" t="s">
        <v>18</v>
      </c>
      <c r="T26" s="145" t="s">
        <v>18</v>
      </c>
      <c r="U26" s="145" t="s">
        <v>18</v>
      </c>
      <c r="V26" s="145" t="s">
        <v>18</v>
      </c>
      <c r="W26" s="145" t="s">
        <v>18</v>
      </c>
      <c r="X26" s="145" t="s">
        <v>20</v>
      </c>
      <c r="Y26" s="145" t="s">
        <v>18</v>
      </c>
      <c r="Z26" s="148">
        <v>45275</v>
      </c>
      <c r="AA26" s="148">
        <v>46370</v>
      </c>
      <c r="AB26" s="141" t="s">
        <v>1394</v>
      </c>
      <c r="AC26" s="293">
        <v>23</v>
      </c>
      <c r="AD26" s="145" t="s">
        <v>18</v>
      </c>
      <c r="AE26" s="145" t="s">
        <v>18</v>
      </c>
      <c r="AF26" s="145"/>
      <c r="AG26" s="155" t="s">
        <v>17</v>
      </c>
      <c r="AH26" s="294"/>
      <c r="AI26" s="198" t="s">
        <v>2297</v>
      </c>
      <c r="AJ26" s="195">
        <f>SUMIF('TK 15661.Bản quyền phim '!F:F,'KK1. Movies'!D26,'TK 15661.Bản quyền phim '!X:X)</f>
        <v>0</v>
      </c>
      <c r="AK26" s="195">
        <f>SUMIF('TK 15661.Bản quyền phim '!F:F,'KK1. Movies'!AI26,'TK 15661.Bản quyền phim '!X:X)</f>
        <v>0</v>
      </c>
      <c r="AL26" s="295">
        <f>COUNTIF('242.BQ Phim hợp tác'!$C:$C,'KK1. Movies'!AI26)</f>
        <v>0</v>
      </c>
      <c r="AM26" s="295">
        <f>COUNTIF('TK 15661.Bản quyền phim '!F:F,'KK1. Movies'!AI26)</f>
        <v>1</v>
      </c>
      <c r="AN26" s="296">
        <f t="shared" si="0"/>
        <v>1</v>
      </c>
      <c r="AO26" s="295"/>
      <c r="AP26" s="295"/>
      <c r="AQ26" s="295"/>
      <c r="AR26" s="295"/>
      <c r="AS26" s="295"/>
    </row>
    <row r="27" spans="1:45" s="296" customFormat="1" ht="26.4" x14ac:dyDescent="0.3">
      <c r="A27" s="292">
        <f>_xlfn.AGGREGATE(3,3,$D$7:D27)</f>
        <v>21</v>
      </c>
      <c r="B27" s="143" t="s">
        <v>1402</v>
      </c>
      <c r="C27" s="144" t="s">
        <v>2296</v>
      </c>
      <c r="D27" s="146" t="s">
        <v>2293</v>
      </c>
      <c r="E27" s="144" t="s">
        <v>2295</v>
      </c>
      <c r="F27" s="144" t="s">
        <v>511</v>
      </c>
      <c r="G27" s="143" t="s">
        <v>1389</v>
      </c>
      <c r="H27" s="144" t="s">
        <v>1388</v>
      </c>
      <c r="I27" s="297">
        <v>2019</v>
      </c>
      <c r="J27" s="145" t="s">
        <v>2294</v>
      </c>
      <c r="K27" s="297">
        <v>96</v>
      </c>
      <c r="L27" s="148">
        <v>45161</v>
      </c>
      <c r="M27" s="153">
        <v>46256</v>
      </c>
      <c r="N27" s="152">
        <v>45161</v>
      </c>
      <c r="O27" s="309" t="s">
        <v>584</v>
      </c>
      <c r="P27" s="145" t="s">
        <v>1387</v>
      </c>
      <c r="Q27" s="145" t="s">
        <v>20</v>
      </c>
      <c r="R27" s="145" t="s">
        <v>18</v>
      </c>
      <c r="S27" s="159" t="s">
        <v>20</v>
      </c>
      <c r="T27" s="145" t="s">
        <v>18</v>
      </c>
      <c r="U27" s="145" t="s">
        <v>18</v>
      </c>
      <c r="V27" s="145" t="s">
        <v>18</v>
      </c>
      <c r="W27" s="145" t="s">
        <v>18</v>
      </c>
      <c r="X27" s="145" t="s">
        <v>18</v>
      </c>
      <c r="Y27" s="145" t="s">
        <v>20</v>
      </c>
      <c r="Z27" s="148">
        <v>45161</v>
      </c>
      <c r="AA27" s="153">
        <v>46256</v>
      </c>
      <c r="AB27" s="293">
        <v>24</v>
      </c>
      <c r="AC27" s="293">
        <v>15</v>
      </c>
      <c r="AD27" s="145" t="s">
        <v>18</v>
      </c>
      <c r="AE27" s="145" t="s">
        <v>18</v>
      </c>
      <c r="AF27" s="145"/>
      <c r="AG27" s="155" t="s">
        <v>17</v>
      </c>
      <c r="AH27" s="294"/>
      <c r="AI27" s="299" t="s">
        <v>2293</v>
      </c>
      <c r="AJ27" s="195">
        <f>SUMIF('TK 15661.Bản quyền phim '!F:F,'KK1. Movies'!D27,'TK 15661.Bản quyền phim '!X:X)</f>
        <v>0</v>
      </c>
      <c r="AK27" s="195">
        <f>SUMIF('TK 15661.Bản quyền phim '!F:F,'KK1. Movies'!AI27,'TK 15661.Bản quyền phim '!X:X)</f>
        <v>0</v>
      </c>
      <c r="AL27" s="295">
        <f>COUNTIF('242.BQ Phim hợp tác'!$C:$C,'KK1. Movies'!AI27)</f>
        <v>0</v>
      </c>
      <c r="AM27" s="295">
        <f>COUNTIF('TK 15661.Bản quyền phim '!F:F,'KK1. Movies'!AI27)</f>
        <v>1</v>
      </c>
      <c r="AN27" s="296">
        <f t="shared" si="0"/>
        <v>1</v>
      </c>
      <c r="AO27" s="295"/>
      <c r="AP27" s="295"/>
      <c r="AQ27" s="295"/>
      <c r="AR27" s="295"/>
      <c r="AS27" s="295"/>
    </row>
    <row r="28" spans="1:45" s="296" customFormat="1" ht="26.4" x14ac:dyDescent="0.3">
      <c r="A28" s="292">
        <f>_xlfn.AGGREGATE(3,3,$D$7:D28)</f>
        <v>22</v>
      </c>
      <c r="B28" s="143" t="s">
        <v>1402</v>
      </c>
      <c r="C28" s="144" t="s">
        <v>2292</v>
      </c>
      <c r="D28" s="160" t="s">
        <v>2291</v>
      </c>
      <c r="E28" s="166" t="s">
        <v>2290</v>
      </c>
      <c r="F28" s="164" t="s">
        <v>381</v>
      </c>
      <c r="G28" s="158" t="s">
        <v>1324</v>
      </c>
      <c r="H28" s="144" t="s">
        <v>1449</v>
      </c>
      <c r="I28" s="159">
        <v>2021</v>
      </c>
      <c r="J28" s="150" t="s">
        <v>133</v>
      </c>
      <c r="K28" s="159">
        <v>99</v>
      </c>
      <c r="L28" s="148">
        <v>45358</v>
      </c>
      <c r="M28" s="161">
        <v>46452</v>
      </c>
      <c r="N28" s="157">
        <v>45358</v>
      </c>
      <c r="O28" s="145" t="s">
        <v>553</v>
      </c>
      <c r="P28" s="151">
        <v>12</v>
      </c>
      <c r="Q28" s="159" t="s">
        <v>20</v>
      </c>
      <c r="R28" s="145" t="s">
        <v>18</v>
      </c>
      <c r="S28" s="145" t="s">
        <v>18</v>
      </c>
      <c r="T28" s="145" t="s">
        <v>18</v>
      </c>
      <c r="U28" s="145" t="s">
        <v>18</v>
      </c>
      <c r="V28" s="145" t="s">
        <v>18</v>
      </c>
      <c r="W28" s="145" t="s">
        <v>18</v>
      </c>
      <c r="X28" s="159" t="s">
        <v>20</v>
      </c>
      <c r="Y28" s="145" t="s">
        <v>18</v>
      </c>
      <c r="Z28" s="148">
        <v>45358</v>
      </c>
      <c r="AA28" s="161">
        <v>46452</v>
      </c>
      <c r="AB28" s="145" t="s">
        <v>218</v>
      </c>
      <c r="AC28" s="293">
        <v>18</v>
      </c>
      <c r="AD28" s="145" t="s">
        <v>18</v>
      </c>
      <c r="AE28" s="145" t="s">
        <v>18</v>
      </c>
      <c r="AF28" s="155"/>
      <c r="AG28" s="155" t="s">
        <v>17</v>
      </c>
      <c r="AH28" s="294"/>
      <c r="AI28" s="300" t="s">
        <v>2289</v>
      </c>
      <c r="AJ28" s="195">
        <f>SUMIF('TK 15661.Bản quyền phim '!F:F,'KK1. Movies'!D28,'TK 15661.Bản quyền phim '!X:X)</f>
        <v>0</v>
      </c>
      <c r="AK28" s="195">
        <f>SUMIF('TK 15661.Bản quyền phim '!F:F,'KK1. Movies'!AI28,'TK 15661.Bản quyền phim '!X:X)</f>
        <v>19047619</v>
      </c>
      <c r="AL28" s="295">
        <f>COUNTIF('242.BQ Phim hợp tác'!$C:$C,'KK1. Movies'!AI28)</f>
        <v>0</v>
      </c>
      <c r="AM28" s="295">
        <f>COUNTIF('TK 15661.Bản quyền phim '!F:F,'KK1. Movies'!AI28)</f>
        <v>1</v>
      </c>
      <c r="AN28" s="296">
        <f t="shared" si="0"/>
        <v>1</v>
      </c>
      <c r="AO28" s="295"/>
      <c r="AP28" s="295"/>
      <c r="AQ28" s="295"/>
      <c r="AR28" s="295"/>
      <c r="AS28" s="295"/>
    </row>
    <row r="29" spans="1:45" s="296" customFormat="1" ht="26.4" x14ac:dyDescent="0.3">
      <c r="A29" s="292">
        <f>_xlfn.AGGREGATE(3,3,$D$7:D29)</f>
        <v>23</v>
      </c>
      <c r="B29" s="143" t="s">
        <v>1422</v>
      </c>
      <c r="C29" s="144" t="s">
        <v>2288</v>
      </c>
      <c r="D29" s="146" t="s">
        <v>2287</v>
      </c>
      <c r="E29" s="144" t="s">
        <v>2286</v>
      </c>
      <c r="F29" s="143" t="s">
        <v>350</v>
      </c>
      <c r="G29" s="143" t="s">
        <v>1324</v>
      </c>
      <c r="H29" s="144" t="s">
        <v>1418</v>
      </c>
      <c r="I29" s="297">
        <v>2016</v>
      </c>
      <c r="J29" s="150" t="s">
        <v>196</v>
      </c>
      <c r="K29" s="297">
        <v>100</v>
      </c>
      <c r="L29" s="148">
        <v>45281</v>
      </c>
      <c r="M29" s="148">
        <v>46376</v>
      </c>
      <c r="N29" s="152">
        <v>45281</v>
      </c>
      <c r="O29" s="309" t="s">
        <v>584</v>
      </c>
      <c r="P29" s="141">
        <v>12</v>
      </c>
      <c r="Q29" s="145" t="s">
        <v>20</v>
      </c>
      <c r="R29" s="145" t="s">
        <v>18</v>
      </c>
      <c r="S29" s="145" t="s">
        <v>18</v>
      </c>
      <c r="T29" s="145" t="s">
        <v>18</v>
      </c>
      <c r="U29" s="145" t="s">
        <v>18</v>
      </c>
      <c r="V29" s="145" t="s">
        <v>18</v>
      </c>
      <c r="W29" s="145" t="s">
        <v>18</v>
      </c>
      <c r="X29" s="159" t="s">
        <v>20</v>
      </c>
      <c r="Y29" s="145" t="s">
        <v>18</v>
      </c>
      <c r="Z29" s="148">
        <v>45281</v>
      </c>
      <c r="AA29" s="148">
        <v>46376</v>
      </c>
      <c r="AB29" s="141" t="s">
        <v>1394</v>
      </c>
      <c r="AC29" s="293">
        <v>16</v>
      </c>
      <c r="AD29" s="145" t="s">
        <v>18</v>
      </c>
      <c r="AE29" s="145" t="s">
        <v>18</v>
      </c>
      <c r="AF29" s="155"/>
      <c r="AG29" s="155" t="s">
        <v>17</v>
      </c>
      <c r="AH29" s="294"/>
      <c r="AI29" s="300" t="s">
        <v>2285</v>
      </c>
      <c r="AJ29" s="195">
        <f>SUMIF('TK 15661.Bản quyền phim '!F:F,'KK1. Movies'!D29,'TK 15661.Bản quyền phim '!X:X)</f>
        <v>0</v>
      </c>
      <c r="AK29" s="195">
        <f>SUMIF('TK 15661.Bản quyền phim '!F:F,'KK1. Movies'!AI29,'TK 15661.Bản quyền phim '!X:X)</f>
        <v>0</v>
      </c>
      <c r="AL29" s="295">
        <f>COUNTIF('242.BQ Phim hợp tác'!$C:$C,'KK1. Movies'!AI29)</f>
        <v>0</v>
      </c>
      <c r="AM29" s="295">
        <f>COUNTIF('TK 15661.Bản quyền phim '!F:F,'KK1. Movies'!AI29)</f>
        <v>1</v>
      </c>
      <c r="AN29" s="296">
        <f t="shared" si="0"/>
        <v>1</v>
      </c>
      <c r="AO29" s="295"/>
      <c r="AP29" s="295"/>
      <c r="AQ29" s="295"/>
      <c r="AR29" s="295"/>
      <c r="AS29" s="295"/>
    </row>
    <row r="30" spans="1:45" s="296" customFormat="1" ht="52.8" x14ac:dyDescent="0.3">
      <c r="A30" s="292">
        <f>_xlfn.AGGREGATE(3,3,$D$7:D30)</f>
        <v>24</v>
      </c>
      <c r="B30" s="143" t="s">
        <v>1422</v>
      </c>
      <c r="C30" s="144" t="s">
        <v>2284</v>
      </c>
      <c r="D30" s="160" t="s">
        <v>2282</v>
      </c>
      <c r="E30" s="166" t="s">
        <v>2283</v>
      </c>
      <c r="F30" s="144" t="s">
        <v>350</v>
      </c>
      <c r="G30" s="158" t="s">
        <v>1592</v>
      </c>
      <c r="H30" s="144" t="s">
        <v>1591</v>
      </c>
      <c r="I30" s="159">
        <v>2010</v>
      </c>
      <c r="J30" s="150" t="s">
        <v>196</v>
      </c>
      <c r="K30" s="159">
        <v>118</v>
      </c>
      <c r="L30" s="148">
        <v>45505</v>
      </c>
      <c r="M30" s="161">
        <v>46234</v>
      </c>
      <c r="N30" s="157">
        <v>45602</v>
      </c>
      <c r="O30" s="145" t="s">
        <v>584</v>
      </c>
      <c r="P30" s="145"/>
      <c r="Q30" s="159" t="s">
        <v>20</v>
      </c>
      <c r="R30" s="145" t="s">
        <v>18</v>
      </c>
      <c r="S30" s="145" t="s">
        <v>18</v>
      </c>
      <c r="T30" s="145" t="s">
        <v>18</v>
      </c>
      <c r="U30" s="159" t="s">
        <v>20</v>
      </c>
      <c r="V30" s="159" t="s">
        <v>20</v>
      </c>
      <c r="W30" s="159" t="s">
        <v>20</v>
      </c>
      <c r="X30" s="159" t="s">
        <v>20</v>
      </c>
      <c r="Y30" s="159" t="s">
        <v>20</v>
      </c>
      <c r="Z30" s="148">
        <v>45505</v>
      </c>
      <c r="AA30" s="161">
        <v>46234</v>
      </c>
      <c r="AB30" s="162">
        <v>7</v>
      </c>
      <c r="AC30" s="293">
        <v>2</v>
      </c>
      <c r="AD30" s="145" t="s">
        <v>18</v>
      </c>
      <c r="AE30" s="145" t="s">
        <v>18</v>
      </c>
      <c r="AF30" s="145"/>
      <c r="AG30" s="155" t="s">
        <v>17</v>
      </c>
      <c r="AH30" s="294"/>
      <c r="AI30" s="299" t="s">
        <v>2282</v>
      </c>
      <c r="AJ30" s="195">
        <f>SUMIF('TK 15661.Bản quyền phim '!F:F,'KK1. Movies'!D30,'TK 15661.Bản quyền phim '!X:X)</f>
        <v>0</v>
      </c>
      <c r="AK30" s="195">
        <f>SUMIF('TK 15661.Bản quyền phim '!F:F,'KK1. Movies'!AI30,'TK 15661.Bản quyền phim '!X:X)</f>
        <v>0</v>
      </c>
      <c r="AL30" s="295">
        <f>COUNTIF('242.BQ Phim hợp tác'!$C:$C,'KK1. Movies'!AI30)</f>
        <v>0</v>
      </c>
      <c r="AM30" s="295">
        <f>COUNTIF('TK 15661.Bản quyền phim '!F:F,'KK1. Movies'!AI30)</f>
        <v>1</v>
      </c>
      <c r="AN30" s="296">
        <f t="shared" si="0"/>
        <v>1</v>
      </c>
      <c r="AO30" s="295"/>
      <c r="AP30" s="295"/>
      <c r="AQ30" s="295"/>
      <c r="AR30" s="295"/>
      <c r="AS30" s="295"/>
    </row>
    <row r="31" spans="1:45" s="296" customFormat="1" ht="26.4" x14ac:dyDescent="0.3">
      <c r="A31" s="292">
        <f>_xlfn.AGGREGATE(3,3,$D$7:D31)</f>
        <v>25</v>
      </c>
      <c r="B31" s="143" t="s">
        <v>1422</v>
      </c>
      <c r="C31" s="144" t="s">
        <v>2281</v>
      </c>
      <c r="D31" s="146" t="s">
        <v>2279</v>
      </c>
      <c r="E31" s="144" t="s">
        <v>2280</v>
      </c>
      <c r="F31" s="144" t="s">
        <v>385</v>
      </c>
      <c r="G31" s="143" t="s">
        <v>1389</v>
      </c>
      <c r="H31" s="144" t="s">
        <v>1388</v>
      </c>
      <c r="I31" s="297">
        <v>2020</v>
      </c>
      <c r="J31" s="145" t="s">
        <v>196</v>
      </c>
      <c r="K31" s="297">
        <v>99</v>
      </c>
      <c r="L31" s="148">
        <v>45197</v>
      </c>
      <c r="M31" s="153">
        <v>46292</v>
      </c>
      <c r="N31" s="152">
        <v>45197</v>
      </c>
      <c r="O31" s="309" t="s">
        <v>584</v>
      </c>
      <c r="P31" s="145" t="s">
        <v>1387</v>
      </c>
      <c r="Q31" s="145" t="s">
        <v>20</v>
      </c>
      <c r="R31" s="145" t="s">
        <v>18</v>
      </c>
      <c r="S31" s="145" t="s">
        <v>20</v>
      </c>
      <c r="T31" s="145" t="s">
        <v>18</v>
      </c>
      <c r="U31" s="145" t="s">
        <v>18</v>
      </c>
      <c r="V31" s="145" t="s">
        <v>18</v>
      </c>
      <c r="W31" s="145" t="s">
        <v>18</v>
      </c>
      <c r="X31" s="145" t="s">
        <v>18</v>
      </c>
      <c r="Y31" s="145" t="s">
        <v>20</v>
      </c>
      <c r="Z31" s="148">
        <v>45197</v>
      </c>
      <c r="AA31" s="153">
        <v>46292</v>
      </c>
      <c r="AB31" s="293">
        <v>24</v>
      </c>
      <c r="AC31" s="293">
        <v>14</v>
      </c>
      <c r="AD31" s="145" t="s">
        <v>18</v>
      </c>
      <c r="AE31" s="145" t="s">
        <v>18</v>
      </c>
      <c r="AF31" s="145"/>
      <c r="AG31" s="155" t="s">
        <v>17</v>
      </c>
      <c r="AH31" s="294"/>
      <c r="AI31" s="299" t="s">
        <v>2279</v>
      </c>
      <c r="AJ31" s="195">
        <f>SUMIF('TK 15661.Bản quyền phim '!F:F,'KK1. Movies'!D31,'TK 15661.Bản quyền phim '!X:X)</f>
        <v>0</v>
      </c>
      <c r="AK31" s="195">
        <f>SUMIF('TK 15661.Bản quyền phim '!F:F,'KK1. Movies'!AI31,'TK 15661.Bản quyền phim '!X:X)</f>
        <v>0</v>
      </c>
      <c r="AL31" s="295">
        <f>COUNTIF('242.BQ Phim hợp tác'!$C:$C,'KK1. Movies'!AI31)</f>
        <v>0</v>
      </c>
      <c r="AM31" s="295">
        <f>COUNTIF('TK 15661.Bản quyền phim '!F:F,'KK1. Movies'!AI31)</f>
        <v>1</v>
      </c>
      <c r="AN31" s="296">
        <f t="shared" si="0"/>
        <v>1</v>
      </c>
      <c r="AO31" s="295"/>
      <c r="AP31" s="295"/>
      <c r="AQ31" s="295"/>
      <c r="AR31" s="295"/>
      <c r="AS31" s="295"/>
    </row>
    <row r="32" spans="1:45" s="296" customFormat="1" ht="26.4" x14ac:dyDescent="0.3">
      <c r="A32" s="292">
        <f>_xlfn.AGGREGATE(3,3,$D$7:D32)</f>
        <v>26</v>
      </c>
      <c r="B32" s="342" t="s">
        <v>1402</v>
      </c>
      <c r="C32" s="144" t="s">
        <v>2278</v>
      </c>
      <c r="D32" s="160" t="s">
        <v>2276</v>
      </c>
      <c r="E32" s="166" t="s">
        <v>2277</v>
      </c>
      <c r="F32" s="164" t="s">
        <v>824</v>
      </c>
      <c r="G32" s="343" t="s">
        <v>198</v>
      </c>
      <c r="H32" s="164" t="s">
        <v>197</v>
      </c>
      <c r="I32" s="159">
        <v>2022</v>
      </c>
      <c r="J32" s="162" t="s">
        <v>196</v>
      </c>
      <c r="K32" s="159">
        <v>96</v>
      </c>
      <c r="L32" s="148">
        <v>45554</v>
      </c>
      <c r="M32" s="165">
        <v>46283</v>
      </c>
      <c r="N32" s="157">
        <v>45554</v>
      </c>
      <c r="O32" s="159" t="s">
        <v>553</v>
      </c>
      <c r="P32" s="159" t="s">
        <v>1513</v>
      </c>
      <c r="Q32" s="159" t="s">
        <v>20</v>
      </c>
      <c r="R32" s="145" t="s">
        <v>18</v>
      </c>
      <c r="S32" s="159" t="s">
        <v>18</v>
      </c>
      <c r="T32" s="145" t="s">
        <v>18</v>
      </c>
      <c r="U32" s="159" t="s">
        <v>20</v>
      </c>
      <c r="V32" s="159" t="s">
        <v>20</v>
      </c>
      <c r="W32" s="159" t="s">
        <v>20</v>
      </c>
      <c r="X32" s="159" t="s">
        <v>20</v>
      </c>
      <c r="Y32" s="159" t="s">
        <v>18</v>
      </c>
      <c r="Z32" s="148">
        <v>45554</v>
      </c>
      <c r="AA32" s="165">
        <v>46283</v>
      </c>
      <c r="AB32" s="162">
        <v>6</v>
      </c>
      <c r="AC32" s="160">
        <v>3</v>
      </c>
      <c r="AD32" s="145" t="s">
        <v>18</v>
      </c>
      <c r="AE32" s="145" t="s">
        <v>18</v>
      </c>
      <c r="AF32" s="145"/>
      <c r="AG32" s="155" t="s">
        <v>17</v>
      </c>
      <c r="AH32" s="294"/>
      <c r="AI32" s="299" t="s">
        <v>2276</v>
      </c>
      <c r="AJ32" s="195">
        <f>SUMIF('TK 15661.Bản quyền phim '!F:F,'KK1. Movies'!D32,'TK 15661.Bản quyền phim '!X:X)</f>
        <v>0</v>
      </c>
      <c r="AK32" s="195">
        <f>SUMIF('TK 15661.Bản quyền phim '!F:F,'KK1. Movies'!AI32,'TK 15661.Bản quyền phim '!X:X)</f>
        <v>0</v>
      </c>
      <c r="AL32" s="295">
        <f>COUNTIF('242.BQ Phim hợp tác'!$C:$C,'KK1. Movies'!AI32)</f>
        <v>0</v>
      </c>
      <c r="AM32" s="295">
        <f>COUNTIF('TK 15661.Bản quyền phim '!F:F,'KK1. Movies'!AI32)</f>
        <v>1</v>
      </c>
      <c r="AN32" s="296">
        <f t="shared" si="0"/>
        <v>1</v>
      </c>
      <c r="AO32" s="295"/>
      <c r="AP32" s="295"/>
      <c r="AQ32" s="295"/>
      <c r="AR32" s="295"/>
      <c r="AS32" s="295"/>
    </row>
    <row r="33" spans="1:45" s="296" customFormat="1" ht="26.4" x14ac:dyDescent="0.3">
      <c r="A33" s="292">
        <f>_xlfn.AGGREGATE(3,3,$D$7:D33)</f>
        <v>27</v>
      </c>
      <c r="B33" s="143" t="s">
        <v>1402</v>
      </c>
      <c r="C33" s="144" t="s">
        <v>2275</v>
      </c>
      <c r="D33" s="160" t="s">
        <v>2273</v>
      </c>
      <c r="E33" s="144" t="s">
        <v>2274</v>
      </c>
      <c r="F33" s="144" t="s">
        <v>350</v>
      </c>
      <c r="G33" s="164" t="s">
        <v>1372</v>
      </c>
      <c r="H33" s="144" t="s">
        <v>1530</v>
      </c>
      <c r="I33" s="162">
        <v>2014</v>
      </c>
      <c r="J33" s="162" t="s">
        <v>1634</v>
      </c>
      <c r="K33" s="162">
        <v>96</v>
      </c>
      <c r="L33" s="148">
        <v>45385</v>
      </c>
      <c r="M33" s="165">
        <v>46479</v>
      </c>
      <c r="N33" s="157">
        <v>45506</v>
      </c>
      <c r="O33" s="145" t="s">
        <v>584</v>
      </c>
      <c r="P33" s="159">
        <v>12</v>
      </c>
      <c r="Q33" s="162" t="s">
        <v>20</v>
      </c>
      <c r="R33" s="145" t="s">
        <v>18</v>
      </c>
      <c r="S33" s="145" t="s">
        <v>18</v>
      </c>
      <c r="T33" s="145" t="s">
        <v>18</v>
      </c>
      <c r="U33" s="145" t="s">
        <v>18</v>
      </c>
      <c r="V33" s="145" t="s">
        <v>18</v>
      </c>
      <c r="W33" s="145" t="s">
        <v>18</v>
      </c>
      <c r="X33" s="145" t="s">
        <v>18</v>
      </c>
      <c r="Y33" s="159" t="s">
        <v>20</v>
      </c>
      <c r="Z33" s="148">
        <v>45385</v>
      </c>
      <c r="AA33" s="165">
        <v>46479</v>
      </c>
      <c r="AB33" s="162">
        <v>24</v>
      </c>
      <c r="AC33" s="293">
        <v>14</v>
      </c>
      <c r="AD33" s="145" t="s">
        <v>18</v>
      </c>
      <c r="AE33" s="145" t="s">
        <v>18</v>
      </c>
      <c r="AF33" s="145"/>
      <c r="AG33" s="155" t="s">
        <v>17</v>
      </c>
      <c r="AH33" s="294"/>
      <c r="AI33" s="300" t="s">
        <v>2273</v>
      </c>
      <c r="AJ33" s="195">
        <f>SUMIF('TK 15661.Bản quyền phim '!F:F,'KK1. Movies'!D33,'TK 15661.Bản quyền phim '!X:X)</f>
        <v>33333492</v>
      </c>
      <c r="AK33" s="195">
        <f>SUMIF('TK 15661.Bản quyền phim '!F:F,'KK1. Movies'!AI33,'TK 15661.Bản quyền phim '!X:X)</f>
        <v>33333492</v>
      </c>
      <c r="AL33" s="295">
        <f>COUNTIF('242.BQ Phim hợp tác'!$C:$C,'KK1. Movies'!AI33)</f>
        <v>0</v>
      </c>
      <c r="AM33" s="295">
        <f>COUNTIF('TK 15661.Bản quyền phim '!F:F,'KK1. Movies'!AI33)</f>
        <v>1</v>
      </c>
      <c r="AN33" s="296">
        <f t="shared" si="0"/>
        <v>1</v>
      </c>
      <c r="AO33" s="295"/>
      <c r="AP33" s="295"/>
      <c r="AQ33" s="295"/>
      <c r="AR33" s="295"/>
      <c r="AS33" s="295"/>
    </row>
    <row r="34" spans="1:45" s="296" customFormat="1" x14ac:dyDescent="0.3">
      <c r="A34" s="292">
        <f>_xlfn.AGGREGATE(3,3,$D$7:D34)</f>
        <v>28</v>
      </c>
      <c r="B34" s="143" t="s">
        <v>1402</v>
      </c>
      <c r="C34" s="341" t="s">
        <v>2272</v>
      </c>
      <c r="D34" s="160" t="s">
        <v>2270</v>
      </c>
      <c r="E34" s="166" t="s">
        <v>2271</v>
      </c>
      <c r="F34" s="164" t="s">
        <v>381</v>
      </c>
      <c r="G34" s="164" t="s">
        <v>198</v>
      </c>
      <c r="H34" s="164" t="s">
        <v>197</v>
      </c>
      <c r="I34" s="159">
        <v>2016</v>
      </c>
      <c r="J34" s="162" t="s">
        <v>196</v>
      </c>
      <c r="K34" s="162">
        <v>90</v>
      </c>
      <c r="L34" s="148">
        <v>45596</v>
      </c>
      <c r="M34" s="165">
        <v>46325</v>
      </c>
      <c r="N34" s="157">
        <v>45596</v>
      </c>
      <c r="O34" s="159" t="s">
        <v>553</v>
      </c>
      <c r="P34" s="159"/>
      <c r="Q34" s="159" t="s">
        <v>20</v>
      </c>
      <c r="R34" s="145" t="s">
        <v>18</v>
      </c>
      <c r="S34" s="159" t="s">
        <v>18</v>
      </c>
      <c r="T34" s="145" t="s">
        <v>18</v>
      </c>
      <c r="U34" s="159" t="s">
        <v>20</v>
      </c>
      <c r="V34" s="159" t="s">
        <v>20</v>
      </c>
      <c r="W34" s="159" t="s">
        <v>20</v>
      </c>
      <c r="X34" s="159" t="s">
        <v>20</v>
      </c>
      <c r="Y34" s="159" t="s">
        <v>18</v>
      </c>
      <c r="Z34" s="148">
        <v>45596</v>
      </c>
      <c r="AA34" s="165">
        <v>46325</v>
      </c>
      <c r="AB34" s="162">
        <v>6</v>
      </c>
      <c r="AC34" s="160">
        <v>2</v>
      </c>
      <c r="AD34" s="145" t="s">
        <v>18</v>
      </c>
      <c r="AE34" s="145" t="s">
        <v>18</v>
      </c>
      <c r="AF34" s="145"/>
      <c r="AG34" s="155" t="s">
        <v>17</v>
      </c>
      <c r="AH34" s="294"/>
      <c r="AI34" s="299" t="s">
        <v>2270</v>
      </c>
      <c r="AJ34" s="195">
        <f>SUMIF('TK 15661.Bản quyền phim '!F:F,'KK1. Movies'!D34,'TK 15661.Bản quyền phim '!X:X)</f>
        <v>0</v>
      </c>
      <c r="AK34" s="195">
        <f>SUMIF('TK 15661.Bản quyền phim '!F:F,'KK1. Movies'!AI34,'TK 15661.Bản quyền phim '!X:X)</f>
        <v>0</v>
      </c>
      <c r="AL34" s="295">
        <f>COUNTIF('242.BQ Phim hợp tác'!$C:$C,'KK1. Movies'!AI34)</f>
        <v>0</v>
      </c>
      <c r="AM34" s="295">
        <f>COUNTIF('TK 15661.Bản quyền phim '!F:F,'KK1. Movies'!AI34)</f>
        <v>1</v>
      </c>
      <c r="AN34" s="296">
        <f t="shared" si="0"/>
        <v>1</v>
      </c>
      <c r="AO34" s="295"/>
      <c r="AP34" s="295"/>
      <c r="AQ34" s="295"/>
      <c r="AR34" s="295"/>
      <c r="AS34" s="295"/>
    </row>
    <row r="35" spans="1:45" s="296" customFormat="1" x14ac:dyDescent="0.3">
      <c r="A35" s="292">
        <f>_xlfn.AGGREGATE(3,3,$D$7:D35)</f>
        <v>29</v>
      </c>
      <c r="B35" s="143" t="s">
        <v>1402</v>
      </c>
      <c r="C35" s="341" t="s">
        <v>2269</v>
      </c>
      <c r="D35" s="160" t="s">
        <v>2267</v>
      </c>
      <c r="E35" s="166" t="s">
        <v>2268</v>
      </c>
      <c r="F35" s="164" t="s">
        <v>824</v>
      </c>
      <c r="G35" s="164" t="s">
        <v>198</v>
      </c>
      <c r="H35" s="164" t="s">
        <v>197</v>
      </c>
      <c r="I35" s="159">
        <v>2022</v>
      </c>
      <c r="J35" s="162" t="s">
        <v>196</v>
      </c>
      <c r="K35" s="159">
        <v>136</v>
      </c>
      <c r="L35" s="148">
        <v>45513</v>
      </c>
      <c r="M35" s="183">
        <v>46242</v>
      </c>
      <c r="N35" s="157">
        <v>45513</v>
      </c>
      <c r="O35" s="145" t="s">
        <v>584</v>
      </c>
      <c r="P35" s="168">
        <v>12</v>
      </c>
      <c r="Q35" s="159" t="s">
        <v>20</v>
      </c>
      <c r="R35" s="145" t="s">
        <v>18</v>
      </c>
      <c r="S35" s="159" t="s">
        <v>18</v>
      </c>
      <c r="T35" s="145" t="s">
        <v>18</v>
      </c>
      <c r="U35" s="159" t="s">
        <v>20</v>
      </c>
      <c r="V35" s="159" t="s">
        <v>20</v>
      </c>
      <c r="W35" s="159" t="s">
        <v>20</v>
      </c>
      <c r="X35" s="159" t="s">
        <v>20</v>
      </c>
      <c r="Y35" s="159" t="s">
        <v>18</v>
      </c>
      <c r="Z35" s="148">
        <v>45513</v>
      </c>
      <c r="AA35" s="183">
        <v>46242</v>
      </c>
      <c r="AB35" s="162">
        <v>6</v>
      </c>
      <c r="AC35" s="160">
        <v>3</v>
      </c>
      <c r="AD35" s="145" t="s">
        <v>18</v>
      </c>
      <c r="AE35" s="145" t="s">
        <v>18</v>
      </c>
      <c r="AF35" s="145"/>
      <c r="AG35" s="155" t="s">
        <v>17</v>
      </c>
      <c r="AH35" s="294"/>
      <c r="AI35" s="299" t="s">
        <v>2267</v>
      </c>
      <c r="AJ35" s="195">
        <f>SUMIF('TK 15661.Bản quyền phim '!F:F,'KK1. Movies'!D35,'TK 15661.Bản quyền phim '!X:X)</f>
        <v>0</v>
      </c>
      <c r="AK35" s="195">
        <f>SUMIF('TK 15661.Bản quyền phim '!F:F,'KK1. Movies'!AI35,'TK 15661.Bản quyền phim '!X:X)</f>
        <v>0</v>
      </c>
      <c r="AL35" s="295">
        <f>COUNTIF('242.BQ Phim hợp tác'!$C:$C,'KK1. Movies'!AI35)</f>
        <v>0</v>
      </c>
      <c r="AM35" s="295">
        <f>COUNTIF('TK 15661.Bản quyền phim '!F:F,'KK1. Movies'!AI35)</f>
        <v>1</v>
      </c>
      <c r="AN35" s="296">
        <f t="shared" si="0"/>
        <v>1</v>
      </c>
      <c r="AO35" s="295"/>
      <c r="AP35" s="295"/>
      <c r="AQ35" s="295"/>
      <c r="AR35" s="295"/>
      <c r="AS35" s="295"/>
    </row>
    <row r="36" spans="1:45" s="296" customFormat="1" ht="26.4" x14ac:dyDescent="0.3">
      <c r="A36" s="292">
        <f>_xlfn.AGGREGATE(3,3,$D$7:D36)</f>
        <v>30</v>
      </c>
      <c r="B36" s="143" t="s">
        <v>1402</v>
      </c>
      <c r="C36" s="144" t="s">
        <v>2266</v>
      </c>
      <c r="D36" s="146" t="s">
        <v>2264</v>
      </c>
      <c r="E36" s="144" t="s">
        <v>2265</v>
      </c>
      <c r="F36" s="143" t="s">
        <v>350</v>
      </c>
      <c r="G36" s="303" t="s">
        <v>1056</v>
      </c>
      <c r="H36" s="144" t="s">
        <v>1479</v>
      </c>
      <c r="I36" s="297">
        <v>2020</v>
      </c>
      <c r="J36" s="150" t="s">
        <v>133</v>
      </c>
      <c r="K36" s="297">
        <v>130</v>
      </c>
      <c r="L36" s="148">
        <v>44938</v>
      </c>
      <c r="M36" s="163">
        <v>46033</v>
      </c>
      <c r="N36" s="157">
        <v>44938</v>
      </c>
      <c r="O36" s="309" t="s">
        <v>584</v>
      </c>
      <c r="P36" s="145" t="s">
        <v>1478</v>
      </c>
      <c r="Q36" s="150" t="s">
        <v>20</v>
      </c>
      <c r="R36" s="145" t="s">
        <v>18</v>
      </c>
      <c r="S36" s="145" t="s">
        <v>18</v>
      </c>
      <c r="T36" s="145" t="s">
        <v>18</v>
      </c>
      <c r="U36" s="145" t="s">
        <v>18</v>
      </c>
      <c r="V36" s="145" t="s">
        <v>18</v>
      </c>
      <c r="W36" s="145" t="s">
        <v>18</v>
      </c>
      <c r="X36" s="145" t="s">
        <v>18</v>
      </c>
      <c r="Y36" s="145" t="s">
        <v>18</v>
      </c>
      <c r="Z36" s="148">
        <v>44938</v>
      </c>
      <c r="AA36" s="163">
        <v>46033</v>
      </c>
      <c r="AB36" s="141" t="s">
        <v>1394</v>
      </c>
      <c r="AC36" s="293">
        <v>26</v>
      </c>
      <c r="AD36" s="145" t="s">
        <v>18</v>
      </c>
      <c r="AE36" s="145" t="s">
        <v>18</v>
      </c>
      <c r="AF36" s="146"/>
      <c r="AG36" s="155" t="s">
        <v>17</v>
      </c>
      <c r="AH36" s="294"/>
      <c r="AI36" s="299" t="s">
        <v>2264</v>
      </c>
      <c r="AJ36" s="195">
        <f>SUMIF('TK 15661.Bản quyền phim '!F:F,'KK1. Movies'!D36,'TK 15661.Bản quyền phim '!X:X)</f>
        <v>0</v>
      </c>
      <c r="AK36" s="195">
        <f>SUMIF('TK 15661.Bản quyền phim '!F:F,'KK1. Movies'!AI36,'TK 15661.Bản quyền phim '!X:X)</f>
        <v>0</v>
      </c>
      <c r="AL36" s="295">
        <f>COUNTIF('242.BQ Phim hợp tác'!$C:$C,'KK1. Movies'!AI36)</f>
        <v>0</v>
      </c>
      <c r="AM36" s="295">
        <f>COUNTIF('TK 15661.Bản quyền phim '!F:F,'KK1. Movies'!AI36)</f>
        <v>1</v>
      </c>
      <c r="AN36" s="296">
        <f t="shared" si="0"/>
        <v>1</v>
      </c>
      <c r="AO36" s="295"/>
      <c r="AP36" s="295"/>
      <c r="AQ36" s="295"/>
      <c r="AR36" s="295"/>
      <c r="AS36" s="295"/>
    </row>
    <row r="37" spans="1:45" s="296" customFormat="1" ht="26.4" x14ac:dyDescent="0.3">
      <c r="A37" s="292">
        <f>_xlfn.AGGREGATE(3,3,$D$7:D37)</f>
        <v>31</v>
      </c>
      <c r="B37" s="143" t="s">
        <v>1392</v>
      </c>
      <c r="C37" s="341" t="s">
        <v>2263</v>
      </c>
      <c r="D37" s="178" t="s">
        <v>2262</v>
      </c>
      <c r="E37" s="166" t="s">
        <v>2261</v>
      </c>
      <c r="F37" s="144" t="s">
        <v>385</v>
      </c>
      <c r="G37" s="158" t="s">
        <v>1324</v>
      </c>
      <c r="H37" s="144" t="s">
        <v>1449</v>
      </c>
      <c r="I37" s="159">
        <v>2021</v>
      </c>
      <c r="J37" s="150" t="s">
        <v>161</v>
      </c>
      <c r="K37" s="159">
        <v>82</v>
      </c>
      <c r="L37" s="148">
        <v>45304</v>
      </c>
      <c r="M37" s="161">
        <v>46399</v>
      </c>
      <c r="N37" s="157">
        <v>45304</v>
      </c>
      <c r="O37" s="145" t="s">
        <v>132</v>
      </c>
      <c r="P37" s="151">
        <v>12</v>
      </c>
      <c r="Q37" s="159" t="s">
        <v>20</v>
      </c>
      <c r="R37" s="145" t="s">
        <v>18</v>
      </c>
      <c r="S37" s="145" t="s">
        <v>18</v>
      </c>
      <c r="T37" s="159" t="s">
        <v>18</v>
      </c>
      <c r="U37" s="145" t="s">
        <v>18</v>
      </c>
      <c r="V37" s="145" t="s">
        <v>18</v>
      </c>
      <c r="W37" s="145" t="s">
        <v>18</v>
      </c>
      <c r="X37" s="159" t="s">
        <v>20</v>
      </c>
      <c r="Y37" s="145" t="s">
        <v>18</v>
      </c>
      <c r="Z37" s="148">
        <v>45304</v>
      </c>
      <c r="AA37" s="161">
        <v>46399</v>
      </c>
      <c r="AB37" s="145" t="s">
        <v>218</v>
      </c>
      <c r="AC37" s="293">
        <v>31</v>
      </c>
      <c r="AD37" s="145" t="s">
        <v>18</v>
      </c>
      <c r="AE37" s="145" t="s">
        <v>18</v>
      </c>
      <c r="AF37" s="145"/>
      <c r="AG37" s="155" t="s">
        <v>17</v>
      </c>
      <c r="AH37" s="294"/>
      <c r="AI37" s="300" t="s">
        <v>2260</v>
      </c>
      <c r="AJ37" s="195">
        <f>SUMIF('TK 15661.Bản quyền phim '!F:F,'KK1. Movies'!D37,'TK 15661.Bản quyền phim '!X:X)</f>
        <v>0</v>
      </c>
      <c r="AK37" s="195">
        <f>SUMIF('TK 15661.Bản quyền phim '!F:F,'KK1. Movies'!AI37,'TK 15661.Bản quyền phim '!X:X)</f>
        <v>19047619</v>
      </c>
      <c r="AL37" s="295">
        <f>COUNTIF('242.BQ Phim hợp tác'!$C:$C,'KK1. Movies'!AI37)</f>
        <v>0</v>
      </c>
      <c r="AM37" s="295">
        <f>COUNTIF('TK 15661.Bản quyền phim '!F:F,'KK1. Movies'!AI37)</f>
        <v>1</v>
      </c>
      <c r="AN37" s="296">
        <f t="shared" si="0"/>
        <v>1</v>
      </c>
      <c r="AO37" s="295"/>
      <c r="AP37" s="295"/>
      <c r="AQ37" s="295"/>
      <c r="AR37" s="295"/>
      <c r="AS37" s="295"/>
    </row>
    <row r="38" spans="1:45" s="296" customFormat="1" x14ac:dyDescent="0.3">
      <c r="A38" s="292">
        <f>_xlfn.AGGREGATE(3,3,$D$7:D38)</f>
        <v>32</v>
      </c>
      <c r="B38" s="166" t="s">
        <v>1402</v>
      </c>
      <c r="C38" s="144" t="s">
        <v>2259</v>
      </c>
      <c r="D38" s="146" t="s">
        <v>2258</v>
      </c>
      <c r="E38" s="155" t="s">
        <v>2257</v>
      </c>
      <c r="F38" s="143" t="s">
        <v>350</v>
      </c>
      <c r="G38" s="143" t="s">
        <v>1074</v>
      </c>
      <c r="H38" s="144" t="s">
        <v>1581</v>
      </c>
      <c r="I38" s="297">
        <v>2016</v>
      </c>
      <c r="J38" s="150" t="s">
        <v>133</v>
      </c>
      <c r="K38" s="297">
        <v>127</v>
      </c>
      <c r="L38" s="148">
        <v>45147</v>
      </c>
      <c r="M38" s="153">
        <v>46242</v>
      </c>
      <c r="N38" s="152">
        <v>45226</v>
      </c>
      <c r="O38" s="309" t="s">
        <v>584</v>
      </c>
      <c r="P38" s="154" t="s">
        <v>1580</v>
      </c>
      <c r="Q38" s="145" t="s">
        <v>18</v>
      </c>
      <c r="R38" s="145" t="s">
        <v>18</v>
      </c>
      <c r="S38" s="159" t="s">
        <v>20</v>
      </c>
      <c r="T38" s="145" t="s">
        <v>18</v>
      </c>
      <c r="U38" s="145" t="s">
        <v>18</v>
      </c>
      <c r="V38" s="145" t="s">
        <v>18</v>
      </c>
      <c r="W38" s="145" t="s">
        <v>18</v>
      </c>
      <c r="X38" s="145" t="s">
        <v>18</v>
      </c>
      <c r="Y38" s="145" t="s">
        <v>20</v>
      </c>
      <c r="Z38" s="148">
        <v>45147</v>
      </c>
      <c r="AA38" s="153">
        <v>46242</v>
      </c>
      <c r="AB38" s="141" t="s">
        <v>1394</v>
      </c>
      <c r="AC38" s="293">
        <v>15</v>
      </c>
      <c r="AD38" s="145" t="s">
        <v>18</v>
      </c>
      <c r="AE38" s="145" t="s">
        <v>18</v>
      </c>
      <c r="AF38" s="155"/>
      <c r="AG38" s="155" t="s">
        <v>17</v>
      </c>
      <c r="AH38" s="294"/>
      <c r="AI38" s="198" t="s">
        <v>2256</v>
      </c>
      <c r="AJ38" s="195">
        <f>SUMIF('TK 15661.Bản quyền phim '!F:F,'KK1. Movies'!D38,'TK 15661.Bản quyền phim '!X:X)</f>
        <v>0</v>
      </c>
      <c r="AK38" s="195">
        <f>SUMIF('TK 15661.Bản quyền phim '!F:F,'KK1. Movies'!AI38,'TK 15661.Bản quyền phim '!X:X)</f>
        <v>0</v>
      </c>
      <c r="AL38" s="295">
        <f>COUNTIF('242.BQ Phim hợp tác'!$C:$C,'KK1. Movies'!AI38)</f>
        <v>0</v>
      </c>
      <c r="AM38" s="295">
        <f>COUNTIF('TK 15661.Bản quyền phim '!F:F,'KK1. Movies'!AI38)</f>
        <v>1</v>
      </c>
      <c r="AN38" s="296">
        <f t="shared" si="0"/>
        <v>1</v>
      </c>
      <c r="AO38" s="295"/>
      <c r="AP38" s="295"/>
      <c r="AQ38" s="295"/>
      <c r="AR38" s="295"/>
      <c r="AS38" s="295"/>
    </row>
    <row r="39" spans="1:45" s="296" customFormat="1" ht="39.6" x14ac:dyDescent="0.3">
      <c r="A39" s="292">
        <f>_xlfn.AGGREGATE(3,3,$D$7:D39)</f>
        <v>33</v>
      </c>
      <c r="B39" s="143" t="s">
        <v>1392</v>
      </c>
      <c r="C39" s="341" t="s">
        <v>2255</v>
      </c>
      <c r="D39" s="146" t="s">
        <v>2254</v>
      </c>
      <c r="E39" s="155" t="s">
        <v>2253</v>
      </c>
      <c r="F39" s="144" t="s">
        <v>385</v>
      </c>
      <c r="G39" s="143" t="s">
        <v>1389</v>
      </c>
      <c r="H39" s="144" t="s">
        <v>1635</v>
      </c>
      <c r="I39" s="297">
        <v>2020</v>
      </c>
      <c r="J39" s="145" t="s">
        <v>320</v>
      </c>
      <c r="K39" s="297">
        <v>80</v>
      </c>
      <c r="L39" s="148">
        <v>45206</v>
      </c>
      <c r="M39" s="153">
        <v>46301</v>
      </c>
      <c r="N39" s="157">
        <v>45206</v>
      </c>
      <c r="O39" s="145" t="s">
        <v>132</v>
      </c>
      <c r="P39" s="145" t="s">
        <v>1387</v>
      </c>
      <c r="Q39" s="150" t="s">
        <v>20</v>
      </c>
      <c r="R39" s="145" t="s">
        <v>18</v>
      </c>
      <c r="S39" s="145" t="s">
        <v>18</v>
      </c>
      <c r="T39" s="145" t="s">
        <v>18</v>
      </c>
      <c r="U39" s="145" t="s">
        <v>18</v>
      </c>
      <c r="V39" s="145" t="s">
        <v>18</v>
      </c>
      <c r="W39" s="145" t="s">
        <v>18</v>
      </c>
      <c r="X39" s="145" t="s">
        <v>18</v>
      </c>
      <c r="Y39" s="145" t="s">
        <v>20</v>
      </c>
      <c r="Z39" s="148">
        <v>45206</v>
      </c>
      <c r="AA39" s="153">
        <v>46301</v>
      </c>
      <c r="AB39" s="141">
        <v>24</v>
      </c>
      <c r="AC39" s="293">
        <v>16</v>
      </c>
      <c r="AD39" s="145" t="s">
        <v>18</v>
      </c>
      <c r="AE39" s="145" t="s">
        <v>18</v>
      </c>
      <c r="AF39" s="145"/>
      <c r="AG39" s="155" t="s">
        <v>17</v>
      </c>
      <c r="AH39" s="294"/>
      <c r="AI39" s="300" t="s">
        <v>2252</v>
      </c>
      <c r="AJ39" s="195">
        <f>SUMIF('TK 15661.Bản quyền phim '!F:F,'KK1. Movies'!D39,'TK 15661.Bản quyền phim '!X:X)</f>
        <v>0</v>
      </c>
      <c r="AK39" s="195">
        <f>SUMIF('TK 15661.Bản quyền phim '!F:F,'KK1. Movies'!AI39,'TK 15661.Bản quyền phim '!X:X)</f>
        <v>0</v>
      </c>
      <c r="AL39" s="295">
        <f>COUNTIF('242.BQ Phim hợp tác'!$C:$C,'KK1. Movies'!AI39)</f>
        <v>0</v>
      </c>
      <c r="AM39" s="295">
        <f>COUNTIF('TK 15661.Bản quyền phim '!F:F,'KK1. Movies'!AI39)</f>
        <v>1</v>
      </c>
      <c r="AN39" s="296">
        <f t="shared" si="0"/>
        <v>1</v>
      </c>
      <c r="AO39" s="295"/>
      <c r="AP39" s="295"/>
      <c r="AQ39" s="295"/>
      <c r="AR39" s="295"/>
      <c r="AS39" s="295"/>
    </row>
    <row r="40" spans="1:45" s="296" customFormat="1" ht="26.4" x14ac:dyDescent="0.3">
      <c r="A40" s="292">
        <f>_xlfn.AGGREGATE(3,3,$D$7:D40)</f>
        <v>34</v>
      </c>
      <c r="B40" s="143" t="s">
        <v>1402</v>
      </c>
      <c r="C40" s="144" t="s">
        <v>2251</v>
      </c>
      <c r="D40" s="146" t="s">
        <v>2249</v>
      </c>
      <c r="E40" s="144" t="s">
        <v>2250</v>
      </c>
      <c r="F40" s="144" t="s">
        <v>1013</v>
      </c>
      <c r="G40" s="143" t="s">
        <v>1389</v>
      </c>
      <c r="H40" s="144" t="s">
        <v>1388</v>
      </c>
      <c r="I40" s="297">
        <v>2021</v>
      </c>
      <c r="J40" s="145" t="s">
        <v>196</v>
      </c>
      <c r="K40" s="297">
        <v>103</v>
      </c>
      <c r="L40" s="148">
        <v>45133</v>
      </c>
      <c r="M40" s="153">
        <v>46228</v>
      </c>
      <c r="N40" s="152">
        <v>45133</v>
      </c>
      <c r="O40" s="309" t="s">
        <v>584</v>
      </c>
      <c r="P40" s="145" t="s">
        <v>1387</v>
      </c>
      <c r="Q40" s="145" t="s">
        <v>20</v>
      </c>
      <c r="R40" s="145" t="s">
        <v>18</v>
      </c>
      <c r="S40" s="145" t="s">
        <v>20</v>
      </c>
      <c r="T40" s="145" t="s">
        <v>18</v>
      </c>
      <c r="U40" s="145" t="s">
        <v>18</v>
      </c>
      <c r="V40" s="145" t="s">
        <v>18</v>
      </c>
      <c r="W40" s="145" t="s">
        <v>18</v>
      </c>
      <c r="X40" s="145" t="s">
        <v>18</v>
      </c>
      <c r="Y40" s="145" t="s">
        <v>20</v>
      </c>
      <c r="Z40" s="148">
        <v>45133</v>
      </c>
      <c r="AA40" s="153">
        <v>46228</v>
      </c>
      <c r="AB40" s="293">
        <v>24</v>
      </c>
      <c r="AC40" s="293">
        <v>15</v>
      </c>
      <c r="AD40" s="145" t="s">
        <v>18</v>
      </c>
      <c r="AE40" s="145" t="s">
        <v>18</v>
      </c>
      <c r="AF40" s="155"/>
      <c r="AG40" s="155" t="s">
        <v>17</v>
      </c>
      <c r="AH40" s="294"/>
      <c r="AI40" s="299" t="s">
        <v>2249</v>
      </c>
      <c r="AJ40" s="195">
        <f>SUMIF('TK 15661.Bản quyền phim '!F:F,'KK1. Movies'!D40,'TK 15661.Bản quyền phim '!X:X)</f>
        <v>0</v>
      </c>
      <c r="AK40" s="195">
        <f>SUMIF('TK 15661.Bản quyền phim '!F:F,'KK1. Movies'!AI40,'TK 15661.Bản quyền phim '!X:X)</f>
        <v>0</v>
      </c>
      <c r="AL40" s="295">
        <f>COUNTIF('242.BQ Phim hợp tác'!$C:$C,'KK1. Movies'!AI40)</f>
        <v>0</v>
      </c>
      <c r="AM40" s="295">
        <f>COUNTIF('TK 15661.Bản quyền phim '!F:F,'KK1. Movies'!AI40)</f>
        <v>1</v>
      </c>
      <c r="AN40" s="296">
        <f t="shared" si="0"/>
        <v>1</v>
      </c>
      <c r="AO40" s="295"/>
      <c r="AP40" s="295"/>
      <c r="AQ40" s="295"/>
      <c r="AR40" s="295"/>
      <c r="AS40" s="295"/>
    </row>
    <row r="41" spans="1:45" s="296" customFormat="1" x14ac:dyDescent="0.3">
      <c r="A41" s="292">
        <f>_xlfn.AGGREGATE(3,3,$D$7:D41)</f>
        <v>35</v>
      </c>
      <c r="B41" s="143" t="s">
        <v>1402</v>
      </c>
      <c r="C41" s="144" t="s">
        <v>2248</v>
      </c>
      <c r="D41" s="160" t="s">
        <v>2246</v>
      </c>
      <c r="E41" s="142" t="s">
        <v>2247</v>
      </c>
      <c r="F41" s="144" t="s">
        <v>381</v>
      </c>
      <c r="G41" s="164" t="s">
        <v>1649</v>
      </c>
      <c r="H41" s="144" t="s">
        <v>1648</v>
      </c>
      <c r="I41" s="159">
        <v>2023</v>
      </c>
      <c r="J41" s="159" t="s">
        <v>196</v>
      </c>
      <c r="K41" s="159">
        <v>93</v>
      </c>
      <c r="L41" s="148">
        <v>45575</v>
      </c>
      <c r="M41" s="161">
        <v>46669</v>
      </c>
      <c r="N41" s="157">
        <v>45575</v>
      </c>
      <c r="O41" s="145" t="s">
        <v>553</v>
      </c>
      <c r="P41" s="145"/>
      <c r="Q41" s="159" t="s">
        <v>20</v>
      </c>
      <c r="R41" s="145" t="s">
        <v>18</v>
      </c>
      <c r="S41" s="145" t="s">
        <v>18</v>
      </c>
      <c r="T41" s="145" t="s">
        <v>18</v>
      </c>
      <c r="U41" s="145" t="s">
        <v>18</v>
      </c>
      <c r="V41" s="145" t="s">
        <v>18</v>
      </c>
      <c r="W41" s="145" t="s">
        <v>18</v>
      </c>
      <c r="X41" s="145" t="s">
        <v>18</v>
      </c>
      <c r="Y41" s="162" t="s">
        <v>20</v>
      </c>
      <c r="Z41" s="148">
        <v>45575</v>
      </c>
      <c r="AA41" s="161">
        <v>46669</v>
      </c>
      <c r="AB41" s="159">
        <v>24</v>
      </c>
      <c r="AC41" s="293">
        <v>6</v>
      </c>
      <c r="AD41" s="145" t="s">
        <v>18</v>
      </c>
      <c r="AE41" s="145" t="s">
        <v>18</v>
      </c>
      <c r="AF41" s="145"/>
      <c r="AG41" s="155" t="s">
        <v>17</v>
      </c>
      <c r="AH41" s="294"/>
      <c r="AI41" s="300" t="s">
        <v>2246</v>
      </c>
      <c r="AJ41" s="195">
        <f>SUMIF('TK 15661.Bản quyền phim '!F:F,'KK1. Movies'!D41,'TK 15661.Bản quyền phim '!X:X)</f>
        <v>34380952.333333321</v>
      </c>
      <c r="AK41" s="195">
        <f>SUMIF('TK 15661.Bản quyền phim '!F:F,'KK1. Movies'!AI41,'TK 15661.Bản quyền phim '!X:X)</f>
        <v>34380952.333333321</v>
      </c>
      <c r="AL41" s="295">
        <f>COUNTIF('242.BQ Phim hợp tác'!$C:$C,'KK1. Movies'!AI41)</f>
        <v>0</v>
      </c>
      <c r="AM41" s="295">
        <f>COUNTIF('TK 15661.Bản quyền phim '!F:F,'KK1. Movies'!AI41)</f>
        <v>1</v>
      </c>
      <c r="AN41" s="296">
        <f t="shared" si="0"/>
        <v>1</v>
      </c>
      <c r="AO41" s="295"/>
      <c r="AP41" s="295"/>
      <c r="AQ41" s="295"/>
      <c r="AR41" s="295"/>
      <c r="AS41" s="295"/>
    </row>
    <row r="42" spans="1:45" s="296" customFormat="1" ht="26.4" x14ac:dyDescent="0.3">
      <c r="A42" s="292">
        <f>_xlfn.AGGREGATE(3,3,$D$7:D42)</f>
        <v>36</v>
      </c>
      <c r="B42" s="143" t="s">
        <v>1402</v>
      </c>
      <c r="C42" s="144" t="s">
        <v>2245</v>
      </c>
      <c r="D42" s="146" t="s">
        <v>2243</v>
      </c>
      <c r="E42" s="144" t="s">
        <v>2244</v>
      </c>
      <c r="F42" s="143" t="s">
        <v>436</v>
      </c>
      <c r="G42" s="303" t="s">
        <v>1372</v>
      </c>
      <c r="H42" s="144" t="s">
        <v>1415</v>
      </c>
      <c r="I42" s="297">
        <v>2021</v>
      </c>
      <c r="J42" s="150" t="s">
        <v>219</v>
      </c>
      <c r="K42" s="297">
        <v>124</v>
      </c>
      <c r="L42" s="148">
        <v>45065</v>
      </c>
      <c r="M42" s="148">
        <v>46160</v>
      </c>
      <c r="N42" s="157">
        <v>45162</v>
      </c>
      <c r="O42" s="309" t="s">
        <v>584</v>
      </c>
      <c r="P42" s="145" t="s">
        <v>1414</v>
      </c>
      <c r="Q42" s="150" t="s">
        <v>20</v>
      </c>
      <c r="R42" s="145" t="s">
        <v>18</v>
      </c>
      <c r="S42" s="145" t="s">
        <v>18</v>
      </c>
      <c r="T42" s="145" t="s">
        <v>18</v>
      </c>
      <c r="U42" s="145" t="s">
        <v>18</v>
      </c>
      <c r="V42" s="145" t="s">
        <v>18</v>
      </c>
      <c r="W42" s="145" t="s">
        <v>18</v>
      </c>
      <c r="X42" s="145" t="s">
        <v>18</v>
      </c>
      <c r="Y42" s="145" t="s">
        <v>18</v>
      </c>
      <c r="Z42" s="148">
        <v>45065</v>
      </c>
      <c r="AA42" s="148">
        <v>46160</v>
      </c>
      <c r="AB42" s="141" t="s">
        <v>1394</v>
      </c>
      <c r="AC42" s="293">
        <v>21</v>
      </c>
      <c r="AD42" s="145" t="s">
        <v>18</v>
      </c>
      <c r="AE42" s="145" t="s">
        <v>18</v>
      </c>
      <c r="AF42" s="145"/>
      <c r="AG42" s="155" t="s">
        <v>17</v>
      </c>
      <c r="AH42" s="294"/>
      <c r="AI42" s="299" t="s">
        <v>2243</v>
      </c>
      <c r="AJ42" s="195">
        <f>SUMIF('TK 15661.Bản quyền phim '!F:F,'KK1. Movies'!D42,'TK 15661.Bản quyền phim '!X:X)</f>
        <v>0</v>
      </c>
      <c r="AK42" s="195">
        <f>SUMIF('TK 15661.Bản quyền phim '!F:F,'KK1. Movies'!AI42,'TK 15661.Bản quyền phim '!X:X)</f>
        <v>0</v>
      </c>
      <c r="AL42" s="295">
        <f>COUNTIF('242.BQ Phim hợp tác'!$C:$C,'KK1. Movies'!AI42)</f>
        <v>0</v>
      </c>
      <c r="AM42" s="295">
        <f>COUNTIF('TK 15661.Bản quyền phim '!F:F,'KK1. Movies'!AI42)</f>
        <v>1</v>
      </c>
      <c r="AN42" s="296">
        <f t="shared" si="0"/>
        <v>1</v>
      </c>
      <c r="AO42" s="295"/>
      <c r="AP42" s="295"/>
      <c r="AQ42" s="295"/>
      <c r="AR42" s="295"/>
      <c r="AS42" s="295"/>
    </row>
    <row r="43" spans="1:45" s="296" customFormat="1" ht="52.8" x14ac:dyDescent="0.3">
      <c r="A43" s="292">
        <f>_xlfn.AGGREGATE(3,3,$D$7:D43)</f>
        <v>37</v>
      </c>
      <c r="B43" s="156" t="s">
        <v>1145</v>
      </c>
      <c r="C43" s="341" t="s">
        <v>2242</v>
      </c>
      <c r="D43" s="160" t="s">
        <v>2240</v>
      </c>
      <c r="E43" s="166" t="s">
        <v>2241</v>
      </c>
      <c r="F43" s="144" t="s">
        <v>350</v>
      </c>
      <c r="G43" s="158" t="s">
        <v>1141</v>
      </c>
      <c r="H43" s="144" t="s">
        <v>1140</v>
      </c>
      <c r="I43" s="159">
        <v>2019</v>
      </c>
      <c r="J43" s="159" t="s">
        <v>1283</v>
      </c>
      <c r="K43" s="159">
        <v>134</v>
      </c>
      <c r="L43" s="163">
        <v>45736</v>
      </c>
      <c r="M43" s="161">
        <v>46465</v>
      </c>
      <c r="N43" s="157"/>
      <c r="O43" s="145"/>
      <c r="P43" s="145"/>
      <c r="Q43" s="159" t="s">
        <v>20</v>
      </c>
      <c r="R43" s="159" t="s">
        <v>18</v>
      </c>
      <c r="S43" s="159" t="s">
        <v>18</v>
      </c>
      <c r="T43" s="145" t="s">
        <v>18</v>
      </c>
      <c r="U43" s="159" t="s">
        <v>20</v>
      </c>
      <c r="V43" s="159" t="s">
        <v>20</v>
      </c>
      <c r="W43" s="159" t="s">
        <v>20</v>
      </c>
      <c r="X43" s="159" t="s">
        <v>18</v>
      </c>
      <c r="Y43" s="159" t="s">
        <v>20</v>
      </c>
      <c r="Z43" s="161">
        <v>45736</v>
      </c>
      <c r="AA43" s="188">
        <v>46284</v>
      </c>
      <c r="AB43" s="159">
        <v>7</v>
      </c>
      <c r="AC43" s="293">
        <v>1</v>
      </c>
      <c r="AD43" s="145" t="s">
        <v>18</v>
      </c>
      <c r="AE43" s="145" t="s">
        <v>18</v>
      </c>
      <c r="AF43" s="145"/>
      <c r="AG43" s="155" t="s">
        <v>17</v>
      </c>
      <c r="AH43" s="294"/>
      <c r="AI43" s="300" t="s">
        <v>2240</v>
      </c>
      <c r="AJ43" s="195">
        <f>SUMIF('TK 15661.Bản quyền phim '!F:F,'KK1. Movies'!D43,'TK 15661.Bản quyền phim '!X:X)</f>
        <v>46627350</v>
      </c>
      <c r="AK43" s="195">
        <f>SUMIF('TK 15661.Bản quyền phim '!F:F,'KK1. Movies'!AI43,'TK 15661.Bản quyền phim '!X:X)</f>
        <v>46627350</v>
      </c>
      <c r="AL43" s="295">
        <f>COUNTIF('242.BQ Phim hợp tác'!$C:$C,'KK1. Movies'!AI43)</f>
        <v>0</v>
      </c>
      <c r="AM43" s="295">
        <f>COUNTIF('TK 15661.Bản quyền phim '!F:F,'KK1. Movies'!AI43)</f>
        <v>1</v>
      </c>
      <c r="AN43" s="296">
        <f t="shared" si="0"/>
        <v>1</v>
      </c>
      <c r="AO43" s="295"/>
      <c r="AP43" s="295"/>
      <c r="AQ43" s="295"/>
      <c r="AR43" s="295"/>
      <c r="AS43" s="295"/>
    </row>
    <row r="44" spans="1:45" s="296" customFormat="1" x14ac:dyDescent="0.3">
      <c r="A44" s="292">
        <f>_xlfn.AGGREGATE(3,3,$D$7:D44)</f>
        <v>38</v>
      </c>
      <c r="B44" s="143" t="s">
        <v>1402</v>
      </c>
      <c r="C44" s="144" t="s">
        <v>2238</v>
      </c>
      <c r="D44" s="160" t="s">
        <v>2237</v>
      </c>
      <c r="E44" s="166" t="s">
        <v>2239</v>
      </c>
      <c r="F44" s="164" t="s">
        <v>824</v>
      </c>
      <c r="G44" s="164" t="s">
        <v>198</v>
      </c>
      <c r="H44" s="164" t="s">
        <v>197</v>
      </c>
      <c r="I44" s="159">
        <v>2014</v>
      </c>
      <c r="J44" s="162" t="s">
        <v>196</v>
      </c>
      <c r="K44" s="159">
        <v>100</v>
      </c>
      <c r="L44" s="148">
        <v>45562</v>
      </c>
      <c r="M44" s="165">
        <v>46291</v>
      </c>
      <c r="N44" s="157">
        <v>45562</v>
      </c>
      <c r="O44" s="145" t="s">
        <v>584</v>
      </c>
      <c r="P44" s="159" t="s">
        <v>211</v>
      </c>
      <c r="Q44" s="159" t="s">
        <v>20</v>
      </c>
      <c r="R44" s="145" t="s">
        <v>18</v>
      </c>
      <c r="S44" s="159" t="s">
        <v>18</v>
      </c>
      <c r="T44" s="145" t="s">
        <v>18</v>
      </c>
      <c r="U44" s="159" t="s">
        <v>20</v>
      </c>
      <c r="V44" s="159" t="s">
        <v>20</v>
      </c>
      <c r="W44" s="159" t="s">
        <v>20</v>
      </c>
      <c r="X44" s="159" t="s">
        <v>20</v>
      </c>
      <c r="Y44" s="159" t="s">
        <v>18</v>
      </c>
      <c r="Z44" s="148">
        <v>45562</v>
      </c>
      <c r="AA44" s="165">
        <v>46291</v>
      </c>
      <c r="AB44" s="162">
        <v>6</v>
      </c>
      <c r="AC44" s="162">
        <v>3</v>
      </c>
      <c r="AD44" s="145" t="s">
        <v>18</v>
      </c>
      <c r="AE44" s="145" t="s">
        <v>18</v>
      </c>
      <c r="AF44" s="145"/>
      <c r="AG44" s="155" t="s">
        <v>17</v>
      </c>
      <c r="AH44" s="294" t="s">
        <v>2238</v>
      </c>
      <c r="AI44" s="299" t="s">
        <v>2237</v>
      </c>
      <c r="AJ44" s="195">
        <f>SUMIF('TK 15661.Bản quyền phim '!F:F,'KK1. Movies'!D44,'TK 15661.Bản quyền phim '!X:X)</f>
        <v>0</v>
      </c>
      <c r="AK44" s="195">
        <f>SUMIF('TK 15661.Bản quyền phim '!F:F,'KK1. Movies'!AI44,'TK 15661.Bản quyền phim '!X:X)</f>
        <v>0</v>
      </c>
      <c r="AL44" s="295">
        <f>COUNTIF('242.BQ Phim hợp tác'!$C:$C,'KK1. Movies'!AI44)</f>
        <v>0</v>
      </c>
      <c r="AM44" s="295">
        <f>COUNTIF('TK 15661.Bản quyền phim '!F:F,'KK1. Movies'!AI44)</f>
        <v>1</v>
      </c>
      <c r="AN44" s="296">
        <f t="shared" si="0"/>
        <v>1</v>
      </c>
      <c r="AO44" s="295"/>
      <c r="AP44" s="295"/>
      <c r="AQ44" s="295"/>
      <c r="AR44" s="295"/>
      <c r="AS44" s="295"/>
    </row>
    <row r="45" spans="1:45" s="296" customFormat="1" ht="26.4" x14ac:dyDescent="0.3">
      <c r="A45" s="292">
        <f>_xlfn.AGGREGATE(3,3,$D$7:D45)</f>
        <v>39</v>
      </c>
      <c r="B45" s="143" t="s">
        <v>1422</v>
      </c>
      <c r="C45" s="144" t="s">
        <v>2235</v>
      </c>
      <c r="D45" s="146" t="s">
        <v>2234</v>
      </c>
      <c r="E45" s="144" t="s">
        <v>2236</v>
      </c>
      <c r="F45" s="143" t="s">
        <v>436</v>
      </c>
      <c r="G45" s="143" t="s">
        <v>1389</v>
      </c>
      <c r="H45" s="144" t="s">
        <v>1388</v>
      </c>
      <c r="I45" s="297">
        <v>2018</v>
      </c>
      <c r="J45" s="145" t="s">
        <v>196</v>
      </c>
      <c r="K45" s="297">
        <v>104</v>
      </c>
      <c r="L45" s="148">
        <v>45232</v>
      </c>
      <c r="M45" s="148">
        <v>46327</v>
      </c>
      <c r="N45" s="152">
        <v>45232</v>
      </c>
      <c r="O45" s="309" t="s">
        <v>584</v>
      </c>
      <c r="P45" s="145" t="s">
        <v>1387</v>
      </c>
      <c r="Q45" s="145" t="s">
        <v>20</v>
      </c>
      <c r="R45" s="145" t="s">
        <v>18</v>
      </c>
      <c r="S45" s="145" t="s">
        <v>20</v>
      </c>
      <c r="T45" s="145" t="s">
        <v>18</v>
      </c>
      <c r="U45" s="145" t="s">
        <v>18</v>
      </c>
      <c r="V45" s="145" t="s">
        <v>18</v>
      </c>
      <c r="W45" s="145" t="s">
        <v>18</v>
      </c>
      <c r="X45" s="145" t="s">
        <v>18</v>
      </c>
      <c r="Y45" s="145" t="s">
        <v>20</v>
      </c>
      <c r="Z45" s="148">
        <v>45232</v>
      </c>
      <c r="AA45" s="148">
        <v>46327</v>
      </c>
      <c r="AB45" s="293">
        <v>24</v>
      </c>
      <c r="AC45" s="293">
        <v>7</v>
      </c>
      <c r="AD45" s="145" t="s">
        <v>18</v>
      </c>
      <c r="AE45" s="145" t="s">
        <v>18</v>
      </c>
      <c r="AF45" s="145"/>
      <c r="AG45" s="155" t="s">
        <v>17</v>
      </c>
      <c r="AH45" s="294" t="s">
        <v>2235</v>
      </c>
      <c r="AI45" s="299" t="s">
        <v>2234</v>
      </c>
      <c r="AJ45" s="195">
        <f>SUMIF('TK 15661.Bản quyền phim '!F:F,'KK1. Movies'!D45,'TK 15661.Bản quyền phim '!X:X)</f>
        <v>0</v>
      </c>
      <c r="AK45" s="195">
        <f>SUMIF('TK 15661.Bản quyền phim '!F:F,'KK1. Movies'!AI45,'TK 15661.Bản quyền phim '!X:X)</f>
        <v>0</v>
      </c>
      <c r="AL45" s="295">
        <f>COUNTIF('242.BQ Phim hợp tác'!$C:$C,'KK1. Movies'!AI45)</f>
        <v>0</v>
      </c>
      <c r="AM45" s="295">
        <f>COUNTIF('TK 15661.Bản quyền phim '!F:F,'KK1. Movies'!AI45)</f>
        <v>1</v>
      </c>
      <c r="AN45" s="296">
        <f t="shared" si="0"/>
        <v>1</v>
      </c>
      <c r="AO45" s="295"/>
      <c r="AP45" s="295"/>
      <c r="AQ45" s="295"/>
      <c r="AR45" s="295"/>
      <c r="AS45" s="295"/>
    </row>
    <row r="46" spans="1:45" s="296" customFormat="1" ht="26.4" x14ac:dyDescent="0.3">
      <c r="A46" s="292">
        <f>_xlfn.AGGREGATE(3,3,$D$7:D46)</f>
        <v>40</v>
      </c>
      <c r="B46" s="143" t="s">
        <v>1422</v>
      </c>
      <c r="C46" s="144" t="s">
        <v>2231</v>
      </c>
      <c r="D46" s="160" t="s">
        <v>2233</v>
      </c>
      <c r="E46" s="166" t="s">
        <v>2232</v>
      </c>
      <c r="F46" s="164" t="s">
        <v>824</v>
      </c>
      <c r="G46" s="164" t="s">
        <v>1515</v>
      </c>
      <c r="H46" s="164" t="s">
        <v>1514</v>
      </c>
      <c r="I46" s="159">
        <v>2021</v>
      </c>
      <c r="J46" s="162" t="s">
        <v>178</v>
      </c>
      <c r="K46" s="159">
        <v>104</v>
      </c>
      <c r="L46" s="148">
        <v>45429</v>
      </c>
      <c r="M46" s="165">
        <v>46523</v>
      </c>
      <c r="N46" s="157">
        <v>45429</v>
      </c>
      <c r="O46" s="145" t="s">
        <v>584</v>
      </c>
      <c r="P46" s="159" t="s">
        <v>1513</v>
      </c>
      <c r="Q46" s="159" t="s">
        <v>20</v>
      </c>
      <c r="R46" s="145" t="s">
        <v>18</v>
      </c>
      <c r="S46" s="159" t="s">
        <v>18</v>
      </c>
      <c r="T46" s="145" t="s">
        <v>18</v>
      </c>
      <c r="U46" s="159" t="s">
        <v>20</v>
      </c>
      <c r="V46" s="159" t="s">
        <v>18</v>
      </c>
      <c r="W46" s="159" t="s">
        <v>18</v>
      </c>
      <c r="X46" s="159" t="s">
        <v>20</v>
      </c>
      <c r="Y46" s="159" t="s">
        <v>20</v>
      </c>
      <c r="Z46" s="148">
        <v>45429</v>
      </c>
      <c r="AA46" s="165">
        <v>46523</v>
      </c>
      <c r="AB46" s="162" t="s">
        <v>130</v>
      </c>
      <c r="AC46" s="160">
        <v>16</v>
      </c>
      <c r="AD46" s="145" t="s">
        <v>18</v>
      </c>
      <c r="AE46" s="145" t="s">
        <v>18</v>
      </c>
      <c r="AF46" s="145"/>
      <c r="AG46" s="155" t="s">
        <v>17</v>
      </c>
      <c r="AH46" s="294" t="s">
        <v>2231</v>
      </c>
      <c r="AI46" s="300" t="s">
        <v>2230</v>
      </c>
      <c r="AJ46" s="195">
        <f>SUMIF('TK 15661.Bản quyền phim '!F:F,'KK1. Movies'!D46,'TK 15661.Bản quyền phim '!X:X)</f>
        <v>0</v>
      </c>
      <c r="AK46" s="195">
        <f>SUMIF('TK 15661.Bản quyền phim '!F:F,'KK1. Movies'!AI46,'TK 15661.Bản quyền phim '!X:X)</f>
        <v>33737936.666666679</v>
      </c>
      <c r="AL46" s="295">
        <f>COUNTIF('242.BQ Phim hợp tác'!$C:$C,'KK1. Movies'!AI46)</f>
        <v>0</v>
      </c>
      <c r="AM46" s="295">
        <f>COUNTIF('TK 15661.Bản quyền phim '!F:F,'KK1. Movies'!AI46)</f>
        <v>1</v>
      </c>
      <c r="AN46" s="296">
        <f t="shared" si="0"/>
        <v>1</v>
      </c>
      <c r="AO46" s="295"/>
      <c r="AP46" s="295"/>
      <c r="AQ46" s="295"/>
      <c r="AR46" s="295"/>
      <c r="AS46" s="295"/>
    </row>
    <row r="47" spans="1:45" s="296" customFormat="1" ht="26.4" x14ac:dyDescent="0.3">
      <c r="A47" s="292">
        <f>_xlfn.AGGREGATE(3,3,$D$7:D47)</f>
        <v>41</v>
      </c>
      <c r="B47" s="143" t="s">
        <v>1402</v>
      </c>
      <c r="C47" s="144" t="s">
        <v>2228</v>
      </c>
      <c r="D47" s="146" t="s">
        <v>2227</v>
      </c>
      <c r="E47" s="144" t="s">
        <v>2229</v>
      </c>
      <c r="F47" s="144" t="s">
        <v>511</v>
      </c>
      <c r="G47" s="143" t="s">
        <v>1389</v>
      </c>
      <c r="H47" s="144" t="s">
        <v>1388</v>
      </c>
      <c r="I47" s="297">
        <v>2022</v>
      </c>
      <c r="J47" s="145" t="s">
        <v>196</v>
      </c>
      <c r="K47" s="297">
        <v>86</v>
      </c>
      <c r="L47" s="148">
        <v>45127</v>
      </c>
      <c r="M47" s="148">
        <v>46222</v>
      </c>
      <c r="N47" s="152">
        <v>45127</v>
      </c>
      <c r="O47" s="309" t="s">
        <v>584</v>
      </c>
      <c r="P47" s="145" t="s">
        <v>1387</v>
      </c>
      <c r="Q47" s="145" t="s">
        <v>20</v>
      </c>
      <c r="R47" s="145" t="s">
        <v>18</v>
      </c>
      <c r="S47" s="145" t="s">
        <v>20</v>
      </c>
      <c r="T47" s="145" t="s">
        <v>18</v>
      </c>
      <c r="U47" s="145" t="s">
        <v>18</v>
      </c>
      <c r="V47" s="145" t="s">
        <v>18</v>
      </c>
      <c r="W47" s="145" t="s">
        <v>18</v>
      </c>
      <c r="X47" s="145" t="s">
        <v>18</v>
      </c>
      <c r="Y47" s="145" t="s">
        <v>20</v>
      </c>
      <c r="Z47" s="148">
        <v>45127</v>
      </c>
      <c r="AA47" s="148">
        <v>46222</v>
      </c>
      <c r="AB47" s="293">
        <v>24</v>
      </c>
      <c r="AC47" s="293">
        <v>15</v>
      </c>
      <c r="AD47" s="145" t="s">
        <v>18</v>
      </c>
      <c r="AE47" s="145" t="s">
        <v>18</v>
      </c>
      <c r="AF47" s="150"/>
      <c r="AG47" s="155" t="s">
        <v>17</v>
      </c>
      <c r="AH47" s="294" t="s">
        <v>2228</v>
      </c>
      <c r="AI47" s="299" t="s">
        <v>2227</v>
      </c>
      <c r="AJ47" s="195">
        <f>SUMIF('TK 15661.Bản quyền phim '!F:F,'KK1. Movies'!D47,'TK 15661.Bản quyền phim '!X:X)</f>
        <v>0</v>
      </c>
      <c r="AK47" s="195">
        <f>SUMIF('TK 15661.Bản quyền phim '!F:F,'KK1. Movies'!AI47,'TK 15661.Bản quyền phim '!X:X)</f>
        <v>0</v>
      </c>
      <c r="AL47" s="295">
        <f>COUNTIF('242.BQ Phim hợp tác'!$C:$C,'KK1. Movies'!AI47)</f>
        <v>0</v>
      </c>
      <c r="AM47" s="295">
        <f>COUNTIF('TK 15661.Bản quyền phim '!F:F,'KK1. Movies'!AI47)</f>
        <v>1</v>
      </c>
      <c r="AN47" s="296">
        <f t="shared" si="0"/>
        <v>1</v>
      </c>
      <c r="AO47" s="295"/>
      <c r="AP47" s="295"/>
      <c r="AQ47" s="295"/>
      <c r="AR47" s="295"/>
      <c r="AS47" s="295"/>
    </row>
    <row r="48" spans="1:45" s="296" customFormat="1" x14ac:dyDescent="0.3">
      <c r="A48" s="292">
        <f>_xlfn.AGGREGATE(3,3,$D$7:D48)</f>
        <v>42</v>
      </c>
      <c r="B48" s="143" t="s">
        <v>1402</v>
      </c>
      <c r="C48" s="144" t="s">
        <v>2225</v>
      </c>
      <c r="D48" s="146" t="s">
        <v>2224</v>
      </c>
      <c r="E48" s="144" t="s">
        <v>2226</v>
      </c>
      <c r="F48" s="144" t="s">
        <v>511</v>
      </c>
      <c r="G48" s="303" t="s">
        <v>1372</v>
      </c>
      <c r="H48" s="144" t="s">
        <v>1415</v>
      </c>
      <c r="I48" s="297">
        <v>2020</v>
      </c>
      <c r="J48" s="150" t="s">
        <v>219</v>
      </c>
      <c r="K48" s="297">
        <v>142</v>
      </c>
      <c r="L48" s="148">
        <v>45065</v>
      </c>
      <c r="M48" s="148">
        <v>46160</v>
      </c>
      <c r="N48" s="157">
        <v>45065</v>
      </c>
      <c r="O48" s="309" t="s">
        <v>584</v>
      </c>
      <c r="P48" s="145" t="s">
        <v>1414</v>
      </c>
      <c r="Q48" s="150" t="s">
        <v>20</v>
      </c>
      <c r="R48" s="145" t="s">
        <v>18</v>
      </c>
      <c r="S48" s="145" t="s">
        <v>18</v>
      </c>
      <c r="T48" s="145" t="s">
        <v>18</v>
      </c>
      <c r="U48" s="145" t="s">
        <v>18</v>
      </c>
      <c r="V48" s="145" t="s">
        <v>18</v>
      </c>
      <c r="W48" s="145" t="s">
        <v>18</v>
      </c>
      <c r="X48" s="145" t="s">
        <v>18</v>
      </c>
      <c r="Y48" s="145" t="s">
        <v>18</v>
      </c>
      <c r="Z48" s="148">
        <v>45065</v>
      </c>
      <c r="AA48" s="148">
        <v>46160</v>
      </c>
      <c r="AB48" s="141" t="s">
        <v>1394</v>
      </c>
      <c r="AC48" s="293">
        <v>30</v>
      </c>
      <c r="AD48" s="145" t="s">
        <v>18</v>
      </c>
      <c r="AE48" s="145" t="s">
        <v>18</v>
      </c>
      <c r="AF48" s="150"/>
      <c r="AG48" s="155" t="s">
        <v>17</v>
      </c>
      <c r="AH48" s="294" t="s">
        <v>2225</v>
      </c>
      <c r="AI48" s="299" t="s">
        <v>2224</v>
      </c>
      <c r="AJ48" s="195">
        <f>SUMIF('TK 15661.Bản quyền phim '!F:F,'KK1. Movies'!D48,'TK 15661.Bản quyền phim '!X:X)</f>
        <v>0</v>
      </c>
      <c r="AK48" s="195">
        <f>SUMIF('TK 15661.Bản quyền phim '!F:F,'KK1. Movies'!AI48,'TK 15661.Bản quyền phim '!X:X)</f>
        <v>0</v>
      </c>
      <c r="AL48" s="295">
        <f>COUNTIF('242.BQ Phim hợp tác'!$C:$C,'KK1. Movies'!AI48)</f>
        <v>0</v>
      </c>
      <c r="AM48" s="295">
        <f>COUNTIF('TK 15661.Bản quyền phim '!F:F,'KK1. Movies'!AI48)</f>
        <v>1</v>
      </c>
      <c r="AN48" s="296">
        <f t="shared" si="0"/>
        <v>1</v>
      </c>
      <c r="AO48" s="295"/>
      <c r="AP48" s="295"/>
      <c r="AQ48" s="295"/>
      <c r="AR48" s="295"/>
      <c r="AS48" s="295"/>
    </row>
    <row r="49" spans="1:45" s="296" customFormat="1" ht="26.4" x14ac:dyDescent="0.3">
      <c r="A49" s="292">
        <f>_xlfn.AGGREGATE(3,3,$D$7:D49)</f>
        <v>43</v>
      </c>
      <c r="B49" s="143" t="s">
        <v>1723</v>
      </c>
      <c r="C49" s="144" t="s">
        <v>2223</v>
      </c>
      <c r="D49" s="160" t="s">
        <v>2221</v>
      </c>
      <c r="E49" s="144" t="s">
        <v>2222</v>
      </c>
      <c r="F49" s="144" t="s">
        <v>350</v>
      </c>
      <c r="G49" s="164" t="s">
        <v>1372</v>
      </c>
      <c r="H49" s="144" t="s">
        <v>1530</v>
      </c>
      <c r="I49" s="162">
        <v>2021</v>
      </c>
      <c r="J49" s="162" t="s">
        <v>196</v>
      </c>
      <c r="K49" s="162">
        <v>120</v>
      </c>
      <c r="L49" s="148">
        <v>45567</v>
      </c>
      <c r="M49" s="165">
        <v>46661</v>
      </c>
      <c r="N49" s="157">
        <v>45573</v>
      </c>
      <c r="O49" s="145" t="s">
        <v>584</v>
      </c>
      <c r="P49" s="159">
        <v>12</v>
      </c>
      <c r="Q49" s="162" t="s">
        <v>20</v>
      </c>
      <c r="R49" s="145" t="s">
        <v>18</v>
      </c>
      <c r="S49" s="145" t="s">
        <v>18</v>
      </c>
      <c r="T49" s="145" t="s">
        <v>18</v>
      </c>
      <c r="U49" s="145" t="s">
        <v>18</v>
      </c>
      <c r="V49" s="145" t="s">
        <v>18</v>
      </c>
      <c r="W49" s="145" t="s">
        <v>18</v>
      </c>
      <c r="X49" s="145" t="s">
        <v>18</v>
      </c>
      <c r="Y49" s="159" t="s">
        <v>20</v>
      </c>
      <c r="Z49" s="148">
        <v>45567</v>
      </c>
      <c r="AA49" s="165">
        <v>46661</v>
      </c>
      <c r="AB49" s="162">
        <v>24</v>
      </c>
      <c r="AC49" s="293">
        <v>7</v>
      </c>
      <c r="AD49" s="145" t="s">
        <v>18</v>
      </c>
      <c r="AE49" s="145" t="s">
        <v>18</v>
      </c>
      <c r="AF49" s="150"/>
      <c r="AG49" s="155" t="s">
        <v>17</v>
      </c>
      <c r="AH49" s="294"/>
      <c r="AI49" s="300" t="s">
        <v>2221</v>
      </c>
      <c r="AJ49" s="195">
        <f>SUMIF('TK 15661.Bản quyền phim '!F:F,'KK1. Movies'!D49,'TK 15661.Bản quyền phim '!X:X)</f>
        <v>33333492</v>
      </c>
      <c r="AK49" s="195">
        <f>SUMIF('TK 15661.Bản quyền phim '!F:F,'KK1. Movies'!AI49,'TK 15661.Bản quyền phim '!X:X)</f>
        <v>33333492</v>
      </c>
      <c r="AL49" s="295">
        <f>COUNTIF('242.BQ Phim hợp tác'!$C:$C,'KK1. Movies'!AI49)</f>
        <v>0</v>
      </c>
      <c r="AM49" s="295">
        <f>COUNTIF('TK 15661.Bản quyền phim '!F:F,'KK1. Movies'!AI49)</f>
        <v>1</v>
      </c>
      <c r="AN49" s="296">
        <f t="shared" si="0"/>
        <v>1</v>
      </c>
      <c r="AO49" s="295"/>
      <c r="AP49" s="295"/>
      <c r="AQ49" s="295"/>
      <c r="AR49" s="295"/>
      <c r="AS49" s="295"/>
    </row>
    <row r="50" spans="1:45" s="296" customFormat="1" ht="52.8" x14ac:dyDescent="0.3">
      <c r="A50" s="292">
        <f>_xlfn.AGGREGATE(3,3,$D$7:D50)</f>
        <v>44</v>
      </c>
      <c r="B50" s="143" t="s">
        <v>1402</v>
      </c>
      <c r="C50" s="341" t="s">
        <v>2220</v>
      </c>
      <c r="D50" s="160" t="s">
        <v>2218</v>
      </c>
      <c r="E50" s="166" t="s">
        <v>2219</v>
      </c>
      <c r="F50" s="144" t="s">
        <v>511</v>
      </c>
      <c r="G50" s="158" t="s">
        <v>1592</v>
      </c>
      <c r="H50" s="144" t="s">
        <v>1591</v>
      </c>
      <c r="I50" s="159">
        <v>2019</v>
      </c>
      <c r="J50" s="150" t="s">
        <v>196</v>
      </c>
      <c r="K50" s="159">
        <v>107</v>
      </c>
      <c r="L50" s="148">
        <v>45382</v>
      </c>
      <c r="M50" s="148">
        <v>46111</v>
      </c>
      <c r="N50" s="157">
        <v>45393</v>
      </c>
      <c r="O50" s="145" t="s">
        <v>553</v>
      </c>
      <c r="P50" s="145"/>
      <c r="Q50" s="159" t="s">
        <v>20</v>
      </c>
      <c r="R50" s="145" t="s">
        <v>18</v>
      </c>
      <c r="S50" s="145" t="s">
        <v>18</v>
      </c>
      <c r="T50" s="145" t="s">
        <v>18</v>
      </c>
      <c r="U50" s="159" t="s">
        <v>20</v>
      </c>
      <c r="V50" s="159" t="s">
        <v>20</v>
      </c>
      <c r="W50" s="159" t="s">
        <v>20</v>
      </c>
      <c r="X50" s="159" t="s">
        <v>20</v>
      </c>
      <c r="Y50" s="159" t="s">
        <v>20</v>
      </c>
      <c r="Z50" s="148">
        <v>45382</v>
      </c>
      <c r="AA50" s="148">
        <v>46111</v>
      </c>
      <c r="AB50" s="162">
        <v>7</v>
      </c>
      <c r="AC50" s="293">
        <v>6</v>
      </c>
      <c r="AD50" s="145" t="s">
        <v>18</v>
      </c>
      <c r="AE50" s="145" t="s">
        <v>18</v>
      </c>
      <c r="AF50" s="150"/>
      <c r="AG50" s="155" t="s">
        <v>17</v>
      </c>
      <c r="AH50" s="294"/>
      <c r="AI50" s="300" t="s">
        <v>2218</v>
      </c>
      <c r="AJ50" s="195">
        <f>SUMIF('TK 15661.Bản quyền phim '!F:F,'KK1. Movies'!D50,'TK 15661.Bản quyền phim '!X:X)</f>
        <v>0</v>
      </c>
      <c r="AK50" s="195">
        <f>SUMIF('TK 15661.Bản quyền phim '!F:F,'KK1. Movies'!AI50,'TK 15661.Bản quyền phim '!X:X)</f>
        <v>0</v>
      </c>
      <c r="AL50" s="295">
        <f>COUNTIF('242.BQ Phim hợp tác'!$C:$C,'KK1. Movies'!AI50)</f>
        <v>0</v>
      </c>
      <c r="AM50" s="295">
        <f>COUNTIF('TK 15661.Bản quyền phim '!F:F,'KK1. Movies'!AI50)</f>
        <v>1</v>
      </c>
      <c r="AN50" s="296">
        <f t="shared" si="0"/>
        <v>1</v>
      </c>
      <c r="AO50" s="295"/>
      <c r="AP50" s="295"/>
      <c r="AQ50" s="295"/>
      <c r="AR50" s="295"/>
      <c r="AS50" s="295"/>
    </row>
    <row r="51" spans="1:45" s="296" customFormat="1" ht="26.4" x14ac:dyDescent="0.3">
      <c r="A51" s="292">
        <f>_xlfn.AGGREGATE(3,3,$D$7:D51)</f>
        <v>45</v>
      </c>
      <c r="B51" s="143" t="s">
        <v>1402</v>
      </c>
      <c r="C51" s="144" t="s">
        <v>2215</v>
      </c>
      <c r="D51" s="160" t="s">
        <v>2214</v>
      </c>
      <c r="E51" s="144" t="s">
        <v>2217</v>
      </c>
      <c r="F51" s="164" t="s">
        <v>511</v>
      </c>
      <c r="G51" s="164" t="s">
        <v>1372</v>
      </c>
      <c r="H51" s="144" t="s">
        <v>1530</v>
      </c>
      <c r="I51" s="162">
        <v>2019</v>
      </c>
      <c r="J51" s="162" t="s">
        <v>2216</v>
      </c>
      <c r="K51" s="162">
        <v>97</v>
      </c>
      <c r="L51" s="148">
        <v>45365</v>
      </c>
      <c r="M51" s="148">
        <v>46459</v>
      </c>
      <c r="N51" s="157">
        <v>45498</v>
      </c>
      <c r="O51" s="145" t="s">
        <v>553</v>
      </c>
      <c r="P51" s="159">
        <v>12</v>
      </c>
      <c r="Q51" s="162" t="s">
        <v>20</v>
      </c>
      <c r="R51" s="145" t="s">
        <v>18</v>
      </c>
      <c r="S51" s="145" t="s">
        <v>18</v>
      </c>
      <c r="T51" s="145" t="s">
        <v>18</v>
      </c>
      <c r="U51" s="145" t="s">
        <v>18</v>
      </c>
      <c r="V51" s="145" t="s">
        <v>18</v>
      </c>
      <c r="W51" s="145" t="s">
        <v>18</v>
      </c>
      <c r="X51" s="145" t="s">
        <v>18</v>
      </c>
      <c r="Y51" s="159" t="s">
        <v>20</v>
      </c>
      <c r="Z51" s="148">
        <v>45365</v>
      </c>
      <c r="AA51" s="148">
        <v>46459</v>
      </c>
      <c r="AB51" s="162">
        <v>24</v>
      </c>
      <c r="AC51" s="293">
        <v>12</v>
      </c>
      <c r="AD51" s="145" t="s">
        <v>18</v>
      </c>
      <c r="AE51" s="145" t="s">
        <v>18</v>
      </c>
      <c r="AF51" s="150"/>
      <c r="AG51" s="155" t="s">
        <v>17</v>
      </c>
      <c r="AH51" s="294" t="s">
        <v>2215</v>
      </c>
      <c r="AI51" s="300" t="s">
        <v>2214</v>
      </c>
      <c r="AJ51" s="195">
        <f>SUMIF('TK 15661.Bản quyền phim '!F:F,'KK1. Movies'!D51,'TK 15661.Bản quyền phim '!X:X)</f>
        <v>33333492</v>
      </c>
      <c r="AK51" s="195">
        <f>SUMIF('TK 15661.Bản quyền phim '!F:F,'KK1. Movies'!AI51,'TK 15661.Bản quyền phim '!X:X)</f>
        <v>33333492</v>
      </c>
      <c r="AL51" s="295">
        <f>COUNTIF('242.BQ Phim hợp tác'!$C:$C,'KK1. Movies'!AI51)</f>
        <v>0</v>
      </c>
      <c r="AM51" s="295">
        <f>COUNTIF('TK 15661.Bản quyền phim '!F:F,'KK1. Movies'!AI51)</f>
        <v>1</v>
      </c>
      <c r="AN51" s="296">
        <f t="shared" si="0"/>
        <v>1</v>
      </c>
      <c r="AO51" s="295"/>
      <c r="AP51" s="295"/>
      <c r="AQ51" s="295"/>
      <c r="AR51" s="295"/>
      <c r="AS51" s="295"/>
    </row>
    <row r="52" spans="1:45" s="296" customFormat="1" ht="26.4" x14ac:dyDescent="0.3">
      <c r="A52" s="292">
        <f>_xlfn.AGGREGATE(3,3,$D$7:D52)</f>
        <v>46</v>
      </c>
      <c r="B52" s="143" t="s">
        <v>1402</v>
      </c>
      <c r="C52" s="144" t="s">
        <v>2213</v>
      </c>
      <c r="D52" s="144" t="s">
        <v>2211</v>
      </c>
      <c r="E52" s="144" t="s">
        <v>2212</v>
      </c>
      <c r="F52" s="144" t="s">
        <v>511</v>
      </c>
      <c r="G52" s="144" t="s">
        <v>1697</v>
      </c>
      <c r="H52" s="170">
        <v>202104013</v>
      </c>
      <c r="I52" s="141">
        <v>2020</v>
      </c>
      <c r="J52" s="145" t="s">
        <v>219</v>
      </c>
      <c r="K52" s="141">
        <v>118</v>
      </c>
      <c r="L52" s="148">
        <v>44284</v>
      </c>
      <c r="M52" s="301">
        <v>46109</v>
      </c>
      <c r="N52" s="302">
        <v>44377</v>
      </c>
      <c r="O52" s="145" t="s">
        <v>584</v>
      </c>
      <c r="P52" s="145"/>
      <c r="Q52" s="145" t="s">
        <v>20</v>
      </c>
      <c r="R52" s="145" t="s">
        <v>18</v>
      </c>
      <c r="S52" s="145" t="s">
        <v>18</v>
      </c>
      <c r="T52" s="145" t="s">
        <v>18</v>
      </c>
      <c r="U52" s="145" t="s">
        <v>18</v>
      </c>
      <c r="V52" s="145" t="s">
        <v>18</v>
      </c>
      <c r="W52" s="145" t="s">
        <v>18</v>
      </c>
      <c r="X52" s="145" t="s">
        <v>18</v>
      </c>
      <c r="Y52" s="145" t="s">
        <v>18</v>
      </c>
      <c r="Z52" s="148">
        <v>44284</v>
      </c>
      <c r="AA52" s="301">
        <v>46109</v>
      </c>
      <c r="AB52" s="293">
        <v>50</v>
      </c>
      <c r="AC52" s="151">
        <v>30</v>
      </c>
      <c r="AD52" s="145" t="s">
        <v>18</v>
      </c>
      <c r="AE52" s="145" t="s">
        <v>18</v>
      </c>
      <c r="AF52" s="150"/>
      <c r="AG52" s="155" t="s">
        <v>17</v>
      </c>
      <c r="AH52" s="294"/>
      <c r="AI52" s="299" t="s">
        <v>2211</v>
      </c>
      <c r="AJ52" s="195">
        <f>SUMIF('TK 15661.Bản quyền phim '!F:F,'KK1. Movies'!D52,'TK 15661.Bản quyền phim '!X:X)</f>
        <v>0</v>
      </c>
      <c r="AK52" s="195">
        <f>SUMIF('TK 15661.Bản quyền phim '!F:F,'KK1. Movies'!AI52,'TK 15661.Bản quyền phim '!X:X)</f>
        <v>0</v>
      </c>
      <c r="AL52" s="295">
        <f>COUNTIF('242.BQ Phim hợp tác'!$C:$C,'KK1. Movies'!AI52)</f>
        <v>0</v>
      </c>
      <c r="AM52" s="295">
        <f>COUNTIF('TK 15661.Bản quyền phim '!F:F,'KK1. Movies'!AI52)</f>
        <v>1</v>
      </c>
      <c r="AN52" s="296">
        <f t="shared" si="0"/>
        <v>1</v>
      </c>
      <c r="AO52" s="295"/>
      <c r="AP52" s="295"/>
      <c r="AQ52" s="295"/>
      <c r="AR52" s="295"/>
      <c r="AS52" s="295"/>
    </row>
    <row r="53" spans="1:45" s="296" customFormat="1" ht="26.4" x14ac:dyDescent="0.3">
      <c r="A53" s="292">
        <f>_xlfn.AGGREGATE(3,3,$D$7:D53)</f>
        <v>47</v>
      </c>
      <c r="B53" s="143" t="s">
        <v>1422</v>
      </c>
      <c r="C53" s="144" t="s">
        <v>2208</v>
      </c>
      <c r="D53" s="146" t="s">
        <v>2210</v>
      </c>
      <c r="E53" s="144" t="s">
        <v>2209</v>
      </c>
      <c r="F53" s="144" t="s">
        <v>350</v>
      </c>
      <c r="G53" s="143" t="s">
        <v>1324</v>
      </c>
      <c r="H53" s="144" t="s">
        <v>1418</v>
      </c>
      <c r="I53" s="297">
        <v>2017</v>
      </c>
      <c r="J53" s="150" t="s">
        <v>196</v>
      </c>
      <c r="K53" s="297">
        <v>117</v>
      </c>
      <c r="L53" s="148">
        <v>44987</v>
      </c>
      <c r="M53" s="153">
        <v>46082</v>
      </c>
      <c r="N53" s="152">
        <v>44987</v>
      </c>
      <c r="O53" s="309" t="s">
        <v>584</v>
      </c>
      <c r="P53" s="141">
        <v>12</v>
      </c>
      <c r="Q53" s="145" t="s">
        <v>20</v>
      </c>
      <c r="R53" s="145" t="s">
        <v>18</v>
      </c>
      <c r="S53" s="145" t="s">
        <v>18</v>
      </c>
      <c r="T53" s="145" t="s">
        <v>18</v>
      </c>
      <c r="U53" s="145" t="s">
        <v>18</v>
      </c>
      <c r="V53" s="145" t="s">
        <v>18</v>
      </c>
      <c r="W53" s="145" t="s">
        <v>18</v>
      </c>
      <c r="X53" s="159" t="s">
        <v>20</v>
      </c>
      <c r="Y53" s="145" t="s">
        <v>18</v>
      </c>
      <c r="Z53" s="148">
        <v>44987</v>
      </c>
      <c r="AA53" s="153">
        <v>46082</v>
      </c>
      <c r="AB53" s="141" t="s">
        <v>1394</v>
      </c>
      <c r="AC53" s="293">
        <v>22</v>
      </c>
      <c r="AD53" s="145" t="s">
        <v>18</v>
      </c>
      <c r="AE53" s="145" t="s">
        <v>18</v>
      </c>
      <c r="AF53" s="150"/>
      <c r="AG53" s="155" t="s">
        <v>17</v>
      </c>
      <c r="AH53" s="294" t="s">
        <v>2208</v>
      </c>
      <c r="AI53" s="300" t="s">
        <v>2207</v>
      </c>
      <c r="AJ53" s="195">
        <f>SUMIF('TK 15661.Bản quyền phim '!F:F,'KK1. Movies'!D53,'TK 15661.Bản quyền phim '!X:X)</f>
        <v>0</v>
      </c>
      <c r="AK53" s="195">
        <f>SUMIF('TK 15661.Bản quyền phim '!F:F,'KK1. Movies'!AI53,'TK 15661.Bản quyền phim '!X:X)</f>
        <v>0</v>
      </c>
      <c r="AL53" s="295">
        <f>COUNTIF('242.BQ Phim hợp tác'!$C:$C,'KK1. Movies'!AI53)</f>
        <v>0</v>
      </c>
      <c r="AM53" s="295">
        <f>COUNTIF('TK 15661.Bản quyền phim '!F:F,'KK1. Movies'!AI53)</f>
        <v>1</v>
      </c>
      <c r="AN53" s="296">
        <f t="shared" si="0"/>
        <v>1</v>
      </c>
      <c r="AO53" s="295"/>
      <c r="AP53" s="295"/>
      <c r="AQ53" s="295"/>
      <c r="AR53" s="295"/>
      <c r="AS53" s="295"/>
    </row>
    <row r="54" spans="1:45" s="296" customFormat="1" x14ac:dyDescent="0.3">
      <c r="A54" s="292">
        <f>_xlfn.AGGREGATE(3,3,$D$7:D54)</f>
        <v>48</v>
      </c>
      <c r="B54" s="143" t="s">
        <v>1402</v>
      </c>
      <c r="C54" s="144" t="s">
        <v>2206</v>
      </c>
      <c r="D54" s="146" t="s">
        <v>2205</v>
      </c>
      <c r="E54" s="155" t="s">
        <v>2204</v>
      </c>
      <c r="F54" s="143" t="s">
        <v>350</v>
      </c>
      <c r="G54" s="143" t="s">
        <v>1074</v>
      </c>
      <c r="H54" s="144" t="s">
        <v>1581</v>
      </c>
      <c r="I54" s="297">
        <v>2019</v>
      </c>
      <c r="J54" s="150" t="s">
        <v>133</v>
      </c>
      <c r="K54" s="297">
        <v>100</v>
      </c>
      <c r="L54" s="148">
        <v>45147</v>
      </c>
      <c r="M54" s="153">
        <v>46242</v>
      </c>
      <c r="N54" s="152">
        <v>45147</v>
      </c>
      <c r="O54" s="309" t="s">
        <v>584</v>
      </c>
      <c r="P54" s="154" t="s">
        <v>1580</v>
      </c>
      <c r="Q54" s="145" t="s">
        <v>18</v>
      </c>
      <c r="R54" s="145" t="s">
        <v>18</v>
      </c>
      <c r="S54" s="145" t="s">
        <v>20</v>
      </c>
      <c r="T54" s="145" t="s">
        <v>18</v>
      </c>
      <c r="U54" s="145" t="s">
        <v>18</v>
      </c>
      <c r="V54" s="145" t="s">
        <v>18</v>
      </c>
      <c r="W54" s="145" t="s">
        <v>18</v>
      </c>
      <c r="X54" s="145" t="s">
        <v>18</v>
      </c>
      <c r="Y54" s="145" t="s">
        <v>20</v>
      </c>
      <c r="Z54" s="148">
        <v>45147</v>
      </c>
      <c r="AA54" s="153">
        <v>46242</v>
      </c>
      <c r="AB54" s="141" t="s">
        <v>1394</v>
      </c>
      <c r="AC54" s="293">
        <v>23</v>
      </c>
      <c r="AD54" s="145" t="s">
        <v>18</v>
      </c>
      <c r="AE54" s="145" t="s">
        <v>18</v>
      </c>
      <c r="AF54" s="145"/>
      <c r="AG54" s="155" t="s">
        <v>17</v>
      </c>
      <c r="AH54" s="294"/>
      <c r="AI54" s="300" t="s">
        <v>2203</v>
      </c>
      <c r="AJ54" s="195">
        <f>SUMIF('TK 15661.Bản quyền phim '!F:F,'KK1. Movies'!D54,'TK 15661.Bản quyền phim '!X:X)</f>
        <v>0</v>
      </c>
      <c r="AK54" s="195">
        <f>SUMIF('TK 15661.Bản quyền phim '!F:F,'KK1. Movies'!AI54,'TK 15661.Bản quyền phim '!X:X)</f>
        <v>0</v>
      </c>
      <c r="AL54" s="295">
        <f>COUNTIF('242.BQ Phim hợp tác'!$C:$C,'KK1. Movies'!AI54)</f>
        <v>0</v>
      </c>
      <c r="AM54" s="295">
        <f>COUNTIF('TK 15661.Bản quyền phim '!F:F,'KK1. Movies'!AI54)</f>
        <v>1</v>
      </c>
      <c r="AN54" s="296">
        <f t="shared" si="0"/>
        <v>1</v>
      </c>
      <c r="AO54" s="295"/>
      <c r="AP54" s="295"/>
      <c r="AQ54" s="295"/>
      <c r="AR54" s="295"/>
      <c r="AS54" s="295"/>
    </row>
    <row r="55" spans="1:45" s="296" customFormat="1" ht="26.4" x14ac:dyDescent="0.3">
      <c r="A55" s="292">
        <f>_xlfn.AGGREGATE(3,3,$D$7:D55)</f>
        <v>49</v>
      </c>
      <c r="B55" s="143" t="s">
        <v>1723</v>
      </c>
      <c r="C55" s="341" t="s">
        <v>2202</v>
      </c>
      <c r="D55" s="146" t="s">
        <v>2200</v>
      </c>
      <c r="E55" s="144" t="s">
        <v>2201</v>
      </c>
      <c r="F55" s="144" t="s">
        <v>1013</v>
      </c>
      <c r="G55" s="303" t="s">
        <v>1056</v>
      </c>
      <c r="H55" s="144" t="s">
        <v>1479</v>
      </c>
      <c r="I55" s="297">
        <v>2021</v>
      </c>
      <c r="J55" s="150" t="s">
        <v>161</v>
      </c>
      <c r="K55" s="297">
        <v>82</v>
      </c>
      <c r="L55" s="148">
        <v>44945</v>
      </c>
      <c r="M55" s="148">
        <v>46040</v>
      </c>
      <c r="N55" s="157">
        <v>44945</v>
      </c>
      <c r="O55" s="309" t="s">
        <v>584</v>
      </c>
      <c r="P55" s="145" t="s">
        <v>1478</v>
      </c>
      <c r="Q55" s="150" t="s">
        <v>20</v>
      </c>
      <c r="R55" s="145" t="s">
        <v>18</v>
      </c>
      <c r="S55" s="145" t="s">
        <v>18</v>
      </c>
      <c r="T55" s="145" t="s">
        <v>18</v>
      </c>
      <c r="U55" s="145" t="s">
        <v>18</v>
      </c>
      <c r="V55" s="145" t="s">
        <v>18</v>
      </c>
      <c r="W55" s="145" t="s">
        <v>18</v>
      </c>
      <c r="X55" s="145" t="s">
        <v>18</v>
      </c>
      <c r="Y55" s="145" t="s">
        <v>18</v>
      </c>
      <c r="Z55" s="148">
        <v>44945</v>
      </c>
      <c r="AA55" s="148">
        <v>46040</v>
      </c>
      <c r="AB55" s="141" t="s">
        <v>1394</v>
      </c>
      <c r="AC55" s="293">
        <v>29</v>
      </c>
      <c r="AD55" s="145" t="s">
        <v>18</v>
      </c>
      <c r="AE55" s="145" t="s">
        <v>18</v>
      </c>
      <c r="AF55" s="146"/>
      <c r="AG55" s="155" t="s">
        <v>17</v>
      </c>
      <c r="AH55" s="294"/>
      <c r="AI55" s="300" t="s">
        <v>2200</v>
      </c>
      <c r="AJ55" s="195">
        <f>SUMIF('TK 15661.Bản quyền phim '!F:F,'KK1. Movies'!D55,'TK 15661.Bản quyền phim '!X:X)</f>
        <v>0</v>
      </c>
      <c r="AK55" s="195">
        <f>SUMIF('TK 15661.Bản quyền phim '!F:F,'KK1. Movies'!AI55,'TK 15661.Bản quyền phim '!X:X)</f>
        <v>0</v>
      </c>
      <c r="AL55" s="295">
        <f>COUNTIF('242.BQ Phim hợp tác'!$C:$C,'KK1. Movies'!AI55)</f>
        <v>0</v>
      </c>
      <c r="AM55" s="295">
        <f>COUNTIF('TK 15661.Bản quyền phim '!F:F,'KK1. Movies'!AI55)</f>
        <v>1</v>
      </c>
      <c r="AN55" s="296">
        <f t="shared" si="0"/>
        <v>1</v>
      </c>
      <c r="AO55" s="295"/>
      <c r="AP55" s="295"/>
      <c r="AQ55" s="295"/>
      <c r="AR55" s="295"/>
      <c r="AS55" s="295"/>
    </row>
    <row r="56" spans="1:45" s="296" customFormat="1" x14ac:dyDescent="0.3">
      <c r="A56" s="292">
        <f>_xlfn.AGGREGATE(3,3,$D$7:D56)</f>
        <v>50</v>
      </c>
      <c r="B56" s="144" t="s">
        <v>1402</v>
      </c>
      <c r="C56" s="144" t="s">
        <v>2199</v>
      </c>
      <c r="D56" s="144" t="s">
        <v>2197</v>
      </c>
      <c r="E56" s="144" t="s">
        <v>2198</v>
      </c>
      <c r="F56" s="144" t="s">
        <v>511</v>
      </c>
      <c r="G56" s="144" t="s">
        <v>1372</v>
      </c>
      <c r="H56" s="144" t="s">
        <v>1640</v>
      </c>
      <c r="I56" s="297">
        <v>2021</v>
      </c>
      <c r="J56" s="150" t="s">
        <v>219</v>
      </c>
      <c r="K56" s="297">
        <v>122</v>
      </c>
      <c r="L56" s="148">
        <v>44755</v>
      </c>
      <c r="M56" s="301">
        <v>46216</v>
      </c>
      <c r="N56" s="302">
        <v>44755</v>
      </c>
      <c r="O56" s="145" t="s">
        <v>584</v>
      </c>
      <c r="P56" s="154" t="s">
        <v>1639</v>
      </c>
      <c r="Q56" s="150" t="s">
        <v>20</v>
      </c>
      <c r="R56" s="145" t="s">
        <v>18</v>
      </c>
      <c r="S56" s="145" t="s">
        <v>18</v>
      </c>
      <c r="T56" s="145" t="s">
        <v>18</v>
      </c>
      <c r="U56" s="145" t="s">
        <v>319</v>
      </c>
      <c r="V56" s="145" t="s">
        <v>319</v>
      </c>
      <c r="W56" s="145" t="s">
        <v>319</v>
      </c>
      <c r="X56" s="145" t="s">
        <v>18</v>
      </c>
      <c r="Y56" s="145" t="s">
        <v>319</v>
      </c>
      <c r="Z56" s="148">
        <v>44755</v>
      </c>
      <c r="AA56" s="301">
        <v>46216</v>
      </c>
      <c r="AB56" s="297">
        <v>50</v>
      </c>
      <c r="AC56" s="293">
        <v>25</v>
      </c>
      <c r="AD56" s="145" t="s">
        <v>18</v>
      </c>
      <c r="AE56" s="145" t="s">
        <v>18</v>
      </c>
      <c r="AF56" s="150"/>
      <c r="AG56" s="155" t="s">
        <v>17</v>
      </c>
      <c r="AH56" s="294"/>
      <c r="AI56" s="299" t="s">
        <v>2197</v>
      </c>
      <c r="AJ56" s="195">
        <f>SUMIF('TK 15661.Bản quyền phim '!F:F,'KK1. Movies'!D56,'TK 15661.Bản quyền phim '!X:X)</f>
        <v>0</v>
      </c>
      <c r="AK56" s="195">
        <f>SUMIF('TK 15661.Bản quyền phim '!F:F,'KK1. Movies'!AI56,'TK 15661.Bản quyền phim '!X:X)</f>
        <v>0</v>
      </c>
      <c r="AL56" s="295">
        <f>COUNTIF('242.BQ Phim hợp tác'!$C:$C,'KK1. Movies'!AI56)</f>
        <v>0</v>
      </c>
      <c r="AM56" s="295">
        <f>COUNTIF('TK 15661.Bản quyền phim '!F:F,'KK1. Movies'!AI56)</f>
        <v>1</v>
      </c>
      <c r="AN56" s="296">
        <f t="shared" si="0"/>
        <v>1</v>
      </c>
      <c r="AO56" s="295"/>
      <c r="AP56" s="295"/>
      <c r="AQ56" s="295"/>
      <c r="AR56" s="295"/>
      <c r="AS56" s="295"/>
    </row>
    <row r="57" spans="1:45" s="296" customFormat="1" ht="39.6" x14ac:dyDescent="0.3">
      <c r="A57" s="292">
        <f>_xlfn.AGGREGATE(3,3,$D$7:D57)</f>
        <v>51</v>
      </c>
      <c r="B57" s="143" t="s">
        <v>1392</v>
      </c>
      <c r="C57" s="341" t="s">
        <v>2196</v>
      </c>
      <c r="D57" s="144" t="s">
        <v>2195</v>
      </c>
      <c r="E57" s="144" t="s">
        <v>2194</v>
      </c>
      <c r="F57" s="144" t="s">
        <v>385</v>
      </c>
      <c r="G57" s="164" t="s">
        <v>1056</v>
      </c>
      <c r="H57" s="144" t="s">
        <v>1884</v>
      </c>
      <c r="I57" s="297">
        <v>2020</v>
      </c>
      <c r="J57" s="150" t="s">
        <v>2193</v>
      </c>
      <c r="K57" s="297">
        <v>78</v>
      </c>
      <c r="L57" s="148">
        <v>44730</v>
      </c>
      <c r="M57" s="148">
        <v>46190</v>
      </c>
      <c r="N57" s="157">
        <v>44730</v>
      </c>
      <c r="O57" s="145" t="s">
        <v>132</v>
      </c>
      <c r="P57" s="154" t="s">
        <v>886</v>
      </c>
      <c r="Q57" s="150" t="s">
        <v>20</v>
      </c>
      <c r="R57" s="145" t="s">
        <v>18</v>
      </c>
      <c r="S57" s="145" t="s">
        <v>18</v>
      </c>
      <c r="T57" s="145" t="s">
        <v>18</v>
      </c>
      <c r="U57" s="145" t="s">
        <v>18</v>
      </c>
      <c r="V57" s="145" t="s">
        <v>18</v>
      </c>
      <c r="W57" s="145" t="s">
        <v>18</v>
      </c>
      <c r="X57" s="145" t="s">
        <v>18</v>
      </c>
      <c r="Y57" s="145" t="s">
        <v>18</v>
      </c>
      <c r="Z57" s="148">
        <v>44730</v>
      </c>
      <c r="AA57" s="148">
        <v>46190</v>
      </c>
      <c r="AB57" s="141" t="s">
        <v>1394</v>
      </c>
      <c r="AC57" s="293">
        <v>38</v>
      </c>
      <c r="AD57" s="145" t="s">
        <v>18</v>
      </c>
      <c r="AE57" s="145" t="s">
        <v>18</v>
      </c>
      <c r="AF57" s="150"/>
      <c r="AG57" s="155" t="s">
        <v>17</v>
      </c>
      <c r="AH57" s="294"/>
      <c r="AI57" s="300" t="s">
        <v>2192</v>
      </c>
      <c r="AJ57" s="195">
        <f>SUMIF('TK 15661.Bản quyền phim '!F:F,'KK1. Movies'!D57,'TK 15661.Bản quyền phim '!X:X)</f>
        <v>0</v>
      </c>
      <c r="AK57" s="195">
        <f>SUMIF('TK 15661.Bản quyền phim '!F:F,'KK1. Movies'!AI57,'TK 15661.Bản quyền phim '!X:X)</f>
        <v>0</v>
      </c>
      <c r="AL57" s="295">
        <f>COUNTIF('242.BQ Phim hợp tác'!$C:$C,'KK1. Movies'!AI57)</f>
        <v>0</v>
      </c>
      <c r="AM57" s="295">
        <f>COUNTIF('TK 15661.Bản quyền phim '!F:F,'KK1. Movies'!AI57)</f>
        <v>1</v>
      </c>
      <c r="AN57" s="296">
        <f t="shared" si="0"/>
        <v>1</v>
      </c>
      <c r="AO57" s="295"/>
      <c r="AP57" s="295"/>
      <c r="AQ57" s="295"/>
      <c r="AR57" s="295"/>
      <c r="AS57" s="295"/>
    </row>
    <row r="58" spans="1:45" s="296" customFormat="1" x14ac:dyDescent="0.3">
      <c r="A58" s="292">
        <f>_xlfn.AGGREGATE(3,3,$D$7:D58)</f>
        <v>52</v>
      </c>
      <c r="B58" s="156" t="s">
        <v>1145</v>
      </c>
      <c r="C58" s="144" t="s">
        <v>2190</v>
      </c>
      <c r="D58" s="160" t="s">
        <v>2189</v>
      </c>
      <c r="E58" s="142" t="s">
        <v>2191</v>
      </c>
      <c r="F58" s="158" t="s">
        <v>1907</v>
      </c>
      <c r="G58" s="158" t="s">
        <v>1341</v>
      </c>
      <c r="H58" s="144" t="s">
        <v>1340</v>
      </c>
      <c r="I58" s="159">
        <v>2023</v>
      </c>
      <c r="J58" s="159" t="s">
        <v>196</v>
      </c>
      <c r="K58" s="159">
        <v>119</v>
      </c>
      <c r="L58" s="163">
        <v>45750</v>
      </c>
      <c r="M58" s="161">
        <v>46998</v>
      </c>
      <c r="N58" s="157" t="s">
        <v>1145</v>
      </c>
      <c r="O58" s="145"/>
      <c r="P58" s="159">
        <v>12</v>
      </c>
      <c r="Q58" s="159" t="s">
        <v>20</v>
      </c>
      <c r="R58" s="145" t="s">
        <v>18</v>
      </c>
      <c r="S58" s="162" t="s">
        <v>18</v>
      </c>
      <c r="T58" s="145" t="s">
        <v>18</v>
      </c>
      <c r="U58" s="162" t="s">
        <v>18</v>
      </c>
      <c r="V58" s="162" t="s">
        <v>18</v>
      </c>
      <c r="W58" s="162" t="s">
        <v>18</v>
      </c>
      <c r="X58" s="162" t="s">
        <v>18</v>
      </c>
      <c r="Y58" s="159" t="s">
        <v>18</v>
      </c>
      <c r="Z58" s="163">
        <v>45750</v>
      </c>
      <c r="AA58" s="161">
        <v>46998</v>
      </c>
      <c r="AB58" s="159">
        <v>24</v>
      </c>
      <c r="AC58" s="293">
        <v>3</v>
      </c>
      <c r="AD58" s="145" t="s">
        <v>18</v>
      </c>
      <c r="AE58" s="145" t="s">
        <v>18</v>
      </c>
      <c r="AF58" s="150"/>
      <c r="AG58" s="155" t="s">
        <v>17</v>
      </c>
      <c r="AH58" s="294" t="s">
        <v>2190</v>
      </c>
      <c r="AI58" s="300" t="s">
        <v>2189</v>
      </c>
      <c r="AJ58" s="195">
        <f>SUMIF('TK 15661.Bản quyền phim '!F:F,'KK1. Movies'!D58,'TK 15661.Bản quyền phim '!X:X)</f>
        <v>60317460</v>
      </c>
      <c r="AK58" s="195">
        <f>SUMIF('TK 15661.Bản quyền phim '!F:F,'KK1. Movies'!AI58,'TK 15661.Bản quyền phim '!X:X)</f>
        <v>60317460</v>
      </c>
      <c r="AL58" s="295">
        <f>COUNTIF('242.BQ Phim hợp tác'!$C:$C,'KK1. Movies'!AI58)</f>
        <v>0</v>
      </c>
      <c r="AM58" s="295">
        <f>COUNTIF('TK 15661.Bản quyền phim '!F:F,'KK1. Movies'!AI58)</f>
        <v>1</v>
      </c>
      <c r="AN58" s="296">
        <f t="shared" si="0"/>
        <v>1</v>
      </c>
      <c r="AO58" s="295"/>
      <c r="AP58" s="295"/>
      <c r="AQ58" s="295"/>
      <c r="AR58" s="295"/>
      <c r="AS58" s="295"/>
    </row>
    <row r="59" spans="1:45" s="296" customFormat="1" ht="52.8" x14ac:dyDescent="0.3">
      <c r="A59" s="292">
        <f>_xlfn.AGGREGATE(3,3,$D$7:D59)</f>
        <v>53</v>
      </c>
      <c r="B59" s="143" t="s">
        <v>1402</v>
      </c>
      <c r="C59" s="144" t="s">
        <v>2188</v>
      </c>
      <c r="D59" s="144" t="s">
        <v>2187</v>
      </c>
      <c r="E59" s="144" t="s">
        <v>2186</v>
      </c>
      <c r="F59" s="144" t="s">
        <v>511</v>
      </c>
      <c r="G59" s="144" t="s">
        <v>1697</v>
      </c>
      <c r="H59" s="170">
        <v>202104013</v>
      </c>
      <c r="I59" s="141">
        <v>2015</v>
      </c>
      <c r="J59" s="150" t="s">
        <v>219</v>
      </c>
      <c r="K59" s="141">
        <v>120</v>
      </c>
      <c r="L59" s="148">
        <v>44284</v>
      </c>
      <c r="M59" s="301">
        <v>46109</v>
      </c>
      <c r="N59" s="302">
        <v>44391</v>
      </c>
      <c r="O59" s="145" t="s">
        <v>584</v>
      </c>
      <c r="P59" s="145"/>
      <c r="Q59" s="145" t="s">
        <v>20</v>
      </c>
      <c r="R59" s="145" t="s">
        <v>18</v>
      </c>
      <c r="S59" s="145" t="s">
        <v>18</v>
      </c>
      <c r="T59" s="145" t="s">
        <v>18</v>
      </c>
      <c r="U59" s="145" t="s">
        <v>18</v>
      </c>
      <c r="V59" s="145" t="s">
        <v>18</v>
      </c>
      <c r="W59" s="145" t="s">
        <v>18</v>
      </c>
      <c r="X59" s="145" t="s">
        <v>18</v>
      </c>
      <c r="Y59" s="145" t="s">
        <v>18</v>
      </c>
      <c r="Z59" s="148">
        <v>44284</v>
      </c>
      <c r="AA59" s="301">
        <v>46109</v>
      </c>
      <c r="AB59" s="293">
        <v>50</v>
      </c>
      <c r="AC59" s="151">
        <v>38</v>
      </c>
      <c r="AD59" s="145" t="s">
        <v>18</v>
      </c>
      <c r="AE59" s="145" t="s">
        <v>18</v>
      </c>
      <c r="AF59" s="150"/>
      <c r="AG59" s="155" t="s">
        <v>17</v>
      </c>
      <c r="AH59" s="294"/>
      <c r="AI59" s="300" t="s">
        <v>2185</v>
      </c>
      <c r="AJ59" s="195">
        <f>SUMIF('TK 15661.Bản quyền phim '!F:F,'KK1. Movies'!D59,'TK 15661.Bản quyền phim '!X:X)</f>
        <v>0</v>
      </c>
      <c r="AK59" s="195">
        <f>SUMIF('TK 15661.Bản quyền phim '!F:F,'KK1. Movies'!AI59,'TK 15661.Bản quyền phim '!X:X)</f>
        <v>0</v>
      </c>
      <c r="AL59" s="295">
        <f>COUNTIF('242.BQ Phim hợp tác'!$C:$C,'KK1. Movies'!AI59)</f>
        <v>0</v>
      </c>
      <c r="AM59" s="295">
        <f>COUNTIF('TK 15661.Bản quyền phim '!F:F,'KK1. Movies'!AI59)</f>
        <v>1</v>
      </c>
      <c r="AN59" s="296">
        <f t="shared" si="0"/>
        <v>1</v>
      </c>
      <c r="AO59" s="295"/>
      <c r="AP59" s="295"/>
      <c r="AQ59" s="295"/>
      <c r="AR59" s="295"/>
      <c r="AS59" s="295"/>
    </row>
    <row r="60" spans="1:45" s="296" customFormat="1" ht="26.4" x14ac:dyDescent="0.3">
      <c r="A60" s="292">
        <f>_xlfn.AGGREGATE(3,3,$D$7:D60)</f>
        <v>54</v>
      </c>
      <c r="B60" s="156" t="s">
        <v>1145</v>
      </c>
      <c r="C60" s="144" t="s">
        <v>2183</v>
      </c>
      <c r="D60" s="160" t="s">
        <v>2182</v>
      </c>
      <c r="E60" s="142" t="s">
        <v>2184</v>
      </c>
      <c r="F60" s="144" t="s">
        <v>381</v>
      </c>
      <c r="G60" s="158" t="s">
        <v>1336</v>
      </c>
      <c r="H60" s="164" t="s">
        <v>1335</v>
      </c>
      <c r="I60" s="159">
        <v>2024</v>
      </c>
      <c r="J60" s="159" t="s">
        <v>133</v>
      </c>
      <c r="K60" s="159">
        <v>101</v>
      </c>
      <c r="L60" s="163">
        <v>45751</v>
      </c>
      <c r="M60" s="161">
        <v>46846</v>
      </c>
      <c r="N60" s="157" t="s">
        <v>1145</v>
      </c>
      <c r="O60" s="145"/>
      <c r="P60" s="145"/>
      <c r="Q60" s="159" t="s">
        <v>20</v>
      </c>
      <c r="R60" s="145" t="s">
        <v>18</v>
      </c>
      <c r="S60" s="162" t="s">
        <v>18</v>
      </c>
      <c r="T60" s="145" t="s">
        <v>18</v>
      </c>
      <c r="U60" s="162" t="s">
        <v>18</v>
      </c>
      <c r="V60" s="162" t="s">
        <v>18</v>
      </c>
      <c r="W60" s="162" t="s">
        <v>18</v>
      </c>
      <c r="X60" s="162" t="s">
        <v>18</v>
      </c>
      <c r="Y60" s="162" t="s">
        <v>18</v>
      </c>
      <c r="Z60" s="161">
        <v>45948</v>
      </c>
      <c r="AA60" s="188">
        <v>47043</v>
      </c>
      <c r="AB60" s="159">
        <v>24</v>
      </c>
      <c r="AC60" s="293">
        <v>3</v>
      </c>
      <c r="AD60" s="145" t="s">
        <v>18</v>
      </c>
      <c r="AE60" s="145" t="s">
        <v>18</v>
      </c>
      <c r="AF60" s="150"/>
      <c r="AG60" s="155" t="s">
        <v>17</v>
      </c>
      <c r="AH60" s="294" t="s">
        <v>2183</v>
      </c>
      <c r="AI60" s="300" t="s">
        <v>2182</v>
      </c>
      <c r="AJ60" s="195">
        <f>SUMIF('TK 15661.Bản quyền phim '!F:F,'KK1. Movies'!D60,'TK 15661.Bản quyền phim '!X:X)</f>
        <v>47619047.333333328</v>
      </c>
      <c r="AK60" s="195">
        <f>SUMIF('TK 15661.Bản quyền phim '!F:F,'KK1. Movies'!AI60,'TK 15661.Bản quyền phim '!X:X)</f>
        <v>47619047.333333328</v>
      </c>
      <c r="AL60" s="295">
        <f>COUNTIF('242.BQ Phim hợp tác'!$C:$C,'KK1. Movies'!AI60)</f>
        <v>0</v>
      </c>
      <c r="AM60" s="295">
        <f>COUNTIF('TK 15661.Bản quyền phim '!F:F,'KK1. Movies'!AI60)</f>
        <v>1</v>
      </c>
      <c r="AN60" s="296">
        <f t="shared" si="0"/>
        <v>1</v>
      </c>
      <c r="AO60" s="295"/>
      <c r="AP60" s="295"/>
      <c r="AQ60" s="295"/>
      <c r="AR60" s="295"/>
      <c r="AS60" s="295"/>
    </row>
    <row r="61" spans="1:45" s="296" customFormat="1" ht="26.4" x14ac:dyDescent="0.3">
      <c r="A61" s="292">
        <f>_xlfn.AGGREGATE(3,3,$D$7:D61)</f>
        <v>55</v>
      </c>
      <c r="B61" s="143" t="s">
        <v>1422</v>
      </c>
      <c r="C61" s="144" t="s">
        <v>2181</v>
      </c>
      <c r="D61" s="160" t="s">
        <v>2179</v>
      </c>
      <c r="E61" s="166" t="s">
        <v>2180</v>
      </c>
      <c r="F61" s="164" t="s">
        <v>350</v>
      </c>
      <c r="G61" s="164" t="s">
        <v>198</v>
      </c>
      <c r="H61" s="164" t="s">
        <v>197</v>
      </c>
      <c r="I61" s="159">
        <v>2021</v>
      </c>
      <c r="J61" s="162" t="s">
        <v>196</v>
      </c>
      <c r="K61" s="159">
        <v>137</v>
      </c>
      <c r="L61" s="148">
        <v>45623</v>
      </c>
      <c r="M61" s="148">
        <v>46352</v>
      </c>
      <c r="N61" s="157">
        <v>45623</v>
      </c>
      <c r="O61" s="145" t="s">
        <v>584</v>
      </c>
      <c r="P61" s="168">
        <v>12</v>
      </c>
      <c r="Q61" s="159" t="s">
        <v>20</v>
      </c>
      <c r="R61" s="145" t="s">
        <v>18</v>
      </c>
      <c r="S61" s="159" t="s">
        <v>18</v>
      </c>
      <c r="T61" s="145" t="s">
        <v>18</v>
      </c>
      <c r="U61" s="159" t="s">
        <v>20</v>
      </c>
      <c r="V61" s="159" t="s">
        <v>20</v>
      </c>
      <c r="W61" s="159" t="s">
        <v>20</v>
      </c>
      <c r="X61" s="159" t="s">
        <v>20</v>
      </c>
      <c r="Y61" s="159" t="s">
        <v>18</v>
      </c>
      <c r="Z61" s="148">
        <v>45623</v>
      </c>
      <c r="AA61" s="148">
        <v>46352</v>
      </c>
      <c r="AB61" s="162">
        <v>6</v>
      </c>
      <c r="AC61" s="162">
        <v>2</v>
      </c>
      <c r="AD61" s="145" t="s">
        <v>18</v>
      </c>
      <c r="AE61" s="145" t="s">
        <v>18</v>
      </c>
      <c r="AF61" s="146"/>
      <c r="AG61" s="155" t="s">
        <v>17</v>
      </c>
      <c r="AH61" s="294"/>
      <c r="AI61" s="299" t="s">
        <v>2179</v>
      </c>
      <c r="AJ61" s="195">
        <f>SUMIF('TK 15661.Bản quyền phim '!F:F,'KK1. Movies'!D61,'TK 15661.Bản quyền phim '!X:X)</f>
        <v>0</v>
      </c>
      <c r="AK61" s="195">
        <f>SUMIF('TK 15661.Bản quyền phim '!F:F,'KK1. Movies'!AI61,'TK 15661.Bản quyền phim '!X:X)</f>
        <v>0</v>
      </c>
      <c r="AL61" s="295">
        <f>COUNTIF('242.BQ Phim hợp tác'!$C:$C,'KK1. Movies'!AI61)</f>
        <v>0</v>
      </c>
      <c r="AM61" s="295">
        <f>COUNTIF('TK 15661.Bản quyền phim '!F:F,'KK1. Movies'!AI61)</f>
        <v>1</v>
      </c>
      <c r="AN61" s="296">
        <f t="shared" si="0"/>
        <v>1</v>
      </c>
      <c r="AO61" s="295"/>
      <c r="AP61" s="295"/>
      <c r="AQ61" s="295"/>
      <c r="AR61" s="295"/>
      <c r="AS61" s="295"/>
    </row>
    <row r="62" spans="1:45" s="296" customFormat="1" ht="26.4" x14ac:dyDescent="0.3">
      <c r="A62" s="292">
        <f>_xlfn.AGGREGATE(3,3,$D$7:D62)</f>
        <v>56</v>
      </c>
      <c r="B62" s="166" t="s">
        <v>1402</v>
      </c>
      <c r="C62" s="341" t="s">
        <v>2178</v>
      </c>
      <c r="D62" s="146" t="s">
        <v>2177</v>
      </c>
      <c r="E62" s="144" t="s">
        <v>2176</v>
      </c>
      <c r="F62" s="144" t="s">
        <v>1013</v>
      </c>
      <c r="G62" s="303" t="s">
        <v>1056</v>
      </c>
      <c r="H62" s="144" t="s">
        <v>1479</v>
      </c>
      <c r="I62" s="297">
        <v>2018</v>
      </c>
      <c r="J62" s="150" t="s">
        <v>196</v>
      </c>
      <c r="K62" s="297">
        <v>122</v>
      </c>
      <c r="L62" s="148">
        <v>44960</v>
      </c>
      <c r="M62" s="163">
        <v>46055</v>
      </c>
      <c r="N62" s="157">
        <v>44960</v>
      </c>
      <c r="O62" s="309" t="s">
        <v>584</v>
      </c>
      <c r="P62" s="145" t="s">
        <v>1478</v>
      </c>
      <c r="Q62" s="150" t="s">
        <v>20</v>
      </c>
      <c r="R62" s="145" t="s">
        <v>18</v>
      </c>
      <c r="S62" s="145" t="s">
        <v>18</v>
      </c>
      <c r="T62" s="145" t="s">
        <v>18</v>
      </c>
      <c r="U62" s="145" t="s">
        <v>18</v>
      </c>
      <c r="V62" s="145" t="s">
        <v>18</v>
      </c>
      <c r="W62" s="145" t="s">
        <v>18</v>
      </c>
      <c r="X62" s="145" t="s">
        <v>18</v>
      </c>
      <c r="Y62" s="145" t="s">
        <v>18</v>
      </c>
      <c r="Z62" s="148">
        <v>44960</v>
      </c>
      <c r="AA62" s="163">
        <v>46055</v>
      </c>
      <c r="AB62" s="141" t="s">
        <v>1394</v>
      </c>
      <c r="AC62" s="293">
        <v>31</v>
      </c>
      <c r="AD62" s="145" t="s">
        <v>18</v>
      </c>
      <c r="AE62" s="145" t="s">
        <v>18</v>
      </c>
      <c r="AF62" s="155"/>
      <c r="AG62" s="155" t="s">
        <v>17</v>
      </c>
      <c r="AH62" s="294"/>
      <c r="AI62" s="300" t="s">
        <v>2175</v>
      </c>
      <c r="AJ62" s="195">
        <f>SUMIF('TK 15661.Bản quyền phim '!F:F,'KK1. Movies'!D62,'TK 15661.Bản quyền phim '!X:X)</f>
        <v>0</v>
      </c>
      <c r="AK62" s="195">
        <f>SUMIF('TK 15661.Bản quyền phim '!F:F,'KK1. Movies'!AI62,'TK 15661.Bản quyền phim '!X:X)</f>
        <v>0</v>
      </c>
      <c r="AL62" s="295">
        <f>COUNTIF('242.BQ Phim hợp tác'!$C:$C,'KK1. Movies'!AI62)</f>
        <v>0</v>
      </c>
      <c r="AM62" s="295">
        <f>COUNTIF('TK 15661.Bản quyền phim '!F:F,'KK1. Movies'!AI62)</f>
        <v>1</v>
      </c>
      <c r="AN62" s="296">
        <f t="shared" si="0"/>
        <v>1</v>
      </c>
      <c r="AO62" s="295"/>
      <c r="AP62" s="295"/>
      <c r="AQ62" s="295"/>
      <c r="AR62" s="295"/>
      <c r="AS62" s="295"/>
    </row>
    <row r="63" spans="1:45" s="296" customFormat="1" ht="26.4" x14ac:dyDescent="0.3">
      <c r="A63" s="292">
        <f>_xlfn.AGGREGATE(3,3,$D$7:D63)</f>
        <v>57</v>
      </c>
      <c r="B63" s="143" t="s">
        <v>1402</v>
      </c>
      <c r="C63" s="144" t="s">
        <v>2174</v>
      </c>
      <c r="D63" s="160" t="s">
        <v>2172</v>
      </c>
      <c r="E63" s="144" t="s">
        <v>2173</v>
      </c>
      <c r="F63" s="144" t="s">
        <v>511</v>
      </c>
      <c r="G63" s="164" t="s">
        <v>1372</v>
      </c>
      <c r="H63" s="144" t="s">
        <v>1530</v>
      </c>
      <c r="I63" s="162">
        <v>2023</v>
      </c>
      <c r="J63" s="150" t="s">
        <v>1606</v>
      </c>
      <c r="K63" s="162">
        <v>100</v>
      </c>
      <c r="L63" s="148">
        <v>45352</v>
      </c>
      <c r="M63" s="165">
        <v>46446</v>
      </c>
      <c r="N63" s="157">
        <v>45554</v>
      </c>
      <c r="O63" s="145" t="s">
        <v>584</v>
      </c>
      <c r="P63" s="159">
        <v>12</v>
      </c>
      <c r="Q63" s="162" t="s">
        <v>20</v>
      </c>
      <c r="R63" s="145" t="s">
        <v>18</v>
      </c>
      <c r="S63" s="145" t="s">
        <v>18</v>
      </c>
      <c r="T63" s="145" t="s">
        <v>18</v>
      </c>
      <c r="U63" s="145" t="s">
        <v>18</v>
      </c>
      <c r="V63" s="145" t="s">
        <v>18</v>
      </c>
      <c r="W63" s="145" t="s">
        <v>18</v>
      </c>
      <c r="X63" s="145" t="s">
        <v>18</v>
      </c>
      <c r="Y63" s="159" t="s">
        <v>20</v>
      </c>
      <c r="Z63" s="148">
        <v>45352</v>
      </c>
      <c r="AA63" s="165">
        <v>46446</v>
      </c>
      <c r="AB63" s="162">
        <v>24</v>
      </c>
      <c r="AC63" s="293">
        <v>15</v>
      </c>
      <c r="AD63" s="145" t="s">
        <v>18</v>
      </c>
      <c r="AE63" s="145" t="s">
        <v>18</v>
      </c>
      <c r="AF63" s="150"/>
      <c r="AG63" s="155" t="s">
        <v>17</v>
      </c>
      <c r="AH63" s="294"/>
      <c r="AI63" s="300" t="s">
        <v>2172</v>
      </c>
      <c r="AJ63" s="195">
        <f>SUMIF('TK 15661.Bản quyền phim '!F:F,'KK1. Movies'!D63,'TK 15661.Bản quyền phim '!X:X)</f>
        <v>33333492</v>
      </c>
      <c r="AK63" s="195">
        <f>SUMIF('TK 15661.Bản quyền phim '!F:F,'KK1. Movies'!AI63,'TK 15661.Bản quyền phim '!X:X)</f>
        <v>33333492</v>
      </c>
      <c r="AL63" s="295">
        <f>COUNTIF('242.BQ Phim hợp tác'!$C:$C,'KK1. Movies'!AI63)</f>
        <v>0</v>
      </c>
      <c r="AM63" s="295">
        <f>COUNTIF('TK 15661.Bản quyền phim '!F:F,'KK1. Movies'!AI63)</f>
        <v>1</v>
      </c>
      <c r="AN63" s="296">
        <f t="shared" si="0"/>
        <v>1</v>
      </c>
      <c r="AO63" s="295"/>
      <c r="AP63" s="295"/>
      <c r="AQ63" s="295"/>
      <c r="AR63" s="295"/>
      <c r="AS63" s="295"/>
    </row>
    <row r="64" spans="1:45" s="296" customFormat="1" ht="26.4" x14ac:dyDescent="0.3">
      <c r="A64" s="292">
        <f>_xlfn.AGGREGATE(3,3,$D$7:D64)</f>
        <v>58</v>
      </c>
      <c r="B64" s="143" t="s">
        <v>1402</v>
      </c>
      <c r="C64" s="144" t="s">
        <v>2171</v>
      </c>
      <c r="D64" s="146" t="s">
        <v>2170</v>
      </c>
      <c r="E64" s="144" t="s">
        <v>2169</v>
      </c>
      <c r="F64" s="143" t="s">
        <v>350</v>
      </c>
      <c r="G64" s="143" t="s">
        <v>1324</v>
      </c>
      <c r="H64" s="144" t="s">
        <v>1418</v>
      </c>
      <c r="I64" s="297">
        <v>2022</v>
      </c>
      <c r="J64" s="150" t="s">
        <v>133</v>
      </c>
      <c r="K64" s="297">
        <v>111</v>
      </c>
      <c r="L64" s="148">
        <v>45190</v>
      </c>
      <c r="M64" s="153">
        <v>46285</v>
      </c>
      <c r="N64" s="152">
        <v>45190</v>
      </c>
      <c r="O64" s="309" t="s">
        <v>584</v>
      </c>
      <c r="P64" s="141">
        <v>12</v>
      </c>
      <c r="Q64" s="145" t="s">
        <v>20</v>
      </c>
      <c r="R64" s="145" t="s">
        <v>18</v>
      </c>
      <c r="S64" s="145" t="s">
        <v>18</v>
      </c>
      <c r="T64" s="145" t="s">
        <v>18</v>
      </c>
      <c r="U64" s="145" t="s">
        <v>18</v>
      </c>
      <c r="V64" s="145" t="s">
        <v>18</v>
      </c>
      <c r="W64" s="145" t="s">
        <v>18</v>
      </c>
      <c r="X64" s="159" t="s">
        <v>20</v>
      </c>
      <c r="Y64" s="145" t="s">
        <v>18</v>
      </c>
      <c r="Z64" s="148">
        <v>45190</v>
      </c>
      <c r="AA64" s="153">
        <v>46285</v>
      </c>
      <c r="AB64" s="141" t="s">
        <v>1394</v>
      </c>
      <c r="AC64" s="293">
        <v>26</v>
      </c>
      <c r="AD64" s="145" t="s">
        <v>18</v>
      </c>
      <c r="AE64" s="145" t="s">
        <v>18</v>
      </c>
      <c r="AF64" s="150"/>
      <c r="AG64" s="155" t="s">
        <v>17</v>
      </c>
      <c r="AH64" s="294"/>
      <c r="AI64" s="300" t="s">
        <v>2168</v>
      </c>
      <c r="AJ64" s="195">
        <f>SUMIF('TK 15661.Bản quyền phim '!F:F,'KK1. Movies'!D64,'TK 15661.Bản quyền phim '!X:X)</f>
        <v>0</v>
      </c>
      <c r="AK64" s="195">
        <f>SUMIF('TK 15661.Bản quyền phim '!F:F,'KK1. Movies'!AI64,'TK 15661.Bản quyền phim '!X:X)</f>
        <v>0</v>
      </c>
      <c r="AL64" s="295">
        <f>COUNTIF('242.BQ Phim hợp tác'!$C:$C,'KK1. Movies'!AI64)</f>
        <v>0</v>
      </c>
      <c r="AM64" s="295">
        <f>COUNTIF('TK 15661.Bản quyền phim '!F:F,'KK1. Movies'!AI64)</f>
        <v>1</v>
      </c>
      <c r="AN64" s="296">
        <f t="shared" si="0"/>
        <v>1</v>
      </c>
      <c r="AO64" s="295"/>
      <c r="AP64" s="295"/>
      <c r="AQ64" s="295"/>
      <c r="AR64" s="295"/>
      <c r="AS64" s="295"/>
    </row>
    <row r="65" spans="1:45" s="296" customFormat="1" ht="26.4" x14ac:dyDescent="0.3">
      <c r="A65" s="292">
        <f>_xlfn.AGGREGATE(3,3,$D$7:D65)</f>
        <v>59</v>
      </c>
      <c r="B65" s="143" t="s">
        <v>1422</v>
      </c>
      <c r="C65" s="144" t="s">
        <v>2167</v>
      </c>
      <c r="D65" s="160" t="s">
        <v>2164</v>
      </c>
      <c r="E65" s="144" t="s">
        <v>2166</v>
      </c>
      <c r="F65" s="158" t="s">
        <v>2165</v>
      </c>
      <c r="G65" s="158" t="s">
        <v>1351</v>
      </c>
      <c r="H65" s="144" t="s">
        <v>1350</v>
      </c>
      <c r="I65" s="159">
        <v>2022</v>
      </c>
      <c r="J65" s="159" t="s">
        <v>178</v>
      </c>
      <c r="K65" s="159">
        <v>106</v>
      </c>
      <c r="L65" s="163">
        <v>45693</v>
      </c>
      <c r="M65" s="148">
        <v>46787</v>
      </c>
      <c r="N65" s="163">
        <v>45693</v>
      </c>
      <c r="O65" s="145"/>
      <c r="P65" s="159">
        <v>12</v>
      </c>
      <c r="Q65" s="159" t="s">
        <v>20</v>
      </c>
      <c r="R65" s="145" t="s">
        <v>18</v>
      </c>
      <c r="S65" s="162" t="s">
        <v>18</v>
      </c>
      <c r="T65" s="145" t="s">
        <v>18</v>
      </c>
      <c r="U65" s="162" t="s">
        <v>18</v>
      </c>
      <c r="V65" s="162" t="s">
        <v>18</v>
      </c>
      <c r="W65" s="162" t="s">
        <v>18</v>
      </c>
      <c r="X65" s="162" t="s">
        <v>18</v>
      </c>
      <c r="Y65" s="159" t="s">
        <v>18</v>
      </c>
      <c r="Z65" s="161">
        <v>45778</v>
      </c>
      <c r="AA65" s="344">
        <v>46873</v>
      </c>
      <c r="AB65" s="159">
        <v>24</v>
      </c>
      <c r="AC65" s="293">
        <v>5</v>
      </c>
      <c r="AD65" s="145" t="s">
        <v>18</v>
      </c>
      <c r="AE65" s="145" t="s">
        <v>18</v>
      </c>
      <c r="AF65" s="150"/>
      <c r="AG65" s="155" t="s">
        <v>17</v>
      </c>
      <c r="AH65" s="294"/>
      <c r="AI65" s="300" t="s">
        <v>2164</v>
      </c>
      <c r="AJ65" s="195">
        <f>SUMIF('TK 15661.Bản quyền phim '!F:F,'KK1. Movies'!D65,'TK 15661.Bản quyền phim '!X:X)</f>
        <v>58057142.666666672</v>
      </c>
      <c r="AK65" s="195">
        <f>SUMIF('TK 15661.Bản quyền phim '!F:F,'KK1. Movies'!AI65,'TK 15661.Bản quyền phim '!X:X)</f>
        <v>58057142.666666672</v>
      </c>
      <c r="AL65" s="295">
        <f>COUNTIF('242.BQ Phim hợp tác'!$C:$C,'KK1. Movies'!AI65)</f>
        <v>0</v>
      </c>
      <c r="AM65" s="295">
        <f>COUNTIF('TK 15661.Bản quyền phim '!F:F,'KK1. Movies'!AI65)</f>
        <v>1</v>
      </c>
      <c r="AN65" s="296">
        <f t="shared" si="0"/>
        <v>1</v>
      </c>
      <c r="AO65" s="295"/>
      <c r="AP65" s="295"/>
      <c r="AQ65" s="295"/>
      <c r="AR65" s="295"/>
      <c r="AS65" s="295"/>
    </row>
    <row r="66" spans="1:45" s="296" customFormat="1" ht="52.8" x14ac:dyDescent="0.3">
      <c r="A66" s="292">
        <f>_xlfn.AGGREGATE(3,3,$D$7:D66)</f>
        <v>60</v>
      </c>
      <c r="B66" s="156" t="s">
        <v>1145</v>
      </c>
      <c r="C66" s="144" t="s">
        <v>2163</v>
      </c>
      <c r="D66" s="160" t="s">
        <v>2161</v>
      </c>
      <c r="E66" s="166" t="s">
        <v>2162</v>
      </c>
      <c r="F66" s="144" t="s">
        <v>350</v>
      </c>
      <c r="G66" s="158" t="s">
        <v>1141</v>
      </c>
      <c r="H66" s="144" t="s">
        <v>1140</v>
      </c>
      <c r="I66" s="159">
        <v>2017</v>
      </c>
      <c r="J66" s="159" t="s">
        <v>1283</v>
      </c>
      <c r="K66" s="159">
        <v>118</v>
      </c>
      <c r="L66" s="163">
        <v>45747</v>
      </c>
      <c r="M66" s="161">
        <v>46485</v>
      </c>
      <c r="N66" s="157"/>
      <c r="O66" s="145"/>
      <c r="P66" s="145"/>
      <c r="Q66" s="159" t="s">
        <v>20</v>
      </c>
      <c r="R66" s="159" t="s">
        <v>18</v>
      </c>
      <c r="S66" s="159" t="s">
        <v>18</v>
      </c>
      <c r="T66" s="145" t="s">
        <v>18</v>
      </c>
      <c r="U66" s="159" t="s">
        <v>20</v>
      </c>
      <c r="V66" s="159" t="s">
        <v>20</v>
      </c>
      <c r="W66" s="159" t="s">
        <v>20</v>
      </c>
      <c r="X66" s="159" t="s">
        <v>18</v>
      </c>
      <c r="Y66" s="159" t="s">
        <v>20</v>
      </c>
      <c r="Z66" s="161">
        <v>45747</v>
      </c>
      <c r="AA66" s="188">
        <v>46303</v>
      </c>
      <c r="AB66" s="159">
        <v>7</v>
      </c>
      <c r="AC66" s="293">
        <v>1</v>
      </c>
      <c r="AD66" s="145" t="s">
        <v>18</v>
      </c>
      <c r="AE66" s="145" t="s">
        <v>18</v>
      </c>
      <c r="AF66" s="150"/>
      <c r="AG66" s="155" t="s">
        <v>17</v>
      </c>
      <c r="AH66" s="294"/>
      <c r="AI66" s="300" t="s">
        <v>2161</v>
      </c>
      <c r="AJ66" s="195">
        <f>SUMIF('TK 15661.Bản quyền phim '!F:F,'KK1. Movies'!D66,'TK 15661.Bản quyền phim '!X:X)</f>
        <v>46627350</v>
      </c>
      <c r="AK66" s="195">
        <f>SUMIF('TK 15661.Bản quyền phim '!F:F,'KK1. Movies'!AI66,'TK 15661.Bản quyền phim '!X:X)</f>
        <v>46627350</v>
      </c>
      <c r="AL66" s="295">
        <f>COUNTIF('242.BQ Phim hợp tác'!$C:$C,'KK1. Movies'!AI66)</f>
        <v>0</v>
      </c>
      <c r="AM66" s="295">
        <f>COUNTIF('TK 15661.Bản quyền phim '!F:F,'KK1. Movies'!AI66)</f>
        <v>1</v>
      </c>
      <c r="AN66" s="296">
        <f t="shared" si="0"/>
        <v>1</v>
      </c>
      <c r="AO66" s="295"/>
      <c r="AP66" s="295"/>
      <c r="AQ66" s="295"/>
      <c r="AR66" s="295"/>
      <c r="AS66" s="295"/>
    </row>
    <row r="67" spans="1:45" s="296" customFormat="1" x14ac:dyDescent="0.3">
      <c r="A67" s="292">
        <f>_xlfn.AGGREGATE(3,3,$D$7:D67)</f>
        <v>61</v>
      </c>
      <c r="B67" s="143" t="s">
        <v>1422</v>
      </c>
      <c r="C67" s="144" t="s">
        <v>2160</v>
      </c>
      <c r="D67" s="160" t="s">
        <v>2158</v>
      </c>
      <c r="E67" s="144" t="s">
        <v>2159</v>
      </c>
      <c r="F67" s="143" t="s">
        <v>436</v>
      </c>
      <c r="G67" s="164" t="s">
        <v>1372</v>
      </c>
      <c r="H67" s="144" t="s">
        <v>1530</v>
      </c>
      <c r="I67" s="162">
        <v>2010</v>
      </c>
      <c r="J67" s="150" t="s">
        <v>196</v>
      </c>
      <c r="K67" s="162">
        <v>93</v>
      </c>
      <c r="L67" s="148">
        <v>45323</v>
      </c>
      <c r="M67" s="165">
        <v>46418</v>
      </c>
      <c r="N67" s="157">
        <v>45542</v>
      </c>
      <c r="O67" s="145" t="s">
        <v>584</v>
      </c>
      <c r="P67" s="159">
        <v>12</v>
      </c>
      <c r="Q67" s="162" t="s">
        <v>20</v>
      </c>
      <c r="R67" s="145" t="s">
        <v>18</v>
      </c>
      <c r="S67" s="145" t="s">
        <v>18</v>
      </c>
      <c r="T67" s="145" t="s">
        <v>18</v>
      </c>
      <c r="U67" s="145" t="s">
        <v>18</v>
      </c>
      <c r="V67" s="145" t="s">
        <v>18</v>
      </c>
      <c r="W67" s="145" t="s">
        <v>18</v>
      </c>
      <c r="X67" s="145" t="s">
        <v>18</v>
      </c>
      <c r="Y67" s="159" t="s">
        <v>20</v>
      </c>
      <c r="Z67" s="148">
        <v>45323</v>
      </c>
      <c r="AA67" s="165">
        <v>46418</v>
      </c>
      <c r="AB67" s="162">
        <v>24</v>
      </c>
      <c r="AC67" s="293">
        <v>11</v>
      </c>
      <c r="AD67" s="145" t="s">
        <v>18</v>
      </c>
      <c r="AE67" s="145" t="s">
        <v>18</v>
      </c>
      <c r="AF67" s="146"/>
      <c r="AG67" s="155" t="s">
        <v>17</v>
      </c>
      <c r="AH67" s="294"/>
      <c r="AI67" s="300" t="s">
        <v>2158</v>
      </c>
      <c r="AJ67" s="195">
        <f>SUMIF('TK 15661.Bản quyền phim '!F:F,'KK1. Movies'!D67,'TK 15661.Bản quyền phim '!X:X)</f>
        <v>33333492</v>
      </c>
      <c r="AK67" s="195">
        <f>SUMIF('TK 15661.Bản quyền phim '!F:F,'KK1. Movies'!AI67,'TK 15661.Bản quyền phim '!X:X)</f>
        <v>33333492</v>
      </c>
      <c r="AL67" s="295">
        <f>COUNTIF('242.BQ Phim hợp tác'!$C:$C,'KK1. Movies'!AI67)</f>
        <v>0</v>
      </c>
      <c r="AM67" s="295">
        <f>COUNTIF('TK 15661.Bản quyền phim '!F:F,'KK1. Movies'!AI67)</f>
        <v>1</v>
      </c>
      <c r="AN67" s="296">
        <f t="shared" si="0"/>
        <v>1</v>
      </c>
      <c r="AO67" s="295"/>
      <c r="AP67" s="295"/>
      <c r="AQ67" s="295"/>
      <c r="AR67" s="295"/>
      <c r="AS67" s="295"/>
    </row>
    <row r="68" spans="1:45" s="296" customFormat="1" ht="26.4" x14ac:dyDescent="0.3">
      <c r="A68" s="292">
        <f>_xlfn.AGGREGATE(3,3,$D$7:D68)</f>
        <v>62</v>
      </c>
      <c r="B68" s="156" t="s">
        <v>1145</v>
      </c>
      <c r="C68" s="144" t="s">
        <v>2157</v>
      </c>
      <c r="D68" s="160" t="s">
        <v>2156</v>
      </c>
      <c r="E68" s="142" t="s">
        <v>2155</v>
      </c>
      <c r="F68" s="144" t="s">
        <v>511</v>
      </c>
      <c r="G68" s="158" t="s">
        <v>1336</v>
      </c>
      <c r="H68" s="164" t="s">
        <v>1335</v>
      </c>
      <c r="I68" s="159">
        <v>2024</v>
      </c>
      <c r="J68" s="159" t="s">
        <v>2154</v>
      </c>
      <c r="K68" s="159">
        <v>95</v>
      </c>
      <c r="L68" s="163">
        <v>45757</v>
      </c>
      <c r="M68" s="161">
        <v>46852</v>
      </c>
      <c r="N68" s="157" t="s">
        <v>1145</v>
      </c>
      <c r="O68" s="145"/>
      <c r="P68" s="145"/>
      <c r="Q68" s="159" t="s">
        <v>20</v>
      </c>
      <c r="R68" s="145" t="s">
        <v>18</v>
      </c>
      <c r="S68" s="162" t="s">
        <v>18</v>
      </c>
      <c r="T68" s="145" t="s">
        <v>18</v>
      </c>
      <c r="U68" s="162" t="s">
        <v>18</v>
      </c>
      <c r="V68" s="162" t="s">
        <v>18</v>
      </c>
      <c r="W68" s="162" t="s">
        <v>18</v>
      </c>
      <c r="X68" s="162" t="s">
        <v>18</v>
      </c>
      <c r="Y68" s="162" t="s">
        <v>18</v>
      </c>
      <c r="Z68" s="161">
        <v>45757</v>
      </c>
      <c r="AA68" s="188">
        <v>46852</v>
      </c>
      <c r="AB68" s="159">
        <v>24</v>
      </c>
      <c r="AC68" s="293">
        <v>3</v>
      </c>
      <c r="AD68" s="145" t="s">
        <v>18</v>
      </c>
      <c r="AE68" s="145" t="s">
        <v>18</v>
      </c>
      <c r="AF68" s="150"/>
      <c r="AG68" s="155" t="s">
        <v>17</v>
      </c>
      <c r="AH68" s="294"/>
      <c r="AI68" s="300" t="s">
        <v>2153</v>
      </c>
      <c r="AJ68" s="195">
        <f>SUMIF('TK 15661.Bản quyền phim '!F:F,'KK1. Movies'!D68,'TK 15661.Bản quyền phim '!X:X)</f>
        <v>0</v>
      </c>
      <c r="AK68" s="195">
        <f>SUMIF('TK 15661.Bản quyền phim '!F:F,'KK1. Movies'!AI68,'TK 15661.Bản quyền phim '!X:X)</f>
        <v>44444444.666666672</v>
      </c>
      <c r="AL68" s="295">
        <f>COUNTIF('242.BQ Phim hợp tác'!$C:$C,'KK1. Movies'!AI68)</f>
        <v>0</v>
      </c>
      <c r="AM68" s="295">
        <f>COUNTIF('TK 15661.Bản quyền phim '!F:F,'KK1. Movies'!AI68)</f>
        <v>1</v>
      </c>
      <c r="AN68" s="296">
        <f t="shared" si="0"/>
        <v>1</v>
      </c>
      <c r="AO68" s="295"/>
      <c r="AP68" s="295"/>
      <c r="AQ68" s="295"/>
      <c r="AR68" s="295"/>
      <c r="AS68" s="295"/>
    </row>
    <row r="69" spans="1:45" s="296" customFormat="1" x14ac:dyDescent="0.3">
      <c r="A69" s="292">
        <f>_xlfn.AGGREGATE(3,3,$D$7:D69)</f>
        <v>63</v>
      </c>
      <c r="B69" s="143" t="s">
        <v>1402</v>
      </c>
      <c r="C69" s="144" t="s">
        <v>2152</v>
      </c>
      <c r="D69" s="160" t="s">
        <v>2150</v>
      </c>
      <c r="E69" s="166" t="s">
        <v>2151</v>
      </c>
      <c r="F69" s="164" t="s">
        <v>1748</v>
      </c>
      <c r="G69" s="164" t="s">
        <v>198</v>
      </c>
      <c r="H69" s="164" t="s">
        <v>197</v>
      </c>
      <c r="I69" s="159">
        <v>2017</v>
      </c>
      <c r="J69" s="162" t="s">
        <v>196</v>
      </c>
      <c r="K69" s="159">
        <v>115</v>
      </c>
      <c r="L69" s="148">
        <v>45359</v>
      </c>
      <c r="M69" s="165">
        <v>46088</v>
      </c>
      <c r="N69" s="157">
        <v>45359</v>
      </c>
      <c r="O69" s="145" t="s">
        <v>584</v>
      </c>
      <c r="P69" s="159" t="s">
        <v>1513</v>
      </c>
      <c r="Q69" s="159" t="s">
        <v>20</v>
      </c>
      <c r="R69" s="145" t="s">
        <v>18</v>
      </c>
      <c r="S69" s="159" t="s">
        <v>18</v>
      </c>
      <c r="T69" s="145" t="s">
        <v>18</v>
      </c>
      <c r="U69" s="159" t="s">
        <v>20</v>
      </c>
      <c r="V69" s="159" t="s">
        <v>20</v>
      </c>
      <c r="W69" s="159" t="s">
        <v>20</v>
      </c>
      <c r="X69" s="159" t="s">
        <v>20</v>
      </c>
      <c r="Y69" s="159" t="s">
        <v>18</v>
      </c>
      <c r="Z69" s="148">
        <v>45359</v>
      </c>
      <c r="AA69" s="189">
        <v>46088</v>
      </c>
      <c r="AB69" s="162">
        <v>6</v>
      </c>
      <c r="AC69" s="162">
        <v>4</v>
      </c>
      <c r="AD69" s="145" t="s">
        <v>18</v>
      </c>
      <c r="AE69" s="145" t="s">
        <v>18</v>
      </c>
      <c r="AF69" s="150"/>
      <c r="AG69" s="155" t="s">
        <v>17</v>
      </c>
      <c r="AH69" s="294"/>
      <c r="AI69" s="299" t="s">
        <v>2150</v>
      </c>
      <c r="AJ69" s="195">
        <f>SUMIF('TK 15661.Bản quyền phim '!F:F,'KK1. Movies'!D69,'TK 15661.Bản quyền phim '!X:X)</f>
        <v>0</v>
      </c>
      <c r="AK69" s="195">
        <f>SUMIF('TK 15661.Bản quyền phim '!F:F,'KK1. Movies'!AI69,'TK 15661.Bản quyền phim '!X:X)</f>
        <v>0</v>
      </c>
      <c r="AL69" s="295">
        <f>COUNTIF('242.BQ Phim hợp tác'!$C:$C,'KK1. Movies'!AI69)</f>
        <v>0</v>
      </c>
      <c r="AM69" s="295">
        <f>COUNTIF('TK 15661.Bản quyền phim '!F:F,'KK1. Movies'!AI69)</f>
        <v>1</v>
      </c>
      <c r="AN69" s="296">
        <f t="shared" si="0"/>
        <v>1</v>
      </c>
      <c r="AO69" s="295"/>
      <c r="AP69" s="295"/>
      <c r="AQ69" s="295"/>
      <c r="AR69" s="295"/>
      <c r="AS69" s="295"/>
    </row>
    <row r="70" spans="1:45" s="296" customFormat="1" ht="52.8" x14ac:dyDescent="0.3">
      <c r="A70" s="292">
        <f>_xlfn.AGGREGATE(3,3,$D$7:D70)</f>
        <v>64</v>
      </c>
      <c r="B70" s="156" t="s">
        <v>1145</v>
      </c>
      <c r="C70" s="144" t="s">
        <v>2149</v>
      </c>
      <c r="D70" s="160" t="s">
        <v>2147</v>
      </c>
      <c r="E70" s="166" t="s">
        <v>2148</v>
      </c>
      <c r="F70" s="144" t="s">
        <v>1013</v>
      </c>
      <c r="G70" s="158" t="s">
        <v>1141</v>
      </c>
      <c r="H70" s="144" t="s">
        <v>1140</v>
      </c>
      <c r="I70" s="159">
        <v>2013</v>
      </c>
      <c r="J70" s="159" t="s">
        <v>1283</v>
      </c>
      <c r="K70" s="159">
        <v>109</v>
      </c>
      <c r="L70" s="163">
        <v>45747</v>
      </c>
      <c r="M70" s="161">
        <v>46492</v>
      </c>
      <c r="N70" s="157"/>
      <c r="O70" s="145"/>
      <c r="P70" s="145"/>
      <c r="Q70" s="159" t="s">
        <v>20</v>
      </c>
      <c r="R70" s="159" t="s">
        <v>18</v>
      </c>
      <c r="S70" s="159" t="s">
        <v>18</v>
      </c>
      <c r="T70" s="145" t="s">
        <v>18</v>
      </c>
      <c r="U70" s="159" t="s">
        <v>20</v>
      </c>
      <c r="V70" s="159" t="s">
        <v>20</v>
      </c>
      <c r="W70" s="159" t="s">
        <v>20</v>
      </c>
      <c r="X70" s="159" t="s">
        <v>18</v>
      </c>
      <c r="Y70" s="159" t="s">
        <v>20</v>
      </c>
      <c r="Z70" s="161">
        <v>45747</v>
      </c>
      <c r="AA70" s="188">
        <v>46310</v>
      </c>
      <c r="AB70" s="159">
        <v>7</v>
      </c>
      <c r="AC70" s="293">
        <v>1</v>
      </c>
      <c r="AD70" s="145" t="s">
        <v>18</v>
      </c>
      <c r="AE70" s="145" t="s">
        <v>18</v>
      </c>
      <c r="AF70" s="150"/>
      <c r="AG70" s="155" t="s">
        <v>17</v>
      </c>
      <c r="AH70" s="294"/>
      <c r="AI70" s="300" t="s">
        <v>2147</v>
      </c>
      <c r="AJ70" s="195">
        <f>SUMIF('TK 15661.Bản quyền phim '!F:F,'KK1. Movies'!D70,'TK 15661.Bản quyền phim '!X:X)</f>
        <v>46627350</v>
      </c>
      <c r="AK70" s="195">
        <f>SUMIF('TK 15661.Bản quyền phim '!F:F,'KK1. Movies'!AI70,'TK 15661.Bản quyền phim '!X:X)</f>
        <v>46627350</v>
      </c>
      <c r="AL70" s="295">
        <f>COUNTIF('242.BQ Phim hợp tác'!$C:$C,'KK1. Movies'!AI70)</f>
        <v>0</v>
      </c>
      <c r="AM70" s="295">
        <f>COUNTIF('TK 15661.Bản quyền phim '!F:F,'KK1. Movies'!AI70)</f>
        <v>1</v>
      </c>
      <c r="AN70" s="296">
        <f t="shared" si="0"/>
        <v>1</v>
      </c>
      <c r="AO70" s="295"/>
      <c r="AP70" s="295"/>
      <c r="AQ70" s="295"/>
      <c r="AR70" s="295"/>
      <c r="AS70" s="295"/>
    </row>
    <row r="71" spans="1:45" s="296" customFormat="1" ht="26.4" x14ac:dyDescent="0.3">
      <c r="A71" s="292">
        <f>_xlfn.AGGREGATE(3,3,$D$7:D71)</f>
        <v>65</v>
      </c>
      <c r="B71" s="166" t="s">
        <v>1402</v>
      </c>
      <c r="C71" s="341" t="s">
        <v>2146</v>
      </c>
      <c r="D71" s="146" t="s">
        <v>2145</v>
      </c>
      <c r="E71" s="144" t="s">
        <v>2144</v>
      </c>
      <c r="F71" s="144" t="s">
        <v>381</v>
      </c>
      <c r="G71" s="303" t="s">
        <v>1056</v>
      </c>
      <c r="H71" s="144" t="s">
        <v>1479</v>
      </c>
      <c r="I71" s="297">
        <v>2019</v>
      </c>
      <c r="J71" s="150" t="s">
        <v>196</v>
      </c>
      <c r="K71" s="297">
        <v>90</v>
      </c>
      <c r="L71" s="148">
        <v>45014</v>
      </c>
      <c r="M71" s="163">
        <v>46109</v>
      </c>
      <c r="N71" s="157">
        <v>45014</v>
      </c>
      <c r="O71" s="309" t="s">
        <v>584</v>
      </c>
      <c r="P71" s="145" t="s">
        <v>1478</v>
      </c>
      <c r="Q71" s="150" t="s">
        <v>20</v>
      </c>
      <c r="R71" s="145" t="s">
        <v>18</v>
      </c>
      <c r="S71" s="145" t="s">
        <v>18</v>
      </c>
      <c r="T71" s="145" t="s">
        <v>18</v>
      </c>
      <c r="U71" s="145" t="s">
        <v>18</v>
      </c>
      <c r="V71" s="145" t="s">
        <v>18</v>
      </c>
      <c r="W71" s="145" t="s">
        <v>18</v>
      </c>
      <c r="X71" s="145" t="s">
        <v>18</v>
      </c>
      <c r="Y71" s="145" t="s">
        <v>18</v>
      </c>
      <c r="Z71" s="148">
        <v>45014</v>
      </c>
      <c r="AA71" s="163">
        <v>46109</v>
      </c>
      <c r="AB71" s="141" t="s">
        <v>1394</v>
      </c>
      <c r="AC71" s="293">
        <v>32</v>
      </c>
      <c r="AD71" s="145" t="s">
        <v>18</v>
      </c>
      <c r="AE71" s="145" t="s">
        <v>18</v>
      </c>
      <c r="AF71" s="145"/>
      <c r="AG71" s="155" t="s">
        <v>17</v>
      </c>
      <c r="AH71" s="294"/>
      <c r="AI71" s="300" t="s">
        <v>2143</v>
      </c>
      <c r="AJ71" s="195">
        <f>SUMIF('TK 15661.Bản quyền phim '!F:F,'KK1. Movies'!D71,'TK 15661.Bản quyền phim '!X:X)</f>
        <v>0</v>
      </c>
      <c r="AK71" s="195">
        <f>SUMIF('TK 15661.Bản quyền phim '!F:F,'KK1. Movies'!AI71,'TK 15661.Bản quyền phim '!X:X)</f>
        <v>0</v>
      </c>
      <c r="AL71" s="295">
        <f>COUNTIF('242.BQ Phim hợp tác'!$C:$C,'KK1. Movies'!AI71)</f>
        <v>0</v>
      </c>
      <c r="AM71" s="295">
        <f>COUNTIF('TK 15661.Bản quyền phim '!F:F,'KK1. Movies'!AI71)</f>
        <v>1</v>
      </c>
      <c r="AN71" s="296">
        <f t="shared" ref="AN71:AN134" si="1">AL71+AM71</f>
        <v>1</v>
      </c>
      <c r="AO71" s="295"/>
      <c r="AP71" s="295"/>
      <c r="AQ71" s="295"/>
      <c r="AR71" s="295"/>
      <c r="AS71" s="295"/>
    </row>
    <row r="72" spans="1:45" s="296" customFormat="1" x14ac:dyDescent="0.3">
      <c r="A72" s="292">
        <f>_xlfn.AGGREGATE(3,3,$D$7:D72)</f>
        <v>66</v>
      </c>
      <c r="B72" s="143" t="s">
        <v>1402</v>
      </c>
      <c r="C72" s="341" t="s">
        <v>2142</v>
      </c>
      <c r="D72" s="146" t="s">
        <v>2141</v>
      </c>
      <c r="E72" s="155" t="s">
        <v>2140</v>
      </c>
      <c r="F72" s="143" t="s">
        <v>350</v>
      </c>
      <c r="G72" s="143" t="s">
        <v>1074</v>
      </c>
      <c r="H72" s="144" t="s">
        <v>1581</v>
      </c>
      <c r="I72" s="297">
        <v>2020</v>
      </c>
      <c r="J72" s="150" t="s">
        <v>133</v>
      </c>
      <c r="K72" s="297">
        <v>77</v>
      </c>
      <c r="L72" s="148">
        <v>45147</v>
      </c>
      <c r="M72" s="153">
        <v>46242</v>
      </c>
      <c r="N72" s="152">
        <v>45148</v>
      </c>
      <c r="O72" s="309" t="s">
        <v>584</v>
      </c>
      <c r="P72" s="154" t="s">
        <v>1580</v>
      </c>
      <c r="Q72" s="145" t="s">
        <v>18</v>
      </c>
      <c r="R72" s="145" t="s">
        <v>18</v>
      </c>
      <c r="S72" s="145" t="s">
        <v>20</v>
      </c>
      <c r="T72" s="145" t="s">
        <v>18</v>
      </c>
      <c r="U72" s="145" t="s">
        <v>18</v>
      </c>
      <c r="V72" s="145" t="s">
        <v>18</v>
      </c>
      <c r="W72" s="145" t="s">
        <v>18</v>
      </c>
      <c r="X72" s="145" t="s">
        <v>18</v>
      </c>
      <c r="Y72" s="145" t="s">
        <v>20</v>
      </c>
      <c r="Z72" s="148">
        <v>45147</v>
      </c>
      <c r="AA72" s="153">
        <v>46242</v>
      </c>
      <c r="AB72" s="141" t="s">
        <v>1394</v>
      </c>
      <c r="AC72" s="293">
        <v>23</v>
      </c>
      <c r="AD72" s="145" t="s">
        <v>18</v>
      </c>
      <c r="AE72" s="145" t="s">
        <v>18</v>
      </c>
      <c r="AF72" s="150"/>
      <c r="AG72" s="155" t="s">
        <v>17</v>
      </c>
      <c r="AH72" s="294"/>
      <c r="AI72" s="300" t="s">
        <v>2139</v>
      </c>
      <c r="AJ72" s="195">
        <f>SUMIF('TK 15661.Bản quyền phim '!F:F,'KK1. Movies'!D72,'TK 15661.Bản quyền phim '!X:X)</f>
        <v>0</v>
      </c>
      <c r="AK72" s="195">
        <f>SUMIF('TK 15661.Bản quyền phim '!F:F,'KK1. Movies'!AI72,'TK 15661.Bản quyền phim '!X:X)</f>
        <v>0</v>
      </c>
      <c r="AL72" s="295">
        <f>COUNTIF('242.BQ Phim hợp tác'!$C:$C,'KK1. Movies'!AI72)</f>
        <v>0</v>
      </c>
      <c r="AM72" s="295">
        <f>COUNTIF('TK 15661.Bản quyền phim '!F:F,'KK1. Movies'!AI72)</f>
        <v>1</v>
      </c>
      <c r="AN72" s="296">
        <f t="shared" si="1"/>
        <v>1</v>
      </c>
      <c r="AO72" s="295"/>
      <c r="AP72" s="295"/>
      <c r="AQ72" s="295"/>
      <c r="AR72" s="295"/>
      <c r="AS72" s="295"/>
    </row>
    <row r="73" spans="1:45" s="296" customFormat="1" x14ac:dyDescent="0.3">
      <c r="A73" s="292">
        <f>_xlfn.AGGREGATE(3,3,$D$7:D73)</f>
        <v>67</v>
      </c>
      <c r="B73" s="143" t="s">
        <v>1422</v>
      </c>
      <c r="C73" s="144" t="s">
        <v>2138</v>
      </c>
      <c r="D73" s="146" t="s">
        <v>2135</v>
      </c>
      <c r="E73" s="144" t="s">
        <v>2137</v>
      </c>
      <c r="F73" s="143" t="s">
        <v>350</v>
      </c>
      <c r="G73" s="303" t="s">
        <v>1372</v>
      </c>
      <c r="H73" s="144" t="s">
        <v>1415</v>
      </c>
      <c r="I73" s="297">
        <v>2018</v>
      </c>
      <c r="J73" s="150" t="s">
        <v>2136</v>
      </c>
      <c r="K73" s="297">
        <v>98</v>
      </c>
      <c r="L73" s="148">
        <v>45065</v>
      </c>
      <c r="M73" s="148">
        <v>46160</v>
      </c>
      <c r="N73" s="157">
        <v>45120</v>
      </c>
      <c r="O73" s="309" t="s">
        <v>584</v>
      </c>
      <c r="P73" s="145" t="s">
        <v>1414</v>
      </c>
      <c r="Q73" s="150" t="s">
        <v>20</v>
      </c>
      <c r="R73" s="145" t="s">
        <v>18</v>
      </c>
      <c r="S73" s="145" t="s">
        <v>18</v>
      </c>
      <c r="T73" s="145" t="s">
        <v>18</v>
      </c>
      <c r="U73" s="145" t="s">
        <v>18</v>
      </c>
      <c r="V73" s="145" t="s">
        <v>18</v>
      </c>
      <c r="W73" s="145" t="s">
        <v>18</v>
      </c>
      <c r="X73" s="145" t="s">
        <v>18</v>
      </c>
      <c r="Y73" s="145" t="s">
        <v>18</v>
      </c>
      <c r="Z73" s="148">
        <v>45065</v>
      </c>
      <c r="AA73" s="148">
        <v>46160</v>
      </c>
      <c r="AB73" s="141">
        <v>24</v>
      </c>
      <c r="AC73" s="293">
        <v>12</v>
      </c>
      <c r="AD73" s="145" t="s">
        <v>18</v>
      </c>
      <c r="AE73" s="145" t="s">
        <v>18</v>
      </c>
      <c r="AF73" s="345"/>
      <c r="AG73" s="155" t="s">
        <v>17</v>
      </c>
      <c r="AH73" s="294"/>
      <c r="AI73" s="299" t="s">
        <v>2135</v>
      </c>
      <c r="AJ73" s="195">
        <f>SUMIF('TK 15661.Bản quyền phim '!F:F,'KK1. Movies'!D73,'TK 15661.Bản quyền phim '!X:X)</f>
        <v>0</v>
      </c>
      <c r="AK73" s="195">
        <f>SUMIF('TK 15661.Bản quyền phim '!F:F,'KK1. Movies'!AI73,'TK 15661.Bản quyền phim '!X:X)</f>
        <v>0</v>
      </c>
      <c r="AL73" s="295">
        <f>COUNTIF('242.BQ Phim hợp tác'!$C:$C,'KK1. Movies'!AI73)</f>
        <v>0</v>
      </c>
      <c r="AM73" s="295">
        <f>COUNTIF('TK 15661.Bản quyền phim '!F:F,'KK1. Movies'!AI73)</f>
        <v>1</v>
      </c>
      <c r="AN73" s="296">
        <f t="shared" si="1"/>
        <v>1</v>
      </c>
      <c r="AO73" s="295"/>
      <c r="AP73" s="295"/>
      <c r="AQ73" s="295"/>
      <c r="AR73" s="295"/>
      <c r="AS73" s="295"/>
    </row>
    <row r="74" spans="1:45" s="296" customFormat="1" ht="52.8" x14ac:dyDescent="0.3">
      <c r="A74" s="292">
        <f>_xlfn.AGGREGATE(3,3,$D$7:D74)</f>
        <v>68</v>
      </c>
      <c r="B74" s="143" t="s">
        <v>1422</v>
      </c>
      <c r="C74" s="341" t="s">
        <v>2134</v>
      </c>
      <c r="D74" s="160" t="s">
        <v>2132</v>
      </c>
      <c r="E74" s="166" t="s">
        <v>2133</v>
      </c>
      <c r="F74" s="144" t="s">
        <v>1013</v>
      </c>
      <c r="G74" s="158" t="s">
        <v>1592</v>
      </c>
      <c r="H74" s="144" t="s">
        <v>1591</v>
      </c>
      <c r="I74" s="159">
        <v>2019</v>
      </c>
      <c r="J74" s="162" t="s">
        <v>178</v>
      </c>
      <c r="K74" s="159">
        <v>118</v>
      </c>
      <c r="L74" s="148">
        <v>45382</v>
      </c>
      <c r="M74" s="148">
        <v>46476</v>
      </c>
      <c r="N74" s="157">
        <v>45434</v>
      </c>
      <c r="O74" s="145" t="s">
        <v>553</v>
      </c>
      <c r="P74" s="145"/>
      <c r="Q74" s="159" t="s">
        <v>20</v>
      </c>
      <c r="R74" s="145" t="s">
        <v>18</v>
      </c>
      <c r="S74" s="145" t="s">
        <v>18</v>
      </c>
      <c r="T74" s="145" t="s">
        <v>18</v>
      </c>
      <c r="U74" s="159" t="s">
        <v>20</v>
      </c>
      <c r="V74" s="159" t="s">
        <v>20</v>
      </c>
      <c r="W74" s="159" t="s">
        <v>20</v>
      </c>
      <c r="X74" s="159" t="s">
        <v>20</v>
      </c>
      <c r="Y74" s="159" t="s">
        <v>20</v>
      </c>
      <c r="Z74" s="161">
        <v>45747</v>
      </c>
      <c r="AA74" s="188">
        <v>46294</v>
      </c>
      <c r="AB74" s="162">
        <v>7</v>
      </c>
      <c r="AC74" s="293">
        <v>3</v>
      </c>
      <c r="AD74" s="145" t="s">
        <v>18</v>
      </c>
      <c r="AE74" s="145" t="s">
        <v>18</v>
      </c>
      <c r="AF74" s="150"/>
      <c r="AG74" s="155" t="s">
        <v>17</v>
      </c>
      <c r="AH74" s="294"/>
      <c r="AI74" s="299" t="s">
        <v>2132</v>
      </c>
      <c r="AJ74" s="195">
        <f>SUMIF('TK 15661.Bản quyền phim '!F:F,'KK1. Movies'!D74,'TK 15661.Bản quyền phim '!X:X)</f>
        <v>0</v>
      </c>
      <c r="AK74" s="195">
        <f>SUMIF('TK 15661.Bản quyền phim '!F:F,'KK1. Movies'!AI74,'TK 15661.Bản quyền phim '!X:X)</f>
        <v>0</v>
      </c>
      <c r="AL74" s="295">
        <f>COUNTIF('242.BQ Phim hợp tác'!$C:$C,'KK1. Movies'!AI74)</f>
        <v>0</v>
      </c>
      <c r="AM74" s="295">
        <f>COUNTIF('TK 15661.Bản quyền phim '!F:F,'KK1. Movies'!AI74)</f>
        <v>1</v>
      </c>
      <c r="AN74" s="296">
        <f t="shared" si="1"/>
        <v>1</v>
      </c>
      <c r="AO74" s="295"/>
      <c r="AP74" s="295"/>
      <c r="AQ74" s="295"/>
      <c r="AR74" s="295"/>
      <c r="AS74" s="295"/>
    </row>
    <row r="75" spans="1:45" s="296" customFormat="1" x14ac:dyDescent="0.3">
      <c r="A75" s="292">
        <f>_xlfn.AGGREGATE(3,3,$D$7:D75)</f>
        <v>69</v>
      </c>
      <c r="B75" s="143" t="s">
        <v>1402</v>
      </c>
      <c r="C75" s="144" t="s">
        <v>2131</v>
      </c>
      <c r="D75" s="160" t="s">
        <v>2129</v>
      </c>
      <c r="E75" s="166" t="s">
        <v>2130</v>
      </c>
      <c r="F75" s="164" t="s">
        <v>1013</v>
      </c>
      <c r="G75" s="164" t="s">
        <v>198</v>
      </c>
      <c r="H75" s="164" t="s">
        <v>197</v>
      </c>
      <c r="I75" s="159">
        <v>2016</v>
      </c>
      <c r="J75" s="162" t="s">
        <v>196</v>
      </c>
      <c r="K75" s="159">
        <v>101</v>
      </c>
      <c r="L75" s="148">
        <v>45590</v>
      </c>
      <c r="M75" s="165">
        <v>46319</v>
      </c>
      <c r="N75" s="157">
        <v>45593</v>
      </c>
      <c r="O75" s="145" t="s">
        <v>584</v>
      </c>
      <c r="P75" s="159" t="s">
        <v>211</v>
      </c>
      <c r="Q75" s="159" t="s">
        <v>20</v>
      </c>
      <c r="R75" s="145" t="s">
        <v>18</v>
      </c>
      <c r="S75" s="159" t="s">
        <v>18</v>
      </c>
      <c r="T75" s="145" t="s">
        <v>18</v>
      </c>
      <c r="U75" s="159" t="s">
        <v>20</v>
      </c>
      <c r="V75" s="159" t="s">
        <v>20</v>
      </c>
      <c r="W75" s="159" t="s">
        <v>20</v>
      </c>
      <c r="X75" s="159" t="s">
        <v>20</v>
      </c>
      <c r="Y75" s="159" t="s">
        <v>18</v>
      </c>
      <c r="Z75" s="148">
        <v>45590</v>
      </c>
      <c r="AA75" s="165">
        <v>46319</v>
      </c>
      <c r="AB75" s="162">
        <v>6</v>
      </c>
      <c r="AC75" s="162">
        <v>3</v>
      </c>
      <c r="AD75" s="145" t="s">
        <v>18</v>
      </c>
      <c r="AE75" s="145" t="s">
        <v>18</v>
      </c>
      <c r="AF75" s="146"/>
      <c r="AG75" s="155" t="s">
        <v>17</v>
      </c>
      <c r="AH75" s="294"/>
      <c r="AI75" s="299" t="s">
        <v>2129</v>
      </c>
      <c r="AJ75" s="195">
        <f>SUMIF('TK 15661.Bản quyền phim '!F:F,'KK1. Movies'!D75,'TK 15661.Bản quyền phim '!X:X)</f>
        <v>0</v>
      </c>
      <c r="AK75" s="195">
        <f>SUMIF('TK 15661.Bản quyền phim '!F:F,'KK1. Movies'!AI75,'TK 15661.Bản quyền phim '!X:X)</f>
        <v>0</v>
      </c>
      <c r="AL75" s="295">
        <f>COUNTIF('242.BQ Phim hợp tác'!$C:$C,'KK1. Movies'!AI75)</f>
        <v>0</v>
      </c>
      <c r="AM75" s="295">
        <f>COUNTIF('TK 15661.Bản quyền phim '!F:F,'KK1. Movies'!AI75)</f>
        <v>1</v>
      </c>
      <c r="AN75" s="296">
        <f t="shared" si="1"/>
        <v>1</v>
      </c>
      <c r="AO75" s="295"/>
      <c r="AP75" s="295"/>
      <c r="AQ75" s="295"/>
      <c r="AR75" s="295"/>
      <c r="AS75" s="295"/>
    </row>
    <row r="76" spans="1:45" s="296" customFormat="1" ht="26.4" x14ac:dyDescent="0.3">
      <c r="A76" s="292">
        <f>_xlfn.AGGREGATE(3,3,$D$7:D76)</f>
        <v>70</v>
      </c>
      <c r="B76" s="143" t="s">
        <v>1422</v>
      </c>
      <c r="C76" s="144" t="s">
        <v>2128</v>
      </c>
      <c r="D76" s="146" t="s">
        <v>2127</v>
      </c>
      <c r="E76" s="144" t="s">
        <v>2126</v>
      </c>
      <c r="F76" s="144" t="s">
        <v>436</v>
      </c>
      <c r="G76" s="143" t="s">
        <v>1324</v>
      </c>
      <c r="H76" s="144" t="s">
        <v>1418</v>
      </c>
      <c r="I76" s="297">
        <v>2019</v>
      </c>
      <c r="J76" s="150" t="s">
        <v>133</v>
      </c>
      <c r="K76" s="297">
        <v>112</v>
      </c>
      <c r="L76" s="148">
        <v>44966</v>
      </c>
      <c r="M76" s="153">
        <v>46061</v>
      </c>
      <c r="N76" s="152">
        <v>44966</v>
      </c>
      <c r="O76" s="309" t="s">
        <v>584</v>
      </c>
      <c r="P76" s="141">
        <v>12</v>
      </c>
      <c r="Q76" s="145" t="s">
        <v>20</v>
      </c>
      <c r="R76" s="145" t="s">
        <v>18</v>
      </c>
      <c r="S76" s="145" t="s">
        <v>18</v>
      </c>
      <c r="T76" s="145" t="s">
        <v>18</v>
      </c>
      <c r="U76" s="145" t="s">
        <v>18</v>
      </c>
      <c r="V76" s="145" t="s">
        <v>18</v>
      </c>
      <c r="W76" s="145" t="s">
        <v>18</v>
      </c>
      <c r="X76" s="159" t="s">
        <v>20</v>
      </c>
      <c r="Y76" s="145" t="s">
        <v>18</v>
      </c>
      <c r="Z76" s="148">
        <v>44966</v>
      </c>
      <c r="AA76" s="153">
        <v>46061</v>
      </c>
      <c r="AB76" s="141" t="s">
        <v>1394</v>
      </c>
      <c r="AC76" s="293">
        <v>28</v>
      </c>
      <c r="AD76" s="145" t="s">
        <v>18</v>
      </c>
      <c r="AE76" s="145" t="s">
        <v>18</v>
      </c>
      <c r="AF76" s="150"/>
      <c r="AG76" s="155" t="s">
        <v>17</v>
      </c>
      <c r="AH76" s="294"/>
      <c r="AI76" s="300" t="s">
        <v>2125</v>
      </c>
      <c r="AJ76" s="195">
        <f>SUMIF('TK 15661.Bản quyền phim '!F:F,'KK1. Movies'!D76,'TK 15661.Bản quyền phim '!X:X)</f>
        <v>0</v>
      </c>
      <c r="AK76" s="195">
        <f>SUMIF('TK 15661.Bản quyền phim '!F:F,'KK1. Movies'!AI76,'TK 15661.Bản quyền phim '!X:X)</f>
        <v>0</v>
      </c>
      <c r="AL76" s="295">
        <f>COUNTIF('242.BQ Phim hợp tác'!$C:$C,'KK1. Movies'!AI76)</f>
        <v>0</v>
      </c>
      <c r="AM76" s="295">
        <f>COUNTIF('TK 15661.Bản quyền phim '!F:F,'KK1. Movies'!AI76)</f>
        <v>1</v>
      </c>
      <c r="AN76" s="296">
        <f t="shared" si="1"/>
        <v>1</v>
      </c>
      <c r="AO76" s="295"/>
      <c r="AP76" s="295"/>
      <c r="AQ76" s="295"/>
      <c r="AR76" s="295"/>
      <c r="AS76" s="295"/>
    </row>
    <row r="77" spans="1:45" s="296" customFormat="1" ht="26.4" x14ac:dyDescent="0.3">
      <c r="A77" s="292">
        <f>_xlfn.AGGREGATE(3,3,$D$7:D77)</f>
        <v>71</v>
      </c>
      <c r="B77" s="143" t="s">
        <v>1402</v>
      </c>
      <c r="C77" s="144" t="s">
        <v>2124</v>
      </c>
      <c r="D77" s="160" t="s">
        <v>2123</v>
      </c>
      <c r="E77" s="160" t="s">
        <v>2122</v>
      </c>
      <c r="F77" s="164" t="s">
        <v>1544</v>
      </c>
      <c r="G77" s="164" t="s">
        <v>1372</v>
      </c>
      <c r="H77" s="144" t="s">
        <v>1371</v>
      </c>
      <c r="I77" s="162">
        <v>2020</v>
      </c>
      <c r="J77" s="145" t="s">
        <v>88</v>
      </c>
      <c r="K77" s="162">
        <v>120</v>
      </c>
      <c r="L77" s="163">
        <v>45686</v>
      </c>
      <c r="M77" s="148">
        <v>46780</v>
      </c>
      <c r="N77" s="163">
        <v>45686</v>
      </c>
      <c r="O77" s="145"/>
      <c r="P77" s="159">
        <v>0</v>
      </c>
      <c r="Q77" s="162" t="s">
        <v>20</v>
      </c>
      <c r="R77" s="145" t="s">
        <v>18</v>
      </c>
      <c r="S77" s="159" t="s">
        <v>18</v>
      </c>
      <c r="T77" s="145" t="s">
        <v>18</v>
      </c>
      <c r="U77" s="159" t="s">
        <v>18</v>
      </c>
      <c r="V77" s="159" t="s">
        <v>18</v>
      </c>
      <c r="W77" s="159" t="s">
        <v>18</v>
      </c>
      <c r="X77" s="159" t="s">
        <v>18</v>
      </c>
      <c r="Y77" s="159" t="s">
        <v>20</v>
      </c>
      <c r="Z77" s="165">
        <v>45686</v>
      </c>
      <c r="AA77" s="189">
        <v>46780</v>
      </c>
      <c r="AB77" s="162">
        <v>24</v>
      </c>
      <c r="AC77" s="293">
        <v>6</v>
      </c>
      <c r="AD77" s="145" t="s">
        <v>18</v>
      </c>
      <c r="AE77" s="145" t="s">
        <v>18</v>
      </c>
      <c r="AF77" s="150"/>
      <c r="AG77" s="155" t="s">
        <v>17</v>
      </c>
      <c r="AH77" s="294"/>
      <c r="AI77" s="300" t="s">
        <v>2121</v>
      </c>
      <c r="AJ77" s="195">
        <f>SUMIF('TK 15661.Bản quyền phim '!F:F,'KK1. Movies'!D77,'TK 15661.Bản quyền phim '!X:X)</f>
        <v>0</v>
      </c>
      <c r="AK77" s="195">
        <f>SUMIF('TK 15661.Bản quyền phim '!F:F,'KK1. Movies'!AI77,'TK 15661.Bản quyền phim '!X:X)</f>
        <v>59932952.666666672</v>
      </c>
      <c r="AL77" s="295">
        <f>COUNTIF('242.BQ Phim hợp tác'!$C:$C,'KK1. Movies'!AI77)</f>
        <v>0</v>
      </c>
      <c r="AM77" s="295">
        <f>COUNTIF('TK 15661.Bản quyền phim '!F:F,'KK1. Movies'!AI77)</f>
        <v>1</v>
      </c>
      <c r="AN77" s="296">
        <f t="shared" si="1"/>
        <v>1</v>
      </c>
      <c r="AO77" s="295"/>
      <c r="AP77" s="295"/>
      <c r="AQ77" s="295"/>
      <c r="AR77" s="295"/>
      <c r="AS77" s="295"/>
    </row>
    <row r="78" spans="1:45" s="296" customFormat="1" ht="26.4" x14ac:dyDescent="0.3">
      <c r="A78" s="292">
        <f>_xlfn.AGGREGATE(3,3,$D$7:D78)</f>
        <v>72</v>
      </c>
      <c r="B78" s="143" t="s">
        <v>1402</v>
      </c>
      <c r="C78" s="144" t="s">
        <v>2119</v>
      </c>
      <c r="D78" s="146" t="s">
        <v>2118</v>
      </c>
      <c r="E78" s="144" t="s">
        <v>2120</v>
      </c>
      <c r="F78" s="143" t="s">
        <v>350</v>
      </c>
      <c r="G78" s="143" t="s">
        <v>1389</v>
      </c>
      <c r="H78" s="144" t="s">
        <v>1388</v>
      </c>
      <c r="I78" s="297">
        <v>2020</v>
      </c>
      <c r="J78" s="150" t="s">
        <v>133</v>
      </c>
      <c r="K78" s="297">
        <v>108</v>
      </c>
      <c r="L78" s="148">
        <v>45274</v>
      </c>
      <c r="M78" s="153">
        <v>46369</v>
      </c>
      <c r="N78" s="152">
        <v>45274</v>
      </c>
      <c r="O78" s="309" t="s">
        <v>584</v>
      </c>
      <c r="P78" s="145" t="s">
        <v>1387</v>
      </c>
      <c r="Q78" s="145" t="s">
        <v>20</v>
      </c>
      <c r="R78" s="145" t="s">
        <v>18</v>
      </c>
      <c r="S78" s="145" t="s">
        <v>20</v>
      </c>
      <c r="T78" s="145" t="s">
        <v>18</v>
      </c>
      <c r="U78" s="145" t="s">
        <v>18</v>
      </c>
      <c r="V78" s="145" t="s">
        <v>18</v>
      </c>
      <c r="W78" s="145" t="s">
        <v>18</v>
      </c>
      <c r="X78" s="145" t="s">
        <v>18</v>
      </c>
      <c r="Y78" s="145" t="s">
        <v>20</v>
      </c>
      <c r="Z78" s="148">
        <v>45274</v>
      </c>
      <c r="AA78" s="153">
        <v>46369</v>
      </c>
      <c r="AB78" s="293">
        <v>24</v>
      </c>
      <c r="AC78" s="293">
        <v>9</v>
      </c>
      <c r="AD78" s="145" t="s">
        <v>18</v>
      </c>
      <c r="AE78" s="145" t="s">
        <v>18</v>
      </c>
      <c r="AF78" s="150"/>
      <c r="AG78" s="155" t="s">
        <v>17</v>
      </c>
      <c r="AH78" s="294" t="s">
        <v>2119</v>
      </c>
      <c r="AI78" s="299" t="s">
        <v>2118</v>
      </c>
      <c r="AJ78" s="195">
        <f>SUMIF('TK 15661.Bản quyền phim '!F:F,'KK1. Movies'!D78,'TK 15661.Bản quyền phim '!X:X)</f>
        <v>0</v>
      </c>
      <c r="AK78" s="195">
        <f>SUMIF('TK 15661.Bản quyền phim '!F:F,'KK1. Movies'!AI78,'TK 15661.Bản quyền phim '!X:X)</f>
        <v>0</v>
      </c>
      <c r="AL78" s="295">
        <f>COUNTIF('242.BQ Phim hợp tác'!$C:$C,'KK1. Movies'!AI78)</f>
        <v>0</v>
      </c>
      <c r="AM78" s="295">
        <f>COUNTIF('TK 15661.Bản quyền phim '!F:F,'KK1. Movies'!AI78)</f>
        <v>1</v>
      </c>
      <c r="AN78" s="296">
        <f t="shared" si="1"/>
        <v>1</v>
      </c>
      <c r="AO78" s="295"/>
      <c r="AP78" s="295"/>
      <c r="AQ78" s="295"/>
      <c r="AR78" s="295"/>
      <c r="AS78" s="295"/>
    </row>
    <row r="79" spans="1:45" s="296" customFormat="1" ht="26.4" x14ac:dyDescent="0.3">
      <c r="A79" s="292">
        <f>_xlfn.AGGREGATE(3,3,$D$7:D79)</f>
        <v>73</v>
      </c>
      <c r="B79" s="156" t="s">
        <v>1145</v>
      </c>
      <c r="C79" s="341" t="s">
        <v>2117</v>
      </c>
      <c r="D79" s="160" t="s">
        <v>1070</v>
      </c>
      <c r="E79" s="142" t="s">
        <v>1075</v>
      </c>
      <c r="F79" s="144" t="s">
        <v>350</v>
      </c>
      <c r="G79" s="158" t="s">
        <v>1336</v>
      </c>
      <c r="H79" s="164" t="s">
        <v>1335</v>
      </c>
      <c r="I79" s="159">
        <v>2024</v>
      </c>
      <c r="J79" s="159" t="s">
        <v>133</v>
      </c>
      <c r="K79" s="159">
        <v>95</v>
      </c>
      <c r="L79" s="163">
        <v>45764</v>
      </c>
      <c r="M79" s="161">
        <v>46859</v>
      </c>
      <c r="N79" s="157" t="s">
        <v>1145</v>
      </c>
      <c r="O79" s="145"/>
      <c r="P79" s="145"/>
      <c r="Q79" s="159" t="s">
        <v>20</v>
      </c>
      <c r="R79" s="145" t="s">
        <v>18</v>
      </c>
      <c r="S79" s="162" t="s">
        <v>18</v>
      </c>
      <c r="T79" s="145" t="s">
        <v>18</v>
      </c>
      <c r="U79" s="162" t="s">
        <v>18</v>
      </c>
      <c r="V79" s="162" t="s">
        <v>18</v>
      </c>
      <c r="W79" s="162" t="s">
        <v>18</v>
      </c>
      <c r="X79" s="162" t="s">
        <v>18</v>
      </c>
      <c r="Y79" s="162" t="s">
        <v>18</v>
      </c>
      <c r="Z79" s="161">
        <v>45765</v>
      </c>
      <c r="AA79" s="188">
        <v>46860</v>
      </c>
      <c r="AB79" s="159">
        <v>24</v>
      </c>
      <c r="AC79" s="293">
        <v>3</v>
      </c>
      <c r="AD79" s="145" t="s">
        <v>18</v>
      </c>
      <c r="AE79" s="145" t="s">
        <v>18</v>
      </c>
      <c r="AF79" s="150"/>
      <c r="AG79" s="155" t="s">
        <v>17</v>
      </c>
      <c r="AH79" s="294"/>
      <c r="AI79" s="299" t="s">
        <v>2116</v>
      </c>
      <c r="AJ79" s="195">
        <f>SUMIF('TK 15661.Bản quyền phim '!F:F,'KK1. Movies'!D79,'TK 15661.Bản quyền phim '!X:X)</f>
        <v>0</v>
      </c>
      <c r="AK79" s="195">
        <f>SUMIF('TK 15661.Bản quyền phim '!F:F,'KK1. Movies'!AI79,'TK 15661.Bản quyền phim '!X:X)</f>
        <v>57142857.333333328</v>
      </c>
      <c r="AL79" s="295">
        <f>COUNTIF('242.BQ Phim hợp tác'!$C:$C,'KK1. Movies'!AI79)</f>
        <v>0</v>
      </c>
      <c r="AM79" s="295">
        <f>COUNTIF('TK 15661.Bản quyền phim '!F:F,'KK1. Movies'!AI79)</f>
        <v>1</v>
      </c>
      <c r="AN79" s="296">
        <f t="shared" si="1"/>
        <v>1</v>
      </c>
      <c r="AO79" s="295"/>
      <c r="AP79" s="295"/>
      <c r="AQ79" s="295"/>
      <c r="AR79" s="295"/>
      <c r="AS79" s="295"/>
    </row>
    <row r="80" spans="1:45" s="296" customFormat="1" ht="26.4" x14ac:dyDescent="0.3">
      <c r="A80" s="292">
        <f>_xlfn.AGGREGATE(3,3,$D$7:D80)</f>
        <v>74</v>
      </c>
      <c r="B80" s="143" t="s">
        <v>1402</v>
      </c>
      <c r="C80" s="144" t="s">
        <v>2115</v>
      </c>
      <c r="D80" s="160" t="s">
        <v>2114</v>
      </c>
      <c r="E80" s="166" t="s">
        <v>2113</v>
      </c>
      <c r="F80" s="164" t="s">
        <v>824</v>
      </c>
      <c r="G80" s="164" t="s">
        <v>1515</v>
      </c>
      <c r="H80" s="164" t="s">
        <v>1514</v>
      </c>
      <c r="I80" s="159">
        <v>2017</v>
      </c>
      <c r="J80" s="150" t="s">
        <v>133</v>
      </c>
      <c r="K80" s="159">
        <v>102</v>
      </c>
      <c r="L80" s="148">
        <v>45414</v>
      </c>
      <c r="M80" s="165">
        <v>46508</v>
      </c>
      <c r="N80" s="157">
        <v>45415</v>
      </c>
      <c r="O80" s="145" t="s">
        <v>584</v>
      </c>
      <c r="P80" s="159" t="s">
        <v>1513</v>
      </c>
      <c r="Q80" s="159" t="s">
        <v>20</v>
      </c>
      <c r="R80" s="145" t="s">
        <v>18</v>
      </c>
      <c r="S80" s="159" t="s">
        <v>18</v>
      </c>
      <c r="T80" s="145" t="s">
        <v>18</v>
      </c>
      <c r="U80" s="159" t="s">
        <v>18</v>
      </c>
      <c r="V80" s="159" t="s">
        <v>18</v>
      </c>
      <c r="W80" s="159" t="s">
        <v>18</v>
      </c>
      <c r="X80" s="145" t="s">
        <v>20</v>
      </c>
      <c r="Y80" s="159" t="s">
        <v>20</v>
      </c>
      <c r="Z80" s="148">
        <v>45414</v>
      </c>
      <c r="AA80" s="165">
        <v>46508</v>
      </c>
      <c r="AB80" s="162" t="s">
        <v>130</v>
      </c>
      <c r="AC80" s="160">
        <v>19</v>
      </c>
      <c r="AD80" s="145" t="s">
        <v>18</v>
      </c>
      <c r="AE80" s="145" t="s">
        <v>18</v>
      </c>
      <c r="AF80" s="146"/>
      <c r="AG80" s="155" t="s">
        <v>17</v>
      </c>
      <c r="AH80" s="294"/>
      <c r="AI80" s="300" t="s">
        <v>2112</v>
      </c>
      <c r="AJ80" s="195">
        <f>SUMIF('TK 15661.Bản quyền phim '!F:F,'KK1. Movies'!D80,'TK 15661.Bản quyền phim '!X:X)</f>
        <v>0</v>
      </c>
      <c r="AK80" s="195">
        <f>SUMIF('TK 15661.Bản quyền phim '!F:F,'KK1. Movies'!AI80,'TK 15661.Bản quyền phim '!X:X)</f>
        <v>33737936.666666679</v>
      </c>
      <c r="AL80" s="295">
        <f>COUNTIF('242.BQ Phim hợp tác'!$C:$C,'KK1. Movies'!AI80)</f>
        <v>0</v>
      </c>
      <c r="AM80" s="295">
        <f>COUNTIF('TK 15661.Bản quyền phim '!F:F,'KK1. Movies'!AI80)</f>
        <v>1</v>
      </c>
      <c r="AN80" s="296">
        <f t="shared" si="1"/>
        <v>1</v>
      </c>
      <c r="AO80" s="295"/>
      <c r="AP80" s="295"/>
      <c r="AQ80" s="295"/>
      <c r="AR80" s="295"/>
      <c r="AS80" s="295"/>
    </row>
    <row r="81" spans="1:45" s="296" customFormat="1" ht="52.8" x14ac:dyDescent="0.3">
      <c r="A81" s="292">
        <f>_xlfn.AGGREGATE(3,3,$D$7:D81)</f>
        <v>75</v>
      </c>
      <c r="B81" s="143" t="s">
        <v>1422</v>
      </c>
      <c r="C81" s="144" t="s">
        <v>2109</v>
      </c>
      <c r="D81" s="160" t="s">
        <v>2111</v>
      </c>
      <c r="E81" s="166" t="s">
        <v>2110</v>
      </c>
      <c r="F81" s="144" t="s">
        <v>350</v>
      </c>
      <c r="G81" s="158" t="s">
        <v>1592</v>
      </c>
      <c r="H81" s="144" t="s">
        <v>1591</v>
      </c>
      <c r="I81" s="159">
        <v>2019</v>
      </c>
      <c r="J81" s="150" t="s">
        <v>196</v>
      </c>
      <c r="K81" s="159">
        <v>108</v>
      </c>
      <c r="L81" s="148">
        <v>45382</v>
      </c>
      <c r="M81" s="161">
        <v>46111</v>
      </c>
      <c r="N81" s="157">
        <v>45427</v>
      </c>
      <c r="O81" s="145" t="s">
        <v>584</v>
      </c>
      <c r="P81" s="145"/>
      <c r="Q81" s="159" t="s">
        <v>20</v>
      </c>
      <c r="R81" s="145" t="s">
        <v>18</v>
      </c>
      <c r="S81" s="145" t="s">
        <v>18</v>
      </c>
      <c r="T81" s="145" t="s">
        <v>18</v>
      </c>
      <c r="U81" s="159" t="s">
        <v>20</v>
      </c>
      <c r="V81" s="159" t="s">
        <v>20</v>
      </c>
      <c r="W81" s="159" t="s">
        <v>20</v>
      </c>
      <c r="X81" s="159" t="s">
        <v>20</v>
      </c>
      <c r="Y81" s="159" t="s">
        <v>20</v>
      </c>
      <c r="Z81" s="148">
        <v>45382</v>
      </c>
      <c r="AA81" s="188">
        <v>46111</v>
      </c>
      <c r="AB81" s="162">
        <v>7</v>
      </c>
      <c r="AC81" s="293">
        <v>4</v>
      </c>
      <c r="AD81" s="145" t="s">
        <v>18</v>
      </c>
      <c r="AE81" s="145" t="s">
        <v>18</v>
      </c>
      <c r="AF81" s="150"/>
      <c r="AG81" s="155" t="s">
        <v>17</v>
      </c>
      <c r="AH81" s="294" t="s">
        <v>2109</v>
      </c>
      <c r="AI81" s="298" t="s">
        <v>2108</v>
      </c>
      <c r="AJ81" s="195">
        <f>SUMIF('TK 15661.Bản quyền phim '!F:F,'KK1. Movies'!D81,'TK 15661.Bản quyền phim '!X:X)</f>
        <v>0</v>
      </c>
      <c r="AK81" s="195">
        <f>SUMIF('TK 15661.Bản quyền phim '!F:F,'KK1. Movies'!AI81,'TK 15661.Bản quyền phim '!X:X)</f>
        <v>0</v>
      </c>
      <c r="AL81" s="295">
        <f>COUNTIF('242.BQ Phim hợp tác'!$C:$C,'KK1. Movies'!AI81)</f>
        <v>0</v>
      </c>
      <c r="AM81" s="295">
        <f>COUNTIF('TK 15661.Bản quyền phim '!F:F,'KK1. Movies'!AI81)</f>
        <v>1</v>
      </c>
      <c r="AN81" s="296">
        <f t="shared" si="1"/>
        <v>1</v>
      </c>
      <c r="AO81" s="295"/>
      <c r="AP81" s="295"/>
      <c r="AQ81" s="295"/>
      <c r="AR81" s="295"/>
      <c r="AS81" s="295"/>
    </row>
    <row r="82" spans="1:45" s="296" customFormat="1" ht="52.8" x14ac:dyDescent="0.3">
      <c r="A82" s="292">
        <f>_xlfn.AGGREGATE(3,3,$D$7:D82)</f>
        <v>76</v>
      </c>
      <c r="B82" s="143" t="s">
        <v>1402</v>
      </c>
      <c r="C82" s="341" t="s">
        <v>2107</v>
      </c>
      <c r="D82" s="160" t="s">
        <v>2104</v>
      </c>
      <c r="E82" s="166" t="s">
        <v>2106</v>
      </c>
      <c r="F82" s="144" t="s">
        <v>1013</v>
      </c>
      <c r="G82" s="158" t="s">
        <v>1592</v>
      </c>
      <c r="H82" s="144" t="s">
        <v>1591</v>
      </c>
      <c r="I82" s="159">
        <v>2011</v>
      </c>
      <c r="J82" s="162" t="s">
        <v>2105</v>
      </c>
      <c r="K82" s="159">
        <v>110</v>
      </c>
      <c r="L82" s="148">
        <v>45505</v>
      </c>
      <c r="M82" s="161">
        <v>46234</v>
      </c>
      <c r="N82" s="157">
        <v>45540</v>
      </c>
      <c r="O82" s="145" t="s">
        <v>553</v>
      </c>
      <c r="P82" s="145"/>
      <c r="Q82" s="159" t="s">
        <v>20</v>
      </c>
      <c r="R82" s="145" t="s">
        <v>18</v>
      </c>
      <c r="S82" s="145" t="s">
        <v>18</v>
      </c>
      <c r="T82" s="145" t="s">
        <v>18</v>
      </c>
      <c r="U82" s="159" t="s">
        <v>20</v>
      </c>
      <c r="V82" s="159" t="s">
        <v>20</v>
      </c>
      <c r="W82" s="159" t="s">
        <v>20</v>
      </c>
      <c r="X82" s="159" t="s">
        <v>20</v>
      </c>
      <c r="Y82" s="159" t="s">
        <v>20</v>
      </c>
      <c r="Z82" s="161">
        <v>45505</v>
      </c>
      <c r="AA82" s="188">
        <v>46053</v>
      </c>
      <c r="AB82" s="162">
        <v>7</v>
      </c>
      <c r="AC82" s="293">
        <v>3</v>
      </c>
      <c r="AD82" s="145" t="s">
        <v>18</v>
      </c>
      <c r="AE82" s="145" t="s">
        <v>18</v>
      </c>
      <c r="AF82" s="150"/>
      <c r="AG82" s="155" t="s">
        <v>17</v>
      </c>
      <c r="AH82" s="294"/>
      <c r="AI82" s="299" t="s">
        <v>2104</v>
      </c>
      <c r="AJ82" s="195">
        <f>SUMIF('TK 15661.Bản quyền phim '!F:F,'KK1. Movies'!D82,'TK 15661.Bản quyền phim '!X:X)</f>
        <v>0</v>
      </c>
      <c r="AK82" s="195">
        <f>SUMIF('TK 15661.Bản quyền phim '!F:F,'KK1. Movies'!AI82,'TK 15661.Bản quyền phim '!X:X)</f>
        <v>0</v>
      </c>
      <c r="AL82" s="295">
        <f>COUNTIF('242.BQ Phim hợp tác'!$C:$C,'KK1. Movies'!AI82)</f>
        <v>0</v>
      </c>
      <c r="AM82" s="295">
        <f>COUNTIF('TK 15661.Bản quyền phim '!F:F,'KK1. Movies'!AI82)</f>
        <v>1</v>
      </c>
      <c r="AN82" s="296">
        <f t="shared" si="1"/>
        <v>1</v>
      </c>
      <c r="AO82" s="295"/>
      <c r="AP82" s="295"/>
      <c r="AQ82" s="295"/>
      <c r="AR82" s="295"/>
      <c r="AS82" s="295"/>
    </row>
    <row r="83" spans="1:45" s="296" customFormat="1" ht="26.4" x14ac:dyDescent="0.3">
      <c r="A83" s="292">
        <f>_xlfn.AGGREGATE(3,3,$D$7:D83)</f>
        <v>77</v>
      </c>
      <c r="B83" s="143" t="s">
        <v>1422</v>
      </c>
      <c r="C83" s="341" t="s">
        <v>2103</v>
      </c>
      <c r="D83" s="146" t="s">
        <v>2101</v>
      </c>
      <c r="E83" s="144" t="s">
        <v>2102</v>
      </c>
      <c r="F83" s="143" t="s">
        <v>436</v>
      </c>
      <c r="G83" s="303" t="s">
        <v>1056</v>
      </c>
      <c r="H83" s="144" t="s">
        <v>1479</v>
      </c>
      <c r="I83" s="297">
        <v>2021</v>
      </c>
      <c r="J83" s="150" t="s">
        <v>178</v>
      </c>
      <c r="K83" s="297">
        <v>115</v>
      </c>
      <c r="L83" s="148">
        <v>45051</v>
      </c>
      <c r="M83" s="163">
        <v>46146</v>
      </c>
      <c r="N83" s="157">
        <v>45051</v>
      </c>
      <c r="O83" s="309" t="s">
        <v>584</v>
      </c>
      <c r="P83" s="145" t="s">
        <v>1478</v>
      </c>
      <c r="Q83" s="150" t="s">
        <v>20</v>
      </c>
      <c r="R83" s="145" t="s">
        <v>18</v>
      </c>
      <c r="S83" s="145" t="s">
        <v>18</v>
      </c>
      <c r="T83" s="145" t="s">
        <v>18</v>
      </c>
      <c r="U83" s="145" t="s">
        <v>18</v>
      </c>
      <c r="V83" s="145" t="s">
        <v>18</v>
      </c>
      <c r="W83" s="145" t="s">
        <v>18</v>
      </c>
      <c r="X83" s="145" t="s">
        <v>18</v>
      </c>
      <c r="Y83" s="145" t="s">
        <v>18</v>
      </c>
      <c r="Z83" s="148">
        <v>45051</v>
      </c>
      <c r="AA83" s="163">
        <v>46146</v>
      </c>
      <c r="AB83" s="141" t="s">
        <v>1394</v>
      </c>
      <c r="AC83" s="293">
        <v>26</v>
      </c>
      <c r="AD83" s="145" t="s">
        <v>18</v>
      </c>
      <c r="AE83" s="145" t="s">
        <v>18</v>
      </c>
      <c r="AF83" s="150"/>
      <c r="AG83" s="155" t="s">
        <v>17</v>
      </c>
      <c r="AH83" s="294"/>
      <c r="AI83" s="300" t="s">
        <v>2101</v>
      </c>
      <c r="AJ83" s="195">
        <f>SUMIF('TK 15661.Bản quyền phim '!F:F,'KK1. Movies'!D83,'TK 15661.Bản quyền phim '!X:X)</f>
        <v>0</v>
      </c>
      <c r="AK83" s="195">
        <f>SUMIF('TK 15661.Bản quyền phim '!F:F,'KK1. Movies'!AI83,'TK 15661.Bản quyền phim '!X:X)</f>
        <v>0</v>
      </c>
      <c r="AL83" s="295">
        <f>COUNTIF('242.BQ Phim hợp tác'!$C:$C,'KK1. Movies'!AI83)</f>
        <v>0</v>
      </c>
      <c r="AM83" s="295">
        <f>COUNTIF('TK 15661.Bản quyền phim '!F:F,'KK1. Movies'!AI83)</f>
        <v>1</v>
      </c>
      <c r="AN83" s="296">
        <f t="shared" si="1"/>
        <v>1</v>
      </c>
      <c r="AO83" s="295"/>
      <c r="AP83" s="295"/>
      <c r="AQ83" s="295"/>
      <c r="AR83" s="295"/>
      <c r="AS83" s="295"/>
    </row>
    <row r="84" spans="1:45" s="296" customFormat="1" ht="39.6" x14ac:dyDescent="0.3">
      <c r="A84" s="292">
        <f>_xlfn.AGGREGATE(3,3,$D$7:D84)</f>
        <v>78</v>
      </c>
      <c r="B84" s="143" t="s">
        <v>1392</v>
      </c>
      <c r="C84" s="341" t="s">
        <v>2100</v>
      </c>
      <c r="D84" s="146" t="s">
        <v>2099</v>
      </c>
      <c r="E84" s="155" t="s">
        <v>2098</v>
      </c>
      <c r="F84" s="144" t="s">
        <v>385</v>
      </c>
      <c r="G84" s="143" t="s">
        <v>1389</v>
      </c>
      <c r="H84" s="144" t="s">
        <v>1635</v>
      </c>
      <c r="I84" s="297">
        <v>2022</v>
      </c>
      <c r="J84" s="145" t="s">
        <v>196</v>
      </c>
      <c r="K84" s="297">
        <v>98</v>
      </c>
      <c r="L84" s="148">
        <v>45157</v>
      </c>
      <c r="M84" s="153">
        <v>46252</v>
      </c>
      <c r="N84" s="157">
        <v>45157</v>
      </c>
      <c r="O84" s="145" t="s">
        <v>132</v>
      </c>
      <c r="P84" s="145" t="s">
        <v>1387</v>
      </c>
      <c r="Q84" s="150" t="s">
        <v>20</v>
      </c>
      <c r="R84" s="145" t="s">
        <v>18</v>
      </c>
      <c r="S84" s="145" t="s">
        <v>18</v>
      </c>
      <c r="T84" s="145" t="s">
        <v>18</v>
      </c>
      <c r="U84" s="145" t="s">
        <v>18</v>
      </c>
      <c r="V84" s="145" t="s">
        <v>18</v>
      </c>
      <c r="W84" s="145" t="s">
        <v>18</v>
      </c>
      <c r="X84" s="145" t="s">
        <v>18</v>
      </c>
      <c r="Y84" s="145" t="s">
        <v>20</v>
      </c>
      <c r="Z84" s="153">
        <v>45170</v>
      </c>
      <c r="AA84" s="308">
        <v>46252</v>
      </c>
      <c r="AB84" s="141">
        <v>24</v>
      </c>
      <c r="AC84" s="293">
        <v>21</v>
      </c>
      <c r="AD84" s="145" t="s">
        <v>18</v>
      </c>
      <c r="AE84" s="145" t="s">
        <v>18</v>
      </c>
      <c r="AF84" s="150"/>
      <c r="AG84" s="155" t="s">
        <v>17</v>
      </c>
      <c r="AH84" s="294"/>
      <c r="AI84" s="300" t="s">
        <v>2097</v>
      </c>
      <c r="AJ84" s="195">
        <f>SUMIF('TK 15661.Bản quyền phim '!F:F,'KK1. Movies'!D84,'TK 15661.Bản quyền phim '!X:X)</f>
        <v>0</v>
      </c>
      <c r="AK84" s="195">
        <f>SUMIF('TK 15661.Bản quyền phim '!F:F,'KK1. Movies'!AI84,'TK 15661.Bản quyền phim '!X:X)</f>
        <v>0</v>
      </c>
      <c r="AL84" s="295">
        <f>COUNTIF('242.BQ Phim hợp tác'!$C:$C,'KK1. Movies'!AI84)</f>
        <v>0</v>
      </c>
      <c r="AM84" s="295">
        <f>COUNTIF('TK 15661.Bản quyền phim '!F:F,'KK1. Movies'!AI84)</f>
        <v>1</v>
      </c>
      <c r="AN84" s="296">
        <f t="shared" si="1"/>
        <v>1</v>
      </c>
      <c r="AO84" s="295"/>
      <c r="AP84" s="295"/>
      <c r="AQ84" s="295"/>
      <c r="AR84" s="295"/>
      <c r="AS84" s="295"/>
    </row>
    <row r="85" spans="1:45" s="296" customFormat="1" ht="26.4" x14ac:dyDescent="0.3">
      <c r="A85" s="292">
        <f>_xlfn.AGGREGATE(3,3,$D$7:D85)</f>
        <v>79</v>
      </c>
      <c r="B85" s="143" t="s">
        <v>1402</v>
      </c>
      <c r="C85" s="341" t="s">
        <v>2096</v>
      </c>
      <c r="D85" s="146" t="s">
        <v>2094</v>
      </c>
      <c r="E85" s="144" t="s">
        <v>2095</v>
      </c>
      <c r="F85" s="144" t="s">
        <v>1013</v>
      </c>
      <c r="G85" s="303" t="s">
        <v>1056</v>
      </c>
      <c r="H85" s="144" t="s">
        <v>1479</v>
      </c>
      <c r="I85" s="297">
        <v>2021</v>
      </c>
      <c r="J85" s="150" t="s">
        <v>133</v>
      </c>
      <c r="K85" s="297">
        <v>108</v>
      </c>
      <c r="L85" s="148">
        <v>45058</v>
      </c>
      <c r="M85" s="163">
        <v>46153</v>
      </c>
      <c r="N85" s="157">
        <v>45058</v>
      </c>
      <c r="O85" s="309" t="s">
        <v>584</v>
      </c>
      <c r="P85" s="145" t="s">
        <v>1478</v>
      </c>
      <c r="Q85" s="150" t="s">
        <v>20</v>
      </c>
      <c r="R85" s="145" t="s">
        <v>18</v>
      </c>
      <c r="S85" s="145" t="s">
        <v>18</v>
      </c>
      <c r="T85" s="145" t="s">
        <v>18</v>
      </c>
      <c r="U85" s="145" t="s">
        <v>18</v>
      </c>
      <c r="V85" s="145" t="s">
        <v>18</v>
      </c>
      <c r="W85" s="145" t="s">
        <v>18</v>
      </c>
      <c r="X85" s="145" t="s">
        <v>18</v>
      </c>
      <c r="Y85" s="145" t="s">
        <v>18</v>
      </c>
      <c r="Z85" s="148">
        <v>45058</v>
      </c>
      <c r="AA85" s="163">
        <v>46153</v>
      </c>
      <c r="AB85" s="141" t="s">
        <v>1394</v>
      </c>
      <c r="AC85" s="293">
        <v>34</v>
      </c>
      <c r="AD85" s="145" t="s">
        <v>18</v>
      </c>
      <c r="AE85" s="145" t="s">
        <v>18</v>
      </c>
      <c r="AF85" s="150"/>
      <c r="AG85" s="155" t="s">
        <v>17</v>
      </c>
      <c r="AH85" s="294"/>
      <c r="AI85" s="144" t="s">
        <v>2094</v>
      </c>
      <c r="AJ85" s="195">
        <f>SUMIF('TK 15661.Bản quyền phim '!F:F,'KK1. Movies'!D85,'TK 15661.Bản quyền phim '!X:X)</f>
        <v>0</v>
      </c>
      <c r="AK85" s="195">
        <f>SUMIF('TK 15661.Bản quyền phim '!F:F,'KK1. Movies'!AI85,'TK 15661.Bản quyền phim '!X:X)</f>
        <v>0</v>
      </c>
      <c r="AL85" s="295">
        <f>COUNTIF('242.BQ Phim hợp tác'!$C:$C,'KK1. Movies'!AI85)</f>
        <v>0</v>
      </c>
      <c r="AM85" s="295">
        <f>COUNTIF('TK 15661.Bản quyền phim '!F:F,'KK1. Movies'!AI85)</f>
        <v>1</v>
      </c>
      <c r="AN85" s="296">
        <f t="shared" si="1"/>
        <v>1</v>
      </c>
      <c r="AO85" s="295"/>
      <c r="AP85" s="295"/>
      <c r="AQ85" s="295"/>
      <c r="AR85" s="295"/>
      <c r="AS85" s="295"/>
    </row>
    <row r="86" spans="1:45" s="296" customFormat="1" ht="39.6" x14ac:dyDescent="0.3">
      <c r="A86" s="292">
        <f>_xlfn.AGGREGATE(3,3,$D$7:D86)</f>
        <v>80</v>
      </c>
      <c r="B86" s="143"/>
      <c r="C86" s="144" t="s">
        <v>2091</v>
      </c>
      <c r="D86" s="160" t="s">
        <v>2093</v>
      </c>
      <c r="E86" s="160" t="s">
        <v>2093</v>
      </c>
      <c r="F86" s="164" t="s">
        <v>2092</v>
      </c>
      <c r="G86" s="158" t="s">
        <v>198</v>
      </c>
      <c r="H86" s="164" t="s">
        <v>1208</v>
      </c>
      <c r="I86" s="162">
        <v>2022</v>
      </c>
      <c r="J86" s="159" t="s">
        <v>196</v>
      </c>
      <c r="K86" s="162">
        <v>158</v>
      </c>
      <c r="L86" s="165">
        <v>45770</v>
      </c>
      <c r="M86" s="165">
        <v>46499</v>
      </c>
      <c r="N86" s="157"/>
      <c r="O86" s="145"/>
      <c r="P86" s="159">
        <v>12</v>
      </c>
      <c r="Q86" s="159" t="s">
        <v>20</v>
      </c>
      <c r="R86" s="145" t="s">
        <v>18</v>
      </c>
      <c r="S86" s="159" t="s">
        <v>18</v>
      </c>
      <c r="T86" s="145" t="s">
        <v>18</v>
      </c>
      <c r="U86" s="159" t="s">
        <v>20</v>
      </c>
      <c r="V86" s="159" t="s">
        <v>20</v>
      </c>
      <c r="W86" s="159" t="s">
        <v>20</v>
      </c>
      <c r="X86" s="159" t="s">
        <v>18</v>
      </c>
      <c r="Y86" s="159" t="s">
        <v>18</v>
      </c>
      <c r="Z86" s="165">
        <v>45770</v>
      </c>
      <c r="AA86" s="189">
        <v>46499</v>
      </c>
      <c r="AB86" s="159">
        <v>6</v>
      </c>
      <c r="AC86" s="293">
        <v>1</v>
      </c>
      <c r="AD86" s="145" t="s">
        <v>18</v>
      </c>
      <c r="AE86" s="145" t="s">
        <v>18</v>
      </c>
      <c r="AF86" s="150"/>
      <c r="AG86" s="155" t="s">
        <v>17</v>
      </c>
      <c r="AH86" s="294" t="s">
        <v>2091</v>
      </c>
      <c r="AI86" s="198" t="s">
        <v>2090</v>
      </c>
      <c r="AJ86" s="195">
        <f>SUMIF('TK 15661.Bản quyền phim '!F:F,'KK1. Movies'!D86,'TK 15661.Bản quyền phim '!X:X)</f>
        <v>0</v>
      </c>
      <c r="AK86" s="195">
        <f>SUMIF('TK 15661.Bản quyền phim '!F:F,'KK1. Movies'!AI86,'TK 15661.Bản quyền phim '!X:X)</f>
        <v>50311800</v>
      </c>
      <c r="AL86" s="295">
        <f>COUNTIF('242.BQ Phim hợp tác'!$C:$C,'KK1. Movies'!AI86)</f>
        <v>0</v>
      </c>
      <c r="AM86" s="295">
        <f>COUNTIF('TK 15661.Bản quyền phim '!F:F,'KK1. Movies'!AI86)</f>
        <v>1</v>
      </c>
      <c r="AN86" s="296">
        <f t="shared" si="1"/>
        <v>1</v>
      </c>
      <c r="AO86" s="295"/>
      <c r="AP86" s="295"/>
      <c r="AQ86" s="295"/>
      <c r="AR86" s="295"/>
      <c r="AS86" s="295"/>
    </row>
    <row r="87" spans="1:45" s="296" customFormat="1" x14ac:dyDescent="0.3">
      <c r="A87" s="292">
        <f>_xlfn.AGGREGATE(3,3,$D$7:D87)</f>
        <v>81</v>
      </c>
      <c r="B87" s="143" t="s">
        <v>1402</v>
      </c>
      <c r="C87" s="144" t="s">
        <v>2089</v>
      </c>
      <c r="D87" s="144" t="s">
        <v>2087</v>
      </c>
      <c r="E87" s="144" t="s">
        <v>2088</v>
      </c>
      <c r="F87" s="144" t="s">
        <v>511</v>
      </c>
      <c r="G87" s="144" t="s">
        <v>1697</v>
      </c>
      <c r="H87" s="170">
        <v>202104013</v>
      </c>
      <c r="I87" s="141">
        <v>2015</v>
      </c>
      <c r="J87" s="145" t="s">
        <v>219</v>
      </c>
      <c r="K87" s="141">
        <v>119</v>
      </c>
      <c r="L87" s="148">
        <v>44284</v>
      </c>
      <c r="M87" s="148">
        <v>46109</v>
      </c>
      <c r="N87" s="302">
        <v>44342</v>
      </c>
      <c r="O87" s="145" t="s">
        <v>584</v>
      </c>
      <c r="P87" s="145"/>
      <c r="Q87" s="145" t="s">
        <v>20</v>
      </c>
      <c r="R87" s="145" t="s">
        <v>18</v>
      </c>
      <c r="S87" s="145" t="s">
        <v>18</v>
      </c>
      <c r="T87" s="145" t="s">
        <v>18</v>
      </c>
      <c r="U87" s="145" t="s">
        <v>18</v>
      </c>
      <c r="V87" s="145" t="s">
        <v>18</v>
      </c>
      <c r="W87" s="145" t="s">
        <v>18</v>
      </c>
      <c r="X87" s="145" t="s">
        <v>18</v>
      </c>
      <c r="Y87" s="145" t="s">
        <v>18</v>
      </c>
      <c r="Z87" s="148">
        <v>44284</v>
      </c>
      <c r="AA87" s="148">
        <v>46109</v>
      </c>
      <c r="AB87" s="293">
        <v>40</v>
      </c>
      <c r="AC87" s="151">
        <v>29</v>
      </c>
      <c r="AD87" s="145" t="s">
        <v>18</v>
      </c>
      <c r="AE87" s="145" t="s">
        <v>18</v>
      </c>
      <c r="AF87" s="150"/>
      <c r="AG87" s="155" t="s">
        <v>17</v>
      </c>
      <c r="AH87" s="294"/>
      <c r="AI87" s="299" t="s">
        <v>2087</v>
      </c>
      <c r="AJ87" s="195">
        <f>SUMIF('TK 15661.Bản quyền phim '!F:F,'KK1. Movies'!D87,'TK 15661.Bản quyền phim '!X:X)</f>
        <v>0</v>
      </c>
      <c r="AK87" s="195">
        <f>SUMIF('TK 15661.Bản quyền phim '!F:F,'KK1. Movies'!AI87,'TK 15661.Bản quyền phim '!X:X)</f>
        <v>0</v>
      </c>
      <c r="AL87" s="295">
        <f>COUNTIF('242.BQ Phim hợp tác'!$C:$C,'KK1. Movies'!AI87)</f>
        <v>0</v>
      </c>
      <c r="AM87" s="295">
        <f>COUNTIF('TK 15661.Bản quyền phim '!F:F,'KK1. Movies'!AI87)</f>
        <v>1</v>
      </c>
      <c r="AN87" s="296">
        <f t="shared" si="1"/>
        <v>1</v>
      </c>
      <c r="AO87" s="295"/>
      <c r="AP87" s="295"/>
      <c r="AQ87" s="295"/>
      <c r="AR87" s="295"/>
      <c r="AS87" s="295"/>
    </row>
    <row r="88" spans="1:45" s="296" customFormat="1" ht="26.4" x14ac:dyDescent="0.3">
      <c r="A88" s="292">
        <f>_xlfn.AGGREGATE(3,3,$D$7:D88)</f>
        <v>82</v>
      </c>
      <c r="B88" s="156" t="s">
        <v>1145</v>
      </c>
      <c r="C88" s="144" t="s">
        <v>2086</v>
      </c>
      <c r="D88" s="160" t="s">
        <v>2084</v>
      </c>
      <c r="E88" s="166" t="s">
        <v>2085</v>
      </c>
      <c r="F88" s="144" t="s">
        <v>436</v>
      </c>
      <c r="G88" s="158" t="s">
        <v>1324</v>
      </c>
      <c r="H88" s="144" t="s">
        <v>1323</v>
      </c>
      <c r="I88" s="159">
        <v>2024</v>
      </c>
      <c r="J88" s="159" t="s">
        <v>133</v>
      </c>
      <c r="K88" s="159">
        <v>106</v>
      </c>
      <c r="L88" s="163">
        <v>45690</v>
      </c>
      <c r="M88" s="161">
        <v>46784</v>
      </c>
      <c r="N88" s="163"/>
      <c r="O88" s="145"/>
      <c r="P88" s="159">
        <v>12</v>
      </c>
      <c r="Q88" s="159" t="s">
        <v>20</v>
      </c>
      <c r="R88" s="159" t="s">
        <v>18</v>
      </c>
      <c r="S88" s="159" t="s">
        <v>18</v>
      </c>
      <c r="T88" s="145" t="s">
        <v>18</v>
      </c>
      <c r="U88" s="159" t="s">
        <v>18</v>
      </c>
      <c r="V88" s="159" t="s">
        <v>18</v>
      </c>
      <c r="W88" s="159" t="s">
        <v>18</v>
      </c>
      <c r="X88" s="159" t="s">
        <v>18</v>
      </c>
      <c r="Y88" s="159" t="s">
        <v>18</v>
      </c>
      <c r="Z88" s="161">
        <v>45690</v>
      </c>
      <c r="AA88" s="188">
        <v>46784</v>
      </c>
      <c r="AB88" s="159" t="s">
        <v>1322</v>
      </c>
      <c r="AC88" s="293">
        <v>6</v>
      </c>
      <c r="AD88" s="145" t="s">
        <v>18</v>
      </c>
      <c r="AE88" s="145" t="s">
        <v>18</v>
      </c>
      <c r="AF88" s="150"/>
      <c r="AG88" s="155" t="s">
        <v>17</v>
      </c>
      <c r="AH88" s="294"/>
      <c r="AI88" s="300" t="s">
        <v>2084</v>
      </c>
      <c r="AJ88" s="195">
        <f>SUMIF('TK 15661.Bản quyền phim '!F:F,'KK1. Movies'!D88,'TK 15661.Bản quyền phim '!X:X)</f>
        <v>76190476</v>
      </c>
      <c r="AK88" s="195">
        <f>SUMIF('TK 15661.Bản quyền phim '!F:F,'KK1. Movies'!AI88,'TK 15661.Bản quyền phim '!X:X)</f>
        <v>76190476</v>
      </c>
      <c r="AL88" s="295">
        <f>COUNTIF('242.BQ Phim hợp tác'!$C:$C,'KK1. Movies'!AI88)</f>
        <v>0</v>
      </c>
      <c r="AM88" s="295">
        <f>COUNTIF('TK 15661.Bản quyền phim '!F:F,'KK1. Movies'!AI88)</f>
        <v>1</v>
      </c>
      <c r="AN88" s="296">
        <f t="shared" si="1"/>
        <v>1</v>
      </c>
      <c r="AO88" s="295"/>
      <c r="AP88" s="295"/>
      <c r="AQ88" s="295"/>
      <c r="AR88" s="295"/>
      <c r="AS88" s="295"/>
    </row>
    <row r="89" spans="1:45" s="296" customFormat="1" ht="26.4" x14ac:dyDescent="0.3">
      <c r="A89" s="292">
        <f>_xlfn.AGGREGATE(3,3,$D$7:D89)</f>
        <v>83</v>
      </c>
      <c r="B89" s="143" t="s">
        <v>1422</v>
      </c>
      <c r="C89" s="144" t="s">
        <v>2082</v>
      </c>
      <c r="D89" s="160" t="s">
        <v>2081</v>
      </c>
      <c r="E89" s="144" t="s">
        <v>2083</v>
      </c>
      <c r="F89" s="158" t="s">
        <v>1277</v>
      </c>
      <c r="G89" s="158" t="s">
        <v>1351</v>
      </c>
      <c r="H89" s="144" t="s">
        <v>1350</v>
      </c>
      <c r="I89" s="159">
        <v>2023</v>
      </c>
      <c r="J89" s="159" t="s">
        <v>178</v>
      </c>
      <c r="K89" s="159">
        <v>100</v>
      </c>
      <c r="L89" s="163">
        <v>45689</v>
      </c>
      <c r="M89" s="148">
        <v>46783</v>
      </c>
      <c r="N89" s="163">
        <v>45689</v>
      </c>
      <c r="O89" s="145"/>
      <c r="P89" s="159">
        <v>12</v>
      </c>
      <c r="Q89" s="159" t="s">
        <v>20</v>
      </c>
      <c r="R89" s="145" t="s">
        <v>18</v>
      </c>
      <c r="S89" s="162" t="s">
        <v>18</v>
      </c>
      <c r="T89" s="145" t="s">
        <v>18</v>
      </c>
      <c r="U89" s="162" t="s">
        <v>18</v>
      </c>
      <c r="V89" s="162" t="s">
        <v>18</v>
      </c>
      <c r="W89" s="162" t="s">
        <v>18</v>
      </c>
      <c r="X89" s="162" t="s">
        <v>18</v>
      </c>
      <c r="Y89" s="159" t="s">
        <v>18</v>
      </c>
      <c r="Z89" s="161">
        <v>45778</v>
      </c>
      <c r="AA89" s="344">
        <v>46873</v>
      </c>
      <c r="AB89" s="159">
        <v>24</v>
      </c>
      <c r="AC89" s="293">
        <v>5</v>
      </c>
      <c r="AD89" s="145" t="s">
        <v>18</v>
      </c>
      <c r="AE89" s="145" t="s">
        <v>18</v>
      </c>
      <c r="AF89" s="150"/>
      <c r="AG89" s="155" t="s">
        <v>17</v>
      </c>
      <c r="AH89" s="294" t="s">
        <v>2082</v>
      </c>
      <c r="AI89" s="300" t="s">
        <v>2081</v>
      </c>
      <c r="AJ89" s="195">
        <f>SUMIF('TK 15661.Bản quyền phim '!F:F,'KK1. Movies'!D89,'TK 15661.Bản quyền phim '!X:X)</f>
        <v>59669841.333333328</v>
      </c>
      <c r="AK89" s="195">
        <f>SUMIF('TK 15661.Bản quyền phim '!F:F,'KK1. Movies'!AI89,'TK 15661.Bản quyền phim '!X:X)</f>
        <v>59669841.333333328</v>
      </c>
      <c r="AL89" s="295">
        <f>COUNTIF('242.BQ Phim hợp tác'!$C:$C,'KK1. Movies'!AI89)</f>
        <v>0</v>
      </c>
      <c r="AM89" s="295">
        <f>COUNTIF('TK 15661.Bản quyền phim '!F:F,'KK1. Movies'!AI89)</f>
        <v>1</v>
      </c>
      <c r="AN89" s="296">
        <f t="shared" si="1"/>
        <v>1</v>
      </c>
      <c r="AO89" s="295"/>
      <c r="AP89" s="295"/>
      <c r="AQ89" s="295"/>
      <c r="AR89" s="295"/>
      <c r="AS89" s="295"/>
    </row>
    <row r="90" spans="1:45" s="296" customFormat="1" ht="26.4" x14ac:dyDescent="0.3">
      <c r="A90" s="292">
        <f>_xlfn.AGGREGATE(3,3,$D$7:D90)</f>
        <v>84</v>
      </c>
      <c r="B90" s="143" t="s">
        <v>1402</v>
      </c>
      <c r="C90" s="341" t="s">
        <v>2080</v>
      </c>
      <c r="D90" s="146" t="s">
        <v>2078</v>
      </c>
      <c r="E90" s="144" t="s">
        <v>2079</v>
      </c>
      <c r="F90" s="144" t="s">
        <v>511</v>
      </c>
      <c r="G90" s="303" t="s">
        <v>1056</v>
      </c>
      <c r="H90" s="144" t="s">
        <v>1479</v>
      </c>
      <c r="I90" s="297">
        <v>2021</v>
      </c>
      <c r="J90" s="150" t="s">
        <v>133</v>
      </c>
      <c r="K90" s="297">
        <v>94</v>
      </c>
      <c r="L90" s="148">
        <v>45072</v>
      </c>
      <c r="M90" s="163">
        <v>46167</v>
      </c>
      <c r="N90" s="157">
        <v>45072</v>
      </c>
      <c r="O90" s="309" t="s">
        <v>584</v>
      </c>
      <c r="P90" s="145" t="s">
        <v>1478</v>
      </c>
      <c r="Q90" s="150" t="s">
        <v>20</v>
      </c>
      <c r="R90" s="145" t="s">
        <v>18</v>
      </c>
      <c r="S90" s="145" t="s">
        <v>18</v>
      </c>
      <c r="T90" s="145" t="s">
        <v>18</v>
      </c>
      <c r="U90" s="145" t="s">
        <v>18</v>
      </c>
      <c r="V90" s="145" t="s">
        <v>18</v>
      </c>
      <c r="W90" s="145" t="s">
        <v>18</v>
      </c>
      <c r="X90" s="145" t="s">
        <v>18</v>
      </c>
      <c r="Y90" s="145" t="s">
        <v>18</v>
      </c>
      <c r="Z90" s="148">
        <v>45072</v>
      </c>
      <c r="AA90" s="163">
        <v>46167</v>
      </c>
      <c r="AB90" s="141" t="s">
        <v>1394</v>
      </c>
      <c r="AC90" s="293">
        <v>30</v>
      </c>
      <c r="AD90" s="145" t="s">
        <v>18</v>
      </c>
      <c r="AE90" s="145" t="s">
        <v>18</v>
      </c>
      <c r="AF90" s="150"/>
      <c r="AG90" s="155" t="s">
        <v>17</v>
      </c>
      <c r="AH90" s="294"/>
      <c r="AI90" s="300" t="s">
        <v>2078</v>
      </c>
      <c r="AJ90" s="195">
        <f>SUMIF('TK 15661.Bản quyền phim '!F:F,'KK1. Movies'!D90,'TK 15661.Bản quyền phim '!X:X)</f>
        <v>0</v>
      </c>
      <c r="AK90" s="195">
        <f>SUMIF('TK 15661.Bản quyền phim '!F:F,'KK1. Movies'!AI90,'TK 15661.Bản quyền phim '!X:X)</f>
        <v>0</v>
      </c>
      <c r="AL90" s="295">
        <f>COUNTIF('242.BQ Phim hợp tác'!$C:$C,'KK1. Movies'!AI90)</f>
        <v>0</v>
      </c>
      <c r="AM90" s="295">
        <f>COUNTIF('TK 15661.Bản quyền phim '!F:F,'KK1. Movies'!AI90)</f>
        <v>1</v>
      </c>
      <c r="AN90" s="296">
        <f t="shared" si="1"/>
        <v>1</v>
      </c>
      <c r="AO90" s="295"/>
      <c r="AP90" s="295"/>
      <c r="AQ90" s="295"/>
      <c r="AR90" s="295"/>
      <c r="AS90" s="295"/>
    </row>
    <row r="91" spans="1:45" s="296" customFormat="1" x14ac:dyDescent="0.3">
      <c r="A91" s="292">
        <f>_xlfn.AGGREGATE(3,3,$D$7:D91)</f>
        <v>85</v>
      </c>
      <c r="B91" s="143" t="s">
        <v>1392</v>
      </c>
      <c r="C91" s="341" t="s">
        <v>2077</v>
      </c>
      <c r="D91" s="160" t="s">
        <v>2076</v>
      </c>
      <c r="E91" s="142" t="s">
        <v>2075</v>
      </c>
      <c r="F91" s="158" t="s">
        <v>1142</v>
      </c>
      <c r="G91" s="158" t="s">
        <v>198</v>
      </c>
      <c r="H91" s="164" t="s">
        <v>1208</v>
      </c>
      <c r="I91" s="159">
        <v>2015</v>
      </c>
      <c r="J91" s="159" t="s">
        <v>196</v>
      </c>
      <c r="K91" s="159">
        <v>91</v>
      </c>
      <c r="L91" s="163">
        <v>45686</v>
      </c>
      <c r="M91" s="148">
        <v>46416</v>
      </c>
      <c r="N91" s="163">
        <v>44950</v>
      </c>
      <c r="O91" s="145"/>
      <c r="P91" s="159"/>
      <c r="Q91" s="162" t="s">
        <v>20</v>
      </c>
      <c r="R91" s="145" t="s">
        <v>18</v>
      </c>
      <c r="S91" s="162" t="s">
        <v>18</v>
      </c>
      <c r="T91" s="162" t="s">
        <v>18</v>
      </c>
      <c r="U91" s="159" t="s">
        <v>20</v>
      </c>
      <c r="V91" s="159" t="s">
        <v>20</v>
      </c>
      <c r="W91" s="159" t="s">
        <v>20</v>
      </c>
      <c r="X91" s="162" t="s">
        <v>18</v>
      </c>
      <c r="Y91" s="159" t="s">
        <v>20</v>
      </c>
      <c r="Z91" s="165">
        <v>45686</v>
      </c>
      <c r="AA91" s="188">
        <v>46416</v>
      </c>
      <c r="AB91" s="159">
        <v>3</v>
      </c>
      <c r="AC91" s="293"/>
      <c r="AD91" s="145" t="s">
        <v>18</v>
      </c>
      <c r="AE91" s="145" t="s">
        <v>18</v>
      </c>
      <c r="AF91" s="150"/>
      <c r="AG91" s="155" t="s">
        <v>17</v>
      </c>
      <c r="AH91" s="294"/>
      <c r="AI91" s="300" t="s">
        <v>2074</v>
      </c>
      <c r="AJ91" s="195">
        <f>SUMIF('TK 15661.Bản quyền phim '!F:F,'KK1. Movies'!D91,'TK 15661.Bản quyền phim '!X:X)</f>
        <v>0</v>
      </c>
      <c r="AK91" s="195">
        <f>SUMIF('TK 15661.Bản quyền phim '!F:F,'KK1. Movies'!AI91,'TK 15661.Bản quyền phim '!X:X)</f>
        <v>0</v>
      </c>
      <c r="AL91" s="295">
        <f>COUNTIF('242.BQ Phim hợp tác'!$C:$C,'KK1. Movies'!AI91)</f>
        <v>0</v>
      </c>
      <c r="AM91" s="295">
        <f>COUNTIF('TK 15661.Bản quyền phim '!F:F,'KK1. Movies'!AI91)</f>
        <v>1</v>
      </c>
      <c r="AN91" s="296">
        <f t="shared" si="1"/>
        <v>1</v>
      </c>
      <c r="AO91" s="295"/>
      <c r="AP91" s="295"/>
      <c r="AQ91" s="295"/>
      <c r="AR91" s="295"/>
      <c r="AS91" s="295"/>
    </row>
    <row r="92" spans="1:45" s="296" customFormat="1" x14ac:dyDescent="0.3">
      <c r="A92" s="292">
        <f>_xlfn.AGGREGATE(3,3,$D$7:D92)</f>
        <v>86</v>
      </c>
      <c r="B92" s="143" t="s">
        <v>1422</v>
      </c>
      <c r="C92" s="144" t="s">
        <v>2073</v>
      </c>
      <c r="D92" s="146" t="s">
        <v>2071</v>
      </c>
      <c r="E92" s="144" t="s">
        <v>2072</v>
      </c>
      <c r="F92" s="143" t="s">
        <v>385</v>
      </c>
      <c r="G92" s="303" t="s">
        <v>1372</v>
      </c>
      <c r="H92" s="144" t="s">
        <v>1415</v>
      </c>
      <c r="I92" s="297">
        <v>2020</v>
      </c>
      <c r="J92" s="150" t="s">
        <v>1634</v>
      </c>
      <c r="K92" s="297">
        <v>99</v>
      </c>
      <c r="L92" s="148">
        <v>45065</v>
      </c>
      <c r="M92" s="163">
        <v>46160</v>
      </c>
      <c r="N92" s="157">
        <v>45260</v>
      </c>
      <c r="O92" s="309" t="s">
        <v>584</v>
      </c>
      <c r="P92" s="145" t="s">
        <v>1414</v>
      </c>
      <c r="Q92" s="150" t="s">
        <v>20</v>
      </c>
      <c r="R92" s="145" t="s">
        <v>18</v>
      </c>
      <c r="S92" s="145" t="s">
        <v>18</v>
      </c>
      <c r="T92" s="145" t="s">
        <v>18</v>
      </c>
      <c r="U92" s="145" t="s">
        <v>18</v>
      </c>
      <c r="V92" s="145" t="s">
        <v>18</v>
      </c>
      <c r="W92" s="145" t="s">
        <v>18</v>
      </c>
      <c r="X92" s="145" t="s">
        <v>18</v>
      </c>
      <c r="Y92" s="145" t="s">
        <v>18</v>
      </c>
      <c r="Z92" s="148">
        <v>45065</v>
      </c>
      <c r="AA92" s="163">
        <v>46160</v>
      </c>
      <c r="AB92" s="141">
        <v>24</v>
      </c>
      <c r="AC92" s="293">
        <v>11</v>
      </c>
      <c r="AD92" s="145" t="s">
        <v>18</v>
      </c>
      <c r="AE92" s="145" t="s">
        <v>18</v>
      </c>
      <c r="AF92" s="146"/>
      <c r="AG92" s="155" t="s">
        <v>17</v>
      </c>
      <c r="AH92" s="294"/>
      <c r="AI92" s="300" t="s">
        <v>2071</v>
      </c>
      <c r="AJ92" s="195">
        <f>SUMIF('TK 15661.Bản quyền phim '!F:F,'KK1. Movies'!D92,'TK 15661.Bản quyền phim '!X:X)</f>
        <v>31225460.33333334</v>
      </c>
      <c r="AK92" s="195">
        <f>SUMIF('TK 15661.Bản quyền phim '!F:F,'KK1. Movies'!AI92,'TK 15661.Bản quyền phim '!X:X)</f>
        <v>31225460.33333334</v>
      </c>
      <c r="AL92" s="295">
        <f>COUNTIF('242.BQ Phim hợp tác'!$C:$C,'KK1. Movies'!AI92)</f>
        <v>0</v>
      </c>
      <c r="AM92" s="295">
        <f>COUNTIF('TK 15661.Bản quyền phim '!F:F,'KK1. Movies'!AI92)</f>
        <v>1</v>
      </c>
      <c r="AN92" s="296">
        <f t="shared" si="1"/>
        <v>1</v>
      </c>
      <c r="AO92" s="295"/>
      <c r="AP92" s="295"/>
      <c r="AQ92" s="295"/>
      <c r="AR92" s="295"/>
      <c r="AS92" s="295"/>
    </row>
    <row r="93" spans="1:45" s="296" customFormat="1" x14ac:dyDescent="0.3">
      <c r="A93" s="292">
        <f>_xlfn.AGGREGATE(3,3,$D$7:D93)</f>
        <v>87</v>
      </c>
      <c r="B93" s="143" t="s">
        <v>1402</v>
      </c>
      <c r="C93" s="144" t="s">
        <v>2070</v>
      </c>
      <c r="D93" s="160" t="s">
        <v>2068</v>
      </c>
      <c r="E93" s="144" t="s">
        <v>2069</v>
      </c>
      <c r="F93" s="144" t="s">
        <v>381</v>
      </c>
      <c r="G93" s="164" t="s">
        <v>1372</v>
      </c>
      <c r="H93" s="144" t="s">
        <v>1530</v>
      </c>
      <c r="I93" s="162">
        <v>2019</v>
      </c>
      <c r="J93" s="150" t="s">
        <v>196</v>
      </c>
      <c r="K93" s="162">
        <v>97</v>
      </c>
      <c r="L93" s="148">
        <v>45337</v>
      </c>
      <c r="M93" s="165">
        <v>46432</v>
      </c>
      <c r="N93" s="157">
        <v>45583</v>
      </c>
      <c r="O93" s="145" t="s">
        <v>553</v>
      </c>
      <c r="P93" s="159">
        <v>12</v>
      </c>
      <c r="Q93" s="162" t="s">
        <v>20</v>
      </c>
      <c r="R93" s="145" t="s">
        <v>18</v>
      </c>
      <c r="S93" s="145" t="s">
        <v>18</v>
      </c>
      <c r="T93" s="145" t="s">
        <v>18</v>
      </c>
      <c r="U93" s="145" t="s">
        <v>18</v>
      </c>
      <c r="V93" s="145" t="s">
        <v>18</v>
      </c>
      <c r="W93" s="145" t="s">
        <v>18</v>
      </c>
      <c r="X93" s="145" t="s">
        <v>18</v>
      </c>
      <c r="Y93" s="159" t="s">
        <v>20</v>
      </c>
      <c r="Z93" s="148">
        <v>45337</v>
      </c>
      <c r="AA93" s="165">
        <v>46432</v>
      </c>
      <c r="AB93" s="162">
        <v>24</v>
      </c>
      <c r="AC93" s="293">
        <v>16</v>
      </c>
      <c r="AD93" s="145" t="s">
        <v>18</v>
      </c>
      <c r="AE93" s="145" t="s">
        <v>18</v>
      </c>
      <c r="AF93" s="146"/>
      <c r="AG93" s="155" t="s">
        <v>17</v>
      </c>
      <c r="AH93" s="294"/>
      <c r="AI93" s="300" t="s">
        <v>2068</v>
      </c>
      <c r="AJ93" s="195">
        <f>SUMIF('TK 15661.Bản quyền phim '!F:F,'KK1. Movies'!D93,'TK 15661.Bản quyền phim '!X:X)</f>
        <v>33333492</v>
      </c>
      <c r="AK93" s="195">
        <f>SUMIF('TK 15661.Bản quyền phim '!F:F,'KK1. Movies'!AI93,'TK 15661.Bản quyền phim '!X:X)</f>
        <v>33333492</v>
      </c>
      <c r="AL93" s="295">
        <f>COUNTIF('242.BQ Phim hợp tác'!$C:$C,'KK1. Movies'!AI93)</f>
        <v>0</v>
      </c>
      <c r="AM93" s="295">
        <f>COUNTIF('TK 15661.Bản quyền phim '!F:F,'KK1. Movies'!AI93)</f>
        <v>1</v>
      </c>
      <c r="AN93" s="296">
        <f t="shared" si="1"/>
        <v>1</v>
      </c>
      <c r="AO93" s="295"/>
      <c r="AP93" s="295"/>
      <c r="AQ93" s="295"/>
      <c r="AR93" s="295"/>
      <c r="AS93" s="295"/>
    </row>
    <row r="94" spans="1:45" s="296" customFormat="1" x14ac:dyDescent="0.3">
      <c r="A94" s="292">
        <f>_xlfn.AGGREGATE(3,3,$D$7:D94)</f>
        <v>88</v>
      </c>
      <c r="B94" s="143" t="s">
        <v>1392</v>
      </c>
      <c r="C94" s="341" t="s">
        <v>2067</v>
      </c>
      <c r="D94" s="160" t="s">
        <v>2065</v>
      </c>
      <c r="E94" s="166" t="s">
        <v>2066</v>
      </c>
      <c r="F94" s="164" t="s">
        <v>1142</v>
      </c>
      <c r="G94" s="164" t="s">
        <v>198</v>
      </c>
      <c r="H94" s="164" t="s">
        <v>197</v>
      </c>
      <c r="I94" s="159">
        <v>2021</v>
      </c>
      <c r="J94" s="162" t="s">
        <v>196</v>
      </c>
      <c r="K94" s="159">
        <v>110</v>
      </c>
      <c r="L94" s="148">
        <v>45449</v>
      </c>
      <c r="M94" s="148">
        <v>46178</v>
      </c>
      <c r="N94" s="157">
        <v>45458</v>
      </c>
      <c r="O94" s="145" t="s">
        <v>132</v>
      </c>
      <c r="P94" s="159" t="s">
        <v>1513</v>
      </c>
      <c r="Q94" s="159" t="s">
        <v>20</v>
      </c>
      <c r="R94" s="145" t="s">
        <v>18</v>
      </c>
      <c r="S94" s="159" t="s">
        <v>18</v>
      </c>
      <c r="T94" s="159" t="s">
        <v>18</v>
      </c>
      <c r="U94" s="159" t="s">
        <v>20</v>
      </c>
      <c r="V94" s="159" t="s">
        <v>20</v>
      </c>
      <c r="W94" s="159" t="s">
        <v>20</v>
      </c>
      <c r="X94" s="159" t="s">
        <v>20</v>
      </c>
      <c r="Y94" s="159" t="s">
        <v>18</v>
      </c>
      <c r="Z94" s="148">
        <v>45449</v>
      </c>
      <c r="AA94" s="148">
        <v>46178</v>
      </c>
      <c r="AB94" s="162">
        <v>6</v>
      </c>
      <c r="AC94" s="162">
        <v>6</v>
      </c>
      <c r="AD94" s="145" t="s">
        <v>18</v>
      </c>
      <c r="AE94" s="145" t="s">
        <v>18</v>
      </c>
      <c r="AF94" s="150"/>
      <c r="AG94" s="155" t="s">
        <v>17</v>
      </c>
      <c r="AH94" s="294"/>
      <c r="AI94" s="299" t="s">
        <v>2065</v>
      </c>
      <c r="AJ94" s="195">
        <f>SUMIF('TK 15661.Bản quyền phim '!F:F,'KK1. Movies'!D94,'TK 15661.Bản quyền phim '!X:X)</f>
        <v>0</v>
      </c>
      <c r="AK94" s="195">
        <f>SUMIF('TK 15661.Bản quyền phim '!F:F,'KK1. Movies'!AI94,'TK 15661.Bản quyền phim '!X:X)</f>
        <v>0</v>
      </c>
      <c r="AL94" s="295">
        <f>COUNTIF('242.BQ Phim hợp tác'!$C:$C,'KK1. Movies'!AI94)</f>
        <v>0</v>
      </c>
      <c r="AM94" s="295">
        <f>COUNTIF('TK 15661.Bản quyền phim '!F:F,'KK1. Movies'!AI94)</f>
        <v>1</v>
      </c>
      <c r="AN94" s="296">
        <f t="shared" si="1"/>
        <v>1</v>
      </c>
      <c r="AO94" s="295"/>
      <c r="AP94" s="295"/>
      <c r="AQ94" s="295"/>
      <c r="AR94" s="295"/>
      <c r="AS94" s="295"/>
    </row>
    <row r="95" spans="1:45" s="296" customFormat="1" x14ac:dyDescent="0.3">
      <c r="A95" s="292">
        <f>_xlfn.AGGREGATE(3,3,$D$7:D95)</f>
        <v>89</v>
      </c>
      <c r="B95" s="143"/>
      <c r="C95" s="341" t="s">
        <v>2064</v>
      </c>
      <c r="D95" s="160" t="s">
        <v>2060</v>
      </c>
      <c r="E95" s="166" t="s">
        <v>2063</v>
      </c>
      <c r="F95" s="158" t="s">
        <v>2062</v>
      </c>
      <c r="G95" s="158" t="s">
        <v>198</v>
      </c>
      <c r="H95" s="164" t="s">
        <v>1208</v>
      </c>
      <c r="I95" s="162">
        <v>2021</v>
      </c>
      <c r="J95" s="159" t="s">
        <v>2061</v>
      </c>
      <c r="K95" s="162">
        <v>105</v>
      </c>
      <c r="L95" s="165">
        <v>45771</v>
      </c>
      <c r="M95" s="165">
        <v>46500</v>
      </c>
      <c r="N95" s="157"/>
      <c r="O95" s="145"/>
      <c r="P95" s="159">
        <v>12</v>
      </c>
      <c r="Q95" s="159" t="s">
        <v>20</v>
      </c>
      <c r="R95" s="145" t="s">
        <v>18</v>
      </c>
      <c r="S95" s="159" t="s">
        <v>18</v>
      </c>
      <c r="T95" s="145" t="s">
        <v>18</v>
      </c>
      <c r="U95" s="159" t="s">
        <v>20</v>
      </c>
      <c r="V95" s="159" t="s">
        <v>20</v>
      </c>
      <c r="W95" s="159" t="s">
        <v>20</v>
      </c>
      <c r="X95" s="159" t="s">
        <v>18</v>
      </c>
      <c r="Y95" s="159" t="s">
        <v>18</v>
      </c>
      <c r="Z95" s="165">
        <v>45771</v>
      </c>
      <c r="AA95" s="189">
        <v>46500</v>
      </c>
      <c r="AB95" s="159">
        <v>6</v>
      </c>
      <c r="AC95" s="293">
        <v>1</v>
      </c>
      <c r="AD95" s="145" t="s">
        <v>18</v>
      </c>
      <c r="AE95" s="145" t="s">
        <v>18</v>
      </c>
      <c r="AF95" s="150"/>
      <c r="AG95" s="155" t="s">
        <v>17</v>
      </c>
      <c r="AH95" s="294"/>
      <c r="AI95" s="300" t="s">
        <v>2060</v>
      </c>
      <c r="AJ95" s="195">
        <f>SUMIF('TK 15661.Bản quyền phim '!F:F,'KK1. Movies'!D95,'TK 15661.Bản quyền phim '!X:X)</f>
        <v>39258450</v>
      </c>
      <c r="AK95" s="195">
        <f>SUMIF('TK 15661.Bản quyền phim '!F:F,'KK1. Movies'!AI95,'TK 15661.Bản quyền phim '!X:X)</f>
        <v>39258450</v>
      </c>
      <c r="AL95" s="295">
        <f>COUNTIF('242.BQ Phim hợp tác'!$C:$C,'KK1. Movies'!AI95)</f>
        <v>0</v>
      </c>
      <c r="AM95" s="295">
        <f>COUNTIF('TK 15661.Bản quyền phim '!F:F,'KK1. Movies'!AI95)</f>
        <v>1</v>
      </c>
      <c r="AN95" s="296">
        <f t="shared" si="1"/>
        <v>1</v>
      </c>
      <c r="AO95" s="295"/>
      <c r="AP95" s="295"/>
      <c r="AQ95" s="295"/>
      <c r="AR95" s="295"/>
      <c r="AS95" s="295"/>
    </row>
    <row r="96" spans="1:45" s="296" customFormat="1" ht="26.4" x14ac:dyDescent="0.3">
      <c r="A96" s="292">
        <f>_xlfn.AGGREGATE(3,3,$D$7:D96)</f>
        <v>90</v>
      </c>
      <c r="B96" s="143" t="s">
        <v>1402</v>
      </c>
      <c r="C96" s="341" t="s">
        <v>2059</v>
      </c>
      <c r="D96" s="160" t="s">
        <v>2058</v>
      </c>
      <c r="E96" s="166" t="s">
        <v>2057</v>
      </c>
      <c r="F96" s="164" t="s">
        <v>824</v>
      </c>
      <c r="G96" s="164" t="s">
        <v>1515</v>
      </c>
      <c r="H96" s="164" t="s">
        <v>1514</v>
      </c>
      <c r="I96" s="159">
        <v>2021</v>
      </c>
      <c r="J96" s="162" t="s">
        <v>178</v>
      </c>
      <c r="K96" s="159">
        <v>125</v>
      </c>
      <c r="L96" s="148">
        <v>45520</v>
      </c>
      <c r="M96" s="165">
        <v>46614</v>
      </c>
      <c r="N96" s="157">
        <v>45520</v>
      </c>
      <c r="O96" s="159" t="s">
        <v>584</v>
      </c>
      <c r="P96" s="159" t="s">
        <v>2056</v>
      </c>
      <c r="Q96" s="159" t="s">
        <v>20</v>
      </c>
      <c r="R96" s="145" t="s">
        <v>18</v>
      </c>
      <c r="S96" s="159" t="s">
        <v>18</v>
      </c>
      <c r="T96" s="145" t="s">
        <v>18</v>
      </c>
      <c r="U96" s="159" t="s">
        <v>20</v>
      </c>
      <c r="V96" s="159" t="s">
        <v>18</v>
      </c>
      <c r="W96" s="159" t="s">
        <v>18</v>
      </c>
      <c r="X96" s="145" t="s">
        <v>20</v>
      </c>
      <c r="Y96" s="159" t="s">
        <v>20</v>
      </c>
      <c r="Z96" s="148">
        <v>45520</v>
      </c>
      <c r="AA96" s="165">
        <v>46614</v>
      </c>
      <c r="AB96" s="162" t="s">
        <v>130</v>
      </c>
      <c r="AC96" s="160">
        <v>20</v>
      </c>
      <c r="AD96" s="145" t="s">
        <v>18</v>
      </c>
      <c r="AE96" s="145" t="s">
        <v>18</v>
      </c>
      <c r="AF96" s="150"/>
      <c r="AG96" s="155" t="s">
        <v>17</v>
      </c>
      <c r="AH96" s="294"/>
      <c r="AI96" s="300" t="s">
        <v>2055</v>
      </c>
      <c r="AJ96" s="195">
        <f>SUMIF('TK 15661.Bản quyền phim '!F:F,'KK1. Movies'!D96,'TK 15661.Bản quyền phim '!X:X)</f>
        <v>0</v>
      </c>
      <c r="AK96" s="195">
        <f>SUMIF('TK 15661.Bản quyền phim '!F:F,'KK1. Movies'!AI96,'TK 15661.Bản quyền phim '!X:X)</f>
        <v>33737936.666666679</v>
      </c>
      <c r="AL96" s="295">
        <f>COUNTIF('242.BQ Phim hợp tác'!$C:$C,'KK1. Movies'!AI96)</f>
        <v>0</v>
      </c>
      <c r="AM96" s="295">
        <f>COUNTIF('TK 15661.Bản quyền phim '!F:F,'KK1. Movies'!AI96)</f>
        <v>1</v>
      </c>
      <c r="AN96" s="296">
        <f t="shared" si="1"/>
        <v>1</v>
      </c>
      <c r="AO96" s="295"/>
      <c r="AP96" s="295"/>
      <c r="AQ96" s="295"/>
      <c r="AR96" s="295"/>
      <c r="AS96" s="295"/>
    </row>
    <row r="97" spans="1:45" s="296" customFormat="1" ht="26.4" x14ac:dyDescent="0.3">
      <c r="A97" s="292">
        <f>_xlfn.AGGREGATE(3,3,$D$7:D97)</f>
        <v>91</v>
      </c>
      <c r="B97" s="143" t="s">
        <v>1422</v>
      </c>
      <c r="C97" s="144" t="s">
        <v>2054</v>
      </c>
      <c r="D97" s="160" t="s">
        <v>2052</v>
      </c>
      <c r="E97" s="166" t="s">
        <v>2053</v>
      </c>
      <c r="F97" s="164" t="s">
        <v>1013</v>
      </c>
      <c r="G97" s="164" t="s">
        <v>198</v>
      </c>
      <c r="H97" s="164" t="s">
        <v>197</v>
      </c>
      <c r="I97" s="159">
        <v>2021</v>
      </c>
      <c r="J97" s="162" t="s">
        <v>196</v>
      </c>
      <c r="K97" s="159">
        <v>147</v>
      </c>
      <c r="L97" s="148">
        <v>45639</v>
      </c>
      <c r="M97" s="148">
        <v>46368</v>
      </c>
      <c r="N97" s="157">
        <v>45639</v>
      </c>
      <c r="O97" s="145" t="s">
        <v>584</v>
      </c>
      <c r="P97" s="159" t="s">
        <v>1513</v>
      </c>
      <c r="Q97" s="159" t="s">
        <v>20</v>
      </c>
      <c r="R97" s="145" t="s">
        <v>18</v>
      </c>
      <c r="S97" s="159" t="s">
        <v>18</v>
      </c>
      <c r="T97" s="145" t="s">
        <v>18</v>
      </c>
      <c r="U97" s="159" t="s">
        <v>20</v>
      </c>
      <c r="V97" s="159" t="s">
        <v>20</v>
      </c>
      <c r="W97" s="159" t="s">
        <v>20</v>
      </c>
      <c r="X97" s="159" t="s">
        <v>20</v>
      </c>
      <c r="Y97" s="159" t="s">
        <v>18</v>
      </c>
      <c r="Z97" s="148">
        <v>45639</v>
      </c>
      <c r="AA97" s="148">
        <v>46368</v>
      </c>
      <c r="AB97" s="162">
        <v>6</v>
      </c>
      <c r="AC97" s="162">
        <v>3</v>
      </c>
      <c r="AD97" s="145" t="s">
        <v>18</v>
      </c>
      <c r="AE97" s="145" t="s">
        <v>18</v>
      </c>
      <c r="AF97" s="150"/>
      <c r="AG97" s="155" t="s">
        <v>17</v>
      </c>
      <c r="AH97" s="294"/>
      <c r="AI97" s="299" t="s">
        <v>2052</v>
      </c>
      <c r="AJ97" s="195">
        <f>SUMIF('TK 15661.Bản quyền phim '!F:F,'KK1. Movies'!D97,'TK 15661.Bản quyền phim '!X:X)</f>
        <v>0</v>
      </c>
      <c r="AK97" s="195">
        <f>SUMIF('TK 15661.Bản quyền phim '!F:F,'KK1. Movies'!AI97,'TK 15661.Bản quyền phim '!X:X)</f>
        <v>0</v>
      </c>
      <c r="AL97" s="295">
        <f>COUNTIF('242.BQ Phim hợp tác'!$C:$C,'KK1. Movies'!AI97)</f>
        <v>0</v>
      </c>
      <c r="AM97" s="295">
        <f>COUNTIF('TK 15661.Bản quyền phim '!F:F,'KK1. Movies'!AI97)</f>
        <v>1</v>
      </c>
      <c r="AN97" s="296">
        <f t="shared" si="1"/>
        <v>1</v>
      </c>
      <c r="AO97" s="295"/>
      <c r="AP97" s="295"/>
      <c r="AQ97" s="295"/>
      <c r="AR97" s="295"/>
      <c r="AS97" s="295"/>
    </row>
    <row r="98" spans="1:45" s="296" customFormat="1" ht="39.6" x14ac:dyDescent="0.3">
      <c r="A98" s="292">
        <f>_xlfn.AGGREGATE(3,3,$D$7:D98)</f>
        <v>92</v>
      </c>
      <c r="B98" s="156" t="s">
        <v>1145</v>
      </c>
      <c r="C98" s="144" t="s">
        <v>2049</v>
      </c>
      <c r="D98" s="160" t="s">
        <v>2048</v>
      </c>
      <c r="E98" s="160" t="s">
        <v>2051</v>
      </c>
      <c r="F98" s="164" t="s">
        <v>2050</v>
      </c>
      <c r="G98" s="164" t="s">
        <v>1372</v>
      </c>
      <c r="H98" s="144" t="s">
        <v>1371</v>
      </c>
      <c r="I98" s="162">
        <v>2024</v>
      </c>
      <c r="J98" s="150" t="s">
        <v>1606</v>
      </c>
      <c r="K98" s="162">
        <v>125</v>
      </c>
      <c r="L98" s="163">
        <v>45737</v>
      </c>
      <c r="M98" s="148">
        <v>47197</v>
      </c>
      <c r="N98" s="157" t="s">
        <v>1145</v>
      </c>
      <c r="O98" s="145"/>
      <c r="P98" s="159">
        <v>12</v>
      </c>
      <c r="Q98" s="162" t="s">
        <v>20</v>
      </c>
      <c r="R98" s="145" t="s">
        <v>18</v>
      </c>
      <c r="S98" s="159" t="s">
        <v>18</v>
      </c>
      <c r="T98" s="145" t="s">
        <v>18</v>
      </c>
      <c r="U98" s="159" t="s">
        <v>18</v>
      </c>
      <c r="V98" s="159" t="s">
        <v>18</v>
      </c>
      <c r="W98" s="159" t="s">
        <v>18</v>
      </c>
      <c r="X98" s="159" t="s">
        <v>18</v>
      </c>
      <c r="Y98" s="159" t="s">
        <v>20</v>
      </c>
      <c r="Z98" s="165">
        <v>45737</v>
      </c>
      <c r="AA98" s="148">
        <v>47197</v>
      </c>
      <c r="AB98" s="162">
        <v>24</v>
      </c>
      <c r="AC98" s="293">
        <v>6</v>
      </c>
      <c r="AD98" s="145" t="s">
        <v>18</v>
      </c>
      <c r="AE98" s="145" t="s">
        <v>18</v>
      </c>
      <c r="AF98" s="150"/>
      <c r="AG98" s="155" t="s">
        <v>17</v>
      </c>
      <c r="AH98" s="294" t="s">
        <v>2049</v>
      </c>
      <c r="AI98" s="300" t="s">
        <v>2048</v>
      </c>
      <c r="AJ98" s="195">
        <f>SUMIF('TK 15661.Bản quyền phim '!F:F,'KK1. Movies'!D98,'TK 15661.Bản quyền phim '!X:X)</f>
        <v>59932952.666666672</v>
      </c>
      <c r="AK98" s="195">
        <f>SUMIF('TK 15661.Bản quyền phim '!F:F,'KK1. Movies'!AI98,'TK 15661.Bản quyền phim '!X:X)</f>
        <v>59932952.666666672</v>
      </c>
      <c r="AL98" s="295">
        <f>COUNTIF('242.BQ Phim hợp tác'!$C:$C,'KK1. Movies'!AI98)</f>
        <v>0</v>
      </c>
      <c r="AM98" s="295">
        <f>COUNTIF('TK 15661.Bản quyền phim '!F:F,'KK1. Movies'!AI98)</f>
        <v>1</v>
      </c>
      <c r="AN98" s="296">
        <f t="shared" si="1"/>
        <v>1</v>
      </c>
      <c r="AO98" s="295"/>
      <c r="AP98" s="295"/>
      <c r="AQ98" s="295"/>
      <c r="AR98" s="295"/>
      <c r="AS98" s="295"/>
    </row>
    <row r="99" spans="1:45" s="296" customFormat="1" ht="26.4" x14ac:dyDescent="0.3">
      <c r="A99" s="292">
        <f>_xlfn.AGGREGATE(3,3,$D$7:D99)</f>
        <v>93</v>
      </c>
      <c r="B99" s="143" t="s">
        <v>1422</v>
      </c>
      <c r="C99" s="341" t="s">
        <v>2047</v>
      </c>
      <c r="D99" s="146" t="s">
        <v>2046</v>
      </c>
      <c r="E99" s="143" t="s">
        <v>2045</v>
      </c>
      <c r="F99" s="144" t="s">
        <v>385</v>
      </c>
      <c r="G99" s="143" t="s">
        <v>1504</v>
      </c>
      <c r="H99" s="143" t="s">
        <v>1595</v>
      </c>
      <c r="I99" s="141">
        <v>2015</v>
      </c>
      <c r="J99" s="145" t="s">
        <v>88</v>
      </c>
      <c r="K99" s="162">
        <v>109</v>
      </c>
      <c r="L99" s="148">
        <v>42160</v>
      </c>
      <c r="M99" s="157" t="s">
        <v>1502</v>
      </c>
      <c r="N99" s="157">
        <v>42160</v>
      </c>
      <c r="O99" s="145"/>
      <c r="P99" s="141">
        <v>24</v>
      </c>
      <c r="Q99" s="145" t="s">
        <v>20</v>
      </c>
      <c r="R99" s="145" t="s">
        <v>18</v>
      </c>
      <c r="S99" s="145" t="s">
        <v>18</v>
      </c>
      <c r="T99" s="145" t="s">
        <v>18</v>
      </c>
      <c r="U99" s="145" t="s">
        <v>18</v>
      </c>
      <c r="V99" s="145" t="s">
        <v>18</v>
      </c>
      <c r="W99" s="145" t="s">
        <v>18</v>
      </c>
      <c r="X99" s="159" t="s">
        <v>20</v>
      </c>
      <c r="Y99" s="145" t="s">
        <v>194</v>
      </c>
      <c r="Z99" s="148">
        <v>42160</v>
      </c>
      <c r="AA99" s="157" t="s">
        <v>1502</v>
      </c>
      <c r="AB99" s="151">
        <v>6</v>
      </c>
      <c r="AC99" s="151">
        <v>2</v>
      </c>
      <c r="AD99" s="150"/>
      <c r="AE99" s="150"/>
      <c r="AF99" s="150"/>
      <c r="AG99" s="155" t="s">
        <v>17</v>
      </c>
      <c r="AH99" s="294"/>
      <c r="AI99" s="304" t="s">
        <v>3186</v>
      </c>
      <c r="AJ99" s="195">
        <f>SUMIF('TK 15661.Bản quyền phim '!F:F,'KK1. Movies'!D99,'TK 15661.Bản quyền phim '!X:X)</f>
        <v>0</v>
      </c>
      <c r="AK99" s="195">
        <f>SUMIF('TK 15661.Bản quyền phim '!F:F,'KK1. Movies'!AI99,'TK 15661.Bản quyền phim '!X:X)</f>
        <v>0</v>
      </c>
      <c r="AL99" s="295">
        <f>COUNTIF('242.BQ Phim hợp tác'!$C:$C,'KK1. Movies'!AI99)</f>
        <v>1</v>
      </c>
      <c r="AM99" s="295">
        <f>COUNTIF('TK 15661.Bản quyền phim '!F:F,'KK1. Movies'!AI99)</f>
        <v>0</v>
      </c>
      <c r="AN99" s="296">
        <f t="shared" si="1"/>
        <v>1</v>
      </c>
      <c r="AO99" s="295"/>
      <c r="AP99" s="295"/>
      <c r="AQ99" s="295"/>
      <c r="AR99" s="295"/>
      <c r="AS99" s="295"/>
    </row>
    <row r="100" spans="1:45" s="296" customFormat="1" ht="26.4" x14ac:dyDescent="0.3">
      <c r="A100" s="292">
        <f>_xlfn.AGGREGATE(3,3,$D$7:D100)</f>
        <v>94</v>
      </c>
      <c r="B100" s="166" t="s">
        <v>1402</v>
      </c>
      <c r="C100" s="341" t="s">
        <v>2044</v>
      </c>
      <c r="D100" s="146" t="s">
        <v>2042</v>
      </c>
      <c r="E100" s="144" t="s">
        <v>2043</v>
      </c>
      <c r="F100" s="144" t="s">
        <v>511</v>
      </c>
      <c r="G100" s="143" t="s">
        <v>1389</v>
      </c>
      <c r="H100" s="144" t="s">
        <v>1388</v>
      </c>
      <c r="I100" s="297">
        <v>2020</v>
      </c>
      <c r="J100" s="145" t="s">
        <v>196</v>
      </c>
      <c r="K100" s="297">
        <v>96</v>
      </c>
      <c r="L100" s="148">
        <v>45203</v>
      </c>
      <c r="M100" s="153">
        <v>46298</v>
      </c>
      <c r="N100" s="152">
        <v>45203</v>
      </c>
      <c r="O100" s="309" t="s">
        <v>584</v>
      </c>
      <c r="P100" s="145" t="s">
        <v>1387</v>
      </c>
      <c r="Q100" s="145" t="s">
        <v>20</v>
      </c>
      <c r="R100" s="145" t="s">
        <v>18</v>
      </c>
      <c r="S100" s="145" t="s">
        <v>18</v>
      </c>
      <c r="T100" s="145" t="s">
        <v>18</v>
      </c>
      <c r="U100" s="145" t="s">
        <v>18</v>
      </c>
      <c r="V100" s="145" t="s">
        <v>18</v>
      </c>
      <c r="W100" s="145" t="s">
        <v>18</v>
      </c>
      <c r="X100" s="145" t="s">
        <v>18</v>
      </c>
      <c r="Y100" s="145" t="s">
        <v>20</v>
      </c>
      <c r="Z100" s="148">
        <v>45203</v>
      </c>
      <c r="AA100" s="153">
        <v>46298</v>
      </c>
      <c r="AB100" s="293">
        <v>24</v>
      </c>
      <c r="AC100" s="293">
        <v>16</v>
      </c>
      <c r="AD100" s="145" t="s">
        <v>18</v>
      </c>
      <c r="AE100" s="145" t="s">
        <v>18</v>
      </c>
      <c r="AF100" s="346"/>
      <c r="AG100" s="155" t="s">
        <v>17</v>
      </c>
      <c r="AH100" s="294"/>
      <c r="AI100" s="299" t="s">
        <v>2042</v>
      </c>
      <c r="AJ100" s="195">
        <f>SUMIF('TK 15661.Bản quyền phim '!F:F,'KK1. Movies'!D100,'TK 15661.Bản quyền phim '!X:X)</f>
        <v>0</v>
      </c>
      <c r="AK100" s="195">
        <f>SUMIF('TK 15661.Bản quyền phim '!F:F,'KK1. Movies'!AI100,'TK 15661.Bản quyền phim '!X:X)</f>
        <v>0</v>
      </c>
      <c r="AL100" s="295">
        <f>COUNTIF('242.BQ Phim hợp tác'!$C:$C,'KK1. Movies'!AI100)</f>
        <v>0</v>
      </c>
      <c r="AM100" s="295">
        <f>COUNTIF('TK 15661.Bản quyền phim '!F:F,'KK1. Movies'!AI100)</f>
        <v>1</v>
      </c>
      <c r="AN100" s="296">
        <f t="shared" si="1"/>
        <v>1</v>
      </c>
      <c r="AO100" s="295"/>
      <c r="AP100" s="295"/>
      <c r="AQ100" s="295"/>
      <c r="AR100" s="295"/>
      <c r="AS100" s="295"/>
    </row>
    <row r="101" spans="1:45" s="296" customFormat="1" ht="26.4" x14ac:dyDescent="0.3">
      <c r="A101" s="292">
        <f>_xlfn.AGGREGATE(3,3,$D$7:D101)</f>
        <v>95</v>
      </c>
      <c r="B101" s="143" t="s">
        <v>1422</v>
      </c>
      <c r="C101" s="144" t="s">
        <v>2041</v>
      </c>
      <c r="D101" s="146" t="s">
        <v>2038</v>
      </c>
      <c r="E101" s="144" t="s">
        <v>2040</v>
      </c>
      <c r="F101" s="143" t="s">
        <v>350</v>
      </c>
      <c r="G101" s="143" t="s">
        <v>1389</v>
      </c>
      <c r="H101" s="144" t="s">
        <v>1388</v>
      </c>
      <c r="I101" s="297">
        <v>2017</v>
      </c>
      <c r="J101" s="145" t="s">
        <v>2039</v>
      </c>
      <c r="K101" s="297">
        <v>128</v>
      </c>
      <c r="L101" s="148">
        <v>45267</v>
      </c>
      <c r="M101" s="153">
        <v>46362</v>
      </c>
      <c r="N101" s="152">
        <v>45267</v>
      </c>
      <c r="O101" s="309" t="s">
        <v>584</v>
      </c>
      <c r="P101" s="145"/>
      <c r="Q101" s="145" t="s">
        <v>20</v>
      </c>
      <c r="R101" s="145" t="s">
        <v>18</v>
      </c>
      <c r="S101" s="145" t="s">
        <v>20</v>
      </c>
      <c r="T101" s="145" t="s">
        <v>18</v>
      </c>
      <c r="U101" s="145" t="s">
        <v>18</v>
      </c>
      <c r="V101" s="145" t="s">
        <v>18</v>
      </c>
      <c r="W101" s="145" t="s">
        <v>18</v>
      </c>
      <c r="X101" s="145" t="s">
        <v>18</v>
      </c>
      <c r="Y101" s="145" t="s">
        <v>20</v>
      </c>
      <c r="Z101" s="148">
        <v>45267</v>
      </c>
      <c r="AA101" s="153">
        <v>46362</v>
      </c>
      <c r="AB101" s="293">
        <v>24</v>
      </c>
      <c r="AC101" s="293">
        <v>12</v>
      </c>
      <c r="AD101" s="145" t="s">
        <v>18</v>
      </c>
      <c r="AE101" s="145" t="s">
        <v>18</v>
      </c>
      <c r="AF101" s="150"/>
      <c r="AG101" s="155" t="s">
        <v>17</v>
      </c>
      <c r="AH101" s="294"/>
      <c r="AI101" s="299" t="s">
        <v>2038</v>
      </c>
      <c r="AJ101" s="195">
        <f>SUMIF('TK 15661.Bản quyền phim '!F:F,'KK1. Movies'!D101,'TK 15661.Bản quyền phim '!X:X)</f>
        <v>0</v>
      </c>
      <c r="AK101" s="195">
        <f>SUMIF('TK 15661.Bản quyền phim '!F:F,'KK1. Movies'!AI101,'TK 15661.Bản quyền phim '!X:X)</f>
        <v>0</v>
      </c>
      <c r="AL101" s="295">
        <f>COUNTIF('242.BQ Phim hợp tác'!$C:$C,'KK1. Movies'!AI101)</f>
        <v>0</v>
      </c>
      <c r="AM101" s="295">
        <f>COUNTIF('TK 15661.Bản quyền phim '!F:F,'KK1. Movies'!AI101)</f>
        <v>1</v>
      </c>
      <c r="AN101" s="296">
        <f t="shared" si="1"/>
        <v>1</v>
      </c>
      <c r="AO101" s="295"/>
      <c r="AP101" s="295"/>
      <c r="AQ101" s="295"/>
      <c r="AR101" s="295"/>
      <c r="AS101" s="295"/>
    </row>
    <row r="102" spans="1:45" s="296" customFormat="1" x14ac:dyDescent="0.3">
      <c r="A102" s="292">
        <f>_xlfn.AGGREGATE(3,3,$D$7:D102)</f>
        <v>96</v>
      </c>
      <c r="B102" s="143" t="s">
        <v>1402</v>
      </c>
      <c r="C102" s="144" t="s">
        <v>2036</v>
      </c>
      <c r="D102" s="160" t="s">
        <v>2035</v>
      </c>
      <c r="E102" s="142" t="s">
        <v>2037</v>
      </c>
      <c r="F102" s="144" t="s">
        <v>511</v>
      </c>
      <c r="G102" s="164" t="s">
        <v>1649</v>
      </c>
      <c r="H102" s="144" t="s">
        <v>1648</v>
      </c>
      <c r="I102" s="159">
        <v>2023</v>
      </c>
      <c r="J102" s="159" t="s">
        <v>196</v>
      </c>
      <c r="K102" s="159">
        <v>93</v>
      </c>
      <c r="L102" s="148">
        <v>45519</v>
      </c>
      <c r="M102" s="161">
        <v>46613</v>
      </c>
      <c r="N102" s="157">
        <v>45519</v>
      </c>
      <c r="O102" s="145" t="s">
        <v>553</v>
      </c>
      <c r="P102" s="145"/>
      <c r="Q102" s="159" t="s">
        <v>20</v>
      </c>
      <c r="R102" s="145" t="s">
        <v>18</v>
      </c>
      <c r="S102" s="145" t="s">
        <v>18</v>
      </c>
      <c r="T102" s="145" t="s">
        <v>18</v>
      </c>
      <c r="U102" s="145" t="s">
        <v>18</v>
      </c>
      <c r="V102" s="145" t="s">
        <v>18</v>
      </c>
      <c r="W102" s="145" t="s">
        <v>18</v>
      </c>
      <c r="X102" s="145" t="s">
        <v>18</v>
      </c>
      <c r="Y102" s="162" t="s">
        <v>20</v>
      </c>
      <c r="Z102" s="148">
        <v>45519</v>
      </c>
      <c r="AA102" s="161">
        <v>46613</v>
      </c>
      <c r="AB102" s="159">
        <v>24</v>
      </c>
      <c r="AC102" s="293">
        <v>10</v>
      </c>
      <c r="AD102" s="145" t="s">
        <v>18</v>
      </c>
      <c r="AE102" s="145" t="s">
        <v>18</v>
      </c>
      <c r="AF102" s="150"/>
      <c r="AG102" s="155" t="s">
        <v>17</v>
      </c>
      <c r="AH102" s="294" t="s">
        <v>2036</v>
      </c>
      <c r="AI102" s="300" t="s">
        <v>2035</v>
      </c>
      <c r="AJ102" s="195">
        <f>SUMIF('TK 15661.Bản quyền phim '!F:F,'KK1. Movies'!D102,'TK 15661.Bản quyền phim '!X:X)</f>
        <v>31996031.66666666</v>
      </c>
      <c r="AK102" s="195">
        <f>SUMIF('TK 15661.Bản quyền phim '!F:F,'KK1. Movies'!AI102,'TK 15661.Bản quyền phim '!X:X)</f>
        <v>31996031.66666666</v>
      </c>
      <c r="AL102" s="295">
        <f>COUNTIF('242.BQ Phim hợp tác'!$C:$C,'KK1. Movies'!AI102)</f>
        <v>0</v>
      </c>
      <c r="AM102" s="295">
        <f>COUNTIF('TK 15661.Bản quyền phim '!F:F,'KK1. Movies'!AI102)</f>
        <v>1</v>
      </c>
      <c r="AN102" s="296">
        <f t="shared" si="1"/>
        <v>1</v>
      </c>
      <c r="AO102" s="295"/>
      <c r="AP102" s="295"/>
      <c r="AQ102" s="295"/>
      <c r="AR102" s="295"/>
      <c r="AS102" s="295"/>
    </row>
    <row r="103" spans="1:45" s="296" customFormat="1" x14ac:dyDescent="0.3">
      <c r="A103" s="292">
        <f>_xlfn.AGGREGATE(3,3,$D$7:D103)</f>
        <v>97</v>
      </c>
      <c r="B103" s="143" t="s">
        <v>1422</v>
      </c>
      <c r="C103" s="144" t="s">
        <v>2033</v>
      </c>
      <c r="D103" s="146" t="s">
        <v>2032</v>
      </c>
      <c r="E103" s="144" t="s">
        <v>2034</v>
      </c>
      <c r="F103" s="143" t="s">
        <v>350</v>
      </c>
      <c r="G103" s="303" t="s">
        <v>1372</v>
      </c>
      <c r="H103" s="144" t="s">
        <v>1415</v>
      </c>
      <c r="I103" s="297">
        <v>2020</v>
      </c>
      <c r="J103" s="150" t="s">
        <v>161</v>
      </c>
      <c r="K103" s="297">
        <v>87</v>
      </c>
      <c r="L103" s="148">
        <v>45065</v>
      </c>
      <c r="M103" s="163">
        <v>46160</v>
      </c>
      <c r="N103" s="157">
        <v>45141</v>
      </c>
      <c r="O103" s="309" t="s">
        <v>584</v>
      </c>
      <c r="P103" s="145" t="s">
        <v>1414</v>
      </c>
      <c r="Q103" s="150" t="s">
        <v>20</v>
      </c>
      <c r="R103" s="145" t="s">
        <v>18</v>
      </c>
      <c r="S103" s="145" t="s">
        <v>18</v>
      </c>
      <c r="T103" s="145" t="s">
        <v>18</v>
      </c>
      <c r="U103" s="145" t="s">
        <v>18</v>
      </c>
      <c r="V103" s="145" t="s">
        <v>18</v>
      </c>
      <c r="W103" s="145" t="s">
        <v>18</v>
      </c>
      <c r="X103" s="145" t="s">
        <v>18</v>
      </c>
      <c r="Y103" s="145" t="s">
        <v>18</v>
      </c>
      <c r="Z103" s="148">
        <v>45065</v>
      </c>
      <c r="AA103" s="163">
        <v>46160</v>
      </c>
      <c r="AB103" s="141">
        <v>24</v>
      </c>
      <c r="AC103" s="293">
        <v>15</v>
      </c>
      <c r="AD103" s="145" t="s">
        <v>18</v>
      </c>
      <c r="AE103" s="145" t="s">
        <v>18</v>
      </c>
      <c r="AF103" s="150"/>
      <c r="AG103" s="155" t="s">
        <v>17</v>
      </c>
      <c r="AH103" s="294" t="s">
        <v>2033</v>
      </c>
      <c r="AI103" s="299" t="s">
        <v>2032</v>
      </c>
      <c r="AJ103" s="195">
        <f>SUMIF('TK 15661.Bản quyền phim '!F:F,'KK1. Movies'!D103,'TK 15661.Bản quyền phim '!X:X)</f>
        <v>0</v>
      </c>
      <c r="AK103" s="195">
        <f>SUMIF('TK 15661.Bản quyền phim '!F:F,'KK1. Movies'!AI103,'TK 15661.Bản quyền phim '!X:X)</f>
        <v>0</v>
      </c>
      <c r="AL103" s="295">
        <f>COUNTIF('242.BQ Phim hợp tác'!$C:$C,'KK1. Movies'!AI103)</f>
        <v>0</v>
      </c>
      <c r="AM103" s="295">
        <f>COUNTIF('TK 15661.Bản quyền phim '!F:F,'KK1. Movies'!AI103)</f>
        <v>1</v>
      </c>
      <c r="AN103" s="296">
        <f t="shared" si="1"/>
        <v>1</v>
      </c>
      <c r="AO103" s="295"/>
      <c r="AP103" s="295"/>
      <c r="AQ103" s="295"/>
      <c r="AR103" s="295"/>
      <c r="AS103" s="295"/>
    </row>
    <row r="104" spans="1:45" s="296" customFormat="1" ht="26.4" x14ac:dyDescent="0.3">
      <c r="A104" s="292">
        <f>_xlfn.AGGREGATE(3,3,$D$7:D104)</f>
        <v>98</v>
      </c>
      <c r="B104" s="143" t="s">
        <v>1402</v>
      </c>
      <c r="C104" s="144" t="s">
        <v>2031</v>
      </c>
      <c r="D104" s="160" t="s">
        <v>2030</v>
      </c>
      <c r="E104" s="144" t="s">
        <v>2029</v>
      </c>
      <c r="F104" s="164" t="s">
        <v>503</v>
      </c>
      <c r="G104" s="158" t="s">
        <v>2028</v>
      </c>
      <c r="H104" s="144" t="s">
        <v>2027</v>
      </c>
      <c r="I104" s="162">
        <v>2020</v>
      </c>
      <c r="J104" s="145" t="s">
        <v>88</v>
      </c>
      <c r="K104" s="162">
        <v>118</v>
      </c>
      <c r="L104" s="163">
        <v>45686</v>
      </c>
      <c r="M104" s="148">
        <v>46780</v>
      </c>
      <c r="N104" s="163">
        <v>45687</v>
      </c>
      <c r="O104" s="145"/>
      <c r="P104" s="159">
        <v>0</v>
      </c>
      <c r="Q104" s="162" t="s">
        <v>20</v>
      </c>
      <c r="R104" s="145" t="s">
        <v>18</v>
      </c>
      <c r="S104" s="162" t="s">
        <v>18</v>
      </c>
      <c r="T104" s="145" t="s">
        <v>18</v>
      </c>
      <c r="U104" s="162" t="s">
        <v>18</v>
      </c>
      <c r="V104" s="162" t="s">
        <v>18</v>
      </c>
      <c r="W104" s="162" t="s">
        <v>18</v>
      </c>
      <c r="X104" s="162" t="s">
        <v>18</v>
      </c>
      <c r="Y104" s="162" t="s">
        <v>18</v>
      </c>
      <c r="Z104" s="165">
        <v>45686</v>
      </c>
      <c r="AA104" s="189">
        <v>46780</v>
      </c>
      <c r="AB104" s="162">
        <v>24</v>
      </c>
      <c r="AC104" s="293">
        <v>6</v>
      </c>
      <c r="AD104" s="145" t="s">
        <v>18</v>
      </c>
      <c r="AE104" s="145" t="s">
        <v>18</v>
      </c>
      <c r="AF104" s="150"/>
      <c r="AG104" s="155" t="s">
        <v>17</v>
      </c>
      <c r="AH104" s="294"/>
      <c r="AI104" s="298" t="s">
        <v>2026</v>
      </c>
      <c r="AJ104" s="195">
        <f>SUMIF('TK 15661.Bản quyền phim '!F:F,'KK1. Movies'!D104,'TK 15661.Bản quyền phim '!X:X)</f>
        <v>0</v>
      </c>
      <c r="AK104" s="195">
        <f>SUMIF('TK 15661.Bản quyền phim '!F:F,'KK1. Movies'!AI104,'TK 15661.Bản quyền phim '!X:X)</f>
        <v>50314000</v>
      </c>
      <c r="AL104" s="295">
        <f>COUNTIF('242.BQ Phim hợp tác'!$C:$C,'KK1. Movies'!AI104)</f>
        <v>0</v>
      </c>
      <c r="AM104" s="295">
        <f>COUNTIF('TK 15661.Bản quyền phim '!F:F,'KK1. Movies'!AI104)</f>
        <v>1</v>
      </c>
      <c r="AN104" s="296">
        <f t="shared" si="1"/>
        <v>1</v>
      </c>
      <c r="AO104" s="295"/>
      <c r="AP104" s="295"/>
      <c r="AQ104" s="295"/>
      <c r="AR104" s="295"/>
      <c r="AS104" s="295"/>
    </row>
    <row r="105" spans="1:45" s="296" customFormat="1" x14ac:dyDescent="0.3">
      <c r="A105" s="292">
        <f>_xlfn.AGGREGATE(3,3,$D$7:D105)</f>
        <v>99</v>
      </c>
      <c r="B105" s="143"/>
      <c r="C105" s="144" t="s">
        <v>2024</v>
      </c>
      <c r="D105" s="160" t="s">
        <v>2023</v>
      </c>
      <c r="E105" s="144" t="s">
        <v>2025</v>
      </c>
      <c r="F105" s="158" t="s">
        <v>1243</v>
      </c>
      <c r="G105" s="158" t="s">
        <v>198</v>
      </c>
      <c r="H105" s="164" t="s">
        <v>1208</v>
      </c>
      <c r="I105" s="162">
        <v>2022</v>
      </c>
      <c r="J105" s="159" t="s">
        <v>196</v>
      </c>
      <c r="K105" s="162">
        <v>91</v>
      </c>
      <c r="L105" s="165">
        <v>45778</v>
      </c>
      <c r="M105" s="165">
        <v>46507</v>
      </c>
      <c r="N105" s="157"/>
      <c r="O105" s="145"/>
      <c r="P105" s="159">
        <v>12</v>
      </c>
      <c r="Q105" s="159" t="s">
        <v>20</v>
      </c>
      <c r="R105" s="145" t="s">
        <v>18</v>
      </c>
      <c r="S105" s="159" t="s">
        <v>18</v>
      </c>
      <c r="T105" s="145" t="s">
        <v>18</v>
      </c>
      <c r="U105" s="159" t="s">
        <v>20</v>
      </c>
      <c r="V105" s="159" t="s">
        <v>20</v>
      </c>
      <c r="W105" s="159" t="s">
        <v>20</v>
      </c>
      <c r="X105" s="159" t="s">
        <v>18</v>
      </c>
      <c r="Y105" s="159" t="s">
        <v>18</v>
      </c>
      <c r="Z105" s="165">
        <v>45778</v>
      </c>
      <c r="AA105" s="189">
        <v>46507</v>
      </c>
      <c r="AB105" s="159">
        <v>6</v>
      </c>
      <c r="AC105" s="293">
        <v>1</v>
      </c>
      <c r="AD105" s="145" t="s">
        <v>18</v>
      </c>
      <c r="AE105" s="145" t="s">
        <v>18</v>
      </c>
      <c r="AF105" s="150"/>
      <c r="AG105" s="155" t="s">
        <v>17</v>
      </c>
      <c r="AH105" s="294" t="s">
        <v>2024</v>
      </c>
      <c r="AI105" s="300" t="s">
        <v>2023</v>
      </c>
      <c r="AJ105" s="195">
        <f>SUMIF('TK 15661.Bản quyền phim '!F:F,'KK1. Movies'!D105,'TK 15661.Bản quyền phim '!X:X)</f>
        <v>39258450</v>
      </c>
      <c r="AK105" s="195">
        <f>SUMIF('TK 15661.Bản quyền phim '!F:F,'KK1. Movies'!AI105,'TK 15661.Bản quyền phim '!X:X)</f>
        <v>39258450</v>
      </c>
      <c r="AL105" s="295">
        <f>COUNTIF('242.BQ Phim hợp tác'!$C:$C,'KK1. Movies'!AI105)</f>
        <v>0</v>
      </c>
      <c r="AM105" s="295">
        <f>COUNTIF('TK 15661.Bản quyền phim '!F:F,'KK1. Movies'!AI105)</f>
        <v>1</v>
      </c>
      <c r="AN105" s="296">
        <f t="shared" si="1"/>
        <v>1</v>
      </c>
      <c r="AO105" s="295"/>
      <c r="AP105" s="295"/>
      <c r="AQ105" s="295"/>
      <c r="AR105" s="295"/>
      <c r="AS105" s="295"/>
    </row>
    <row r="106" spans="1:45" s="296" customFormat="1" ht="26.4" x14ac:dyDescent="0.3">
      <c r="A106" s="292">
        <f>_xlfn.AGGREGATE(3,3,$D$7:D106)</f>
        <v>100</v>
      </c>
      <c r="B106" s="143"/>
      <c r="C106" s="341" t="s">
        <v>2022</v>
      </c>
      <c r="D106" s="160" t="s">
        <v>2020</v>
      </c>
      <c r="E106" s="166" t="s">
        <v>2021</v>
      </c>
      <c r="F106" s="160" t="s">
        <v>1464</v>
      </c>
      <c r="G106" s="158" t="s">
        <v>1127</v>
      </c>
      <c r="H106" s="158" t="s">
        <v>1126</v>
      </c>
      <c r="I106" s="159">
        <v>2022</v>
      </c>
      <c r="J106" s="159" t="s">
        <v>196</v>
      </c>
      <c r="K106" s="159">
        <v>122</v>
      </c>
      <c r="L106" s="188">
        <v>45777</v>
      </c>
      <c r="M106" s="188">
        <v>46324</v>
      </c>
      <c r="N106" s="157"/>
      <c r="O106" s="145"/>
      <c r="P106" s="145"/>
      <c r="Q106" s="159" t="s">
        <v>20</v>
      </c>
      <c r="R106" s="145" t="s">
        <v>18</v>
      </c>
      <c r="S106" s="166" t="s">
        <v>18</v>
      </c>
      <c r="T106" s="166" t="s">
        <v>18</v>
      </c>
      <c r="U106" s="166" t="s">
        <v>20</v>
      </c>
      <c r="V106" s="166" t="s">
        <v>20</v>
      </c>
      <c r="W106" s="166" t="s">
        <v>20</v>
      </c>
      <c r="X106" s="166" t="s">
        <v>18</v>
      </c>
      <c r="Y106" s="166" t="s">
        <v>20</v>
      </c>
      <c r="Z106" s="188">
        <v>45777</v>
      </c>
      <c r="AA106" s="188">
        <v>46141</v>
      </c>
      <c r="AB106" s="166">
        <v>10</v>
      </c>
      <c r="AC106" s="293">
        <v>3</v>
      </c>
      <c r="AD106" s="145" t="s">
        <v>18</v>
      </c>
      <c r="AE106" s="145" t="s">
        <v>18</v>
      </c>
      <c r="AF106" s="150"/>
      <c r="AG106" s="155" t="s">
        <v>17</v>
      </c>
      <c r="AH106" s="294"/>
      <c r="AI106" s="300" t="s">
        <v>2020</v>
      </c>
      <c r="AJ106" s="195">
        <f>SUMIF('TK 15661.Bản quyền phim '!F:F,'KK1. Movies'!D106,'TK 15661.Bản quyền phim '!X:X)</f>
        <v>58452750</v>
      </c>
      <c r="AK106" s="195">
        <f>SUMIF('TK 15661.Bản quyền phim '!F:F,'KK1. Movies'!AI106,'TK 15661.Bản quyền phim '!X:X)</f>
        <v>58452750</v>
      </c>
      <c r="AL106" s="295">
        <f>COUNTIF('242.BQ Phim hợp tác'!$C:$C,'KK1. Movies'!AI106)</f>
        <v>0</v>
      </c>
      <c r="AM106" s="295">
        <f>COUNTIF('TK 15661.Bản quyền phim '!F:F,'KK1. Movies'!AI106)</f>
        <v>1</v>
      </c>
      <c r="AN106" s="296">
        <f t="shared" si="1"/>
        <v>1</v>
      </c>
      <c r="AO106" s="295"/>
      <c r="AP106" s="295"/>
      <c r="AQ106" s="295"/>
      <c r="AR106" s="295"/>
      <c r="AS106" s="295"/>
    </row>
    <row r="107" spans="1:45" s="296" customFormat="1" x14ac:dyDescent="0.3">
      <c r="A107" s="292">
        <f>_xlfn.AGGREGATE(3,3,$D$7:D107)</f>
        <v>101</v>
      </c>
      <c r="B107" s="143" t="s">
        <v>1402</v>
      </c>
      <c r="C107" s="144" t="s">
        <v>2018</v>
      </c>
      <c r="D107" s="160" t="s">
        <v>2017</v>
      </c>
      <c r="E107" s="166" t="s">
        <v>2019</v>
      </c>
      <c r="F107" s="164" t="s">
        <v>1748</v>
      </c>
      <c r="G107" s="164" t="s">
        <v>198</v>
      </c>
      <c r="H107" s="164" t="s">
        <v>197</v>
      </c>
      <c r="I107" s="159">
        <v>2014</v>
      </c>
      <c r="J107" s="162" t="s">
        <v>196</v>
      </c>
      <c r="K107" s="159">
        <v>139</v>
      </c>
      <c r="L107" s="148">
        <v>45441</v>
      </c>
      <c r="M107" s="165">
        <v>46170</v>
      </c>
      <c r="N107" s="157">
        <v>45434</v>
      </c>
      <c r="O107" s="145" t="s">
        <v>584</v>
      </c>
      <c r="P107" s="159" t="s">
        <v>1513</v>
      </c>
      <c r="Q107" s="159" t="s">
        <v>20</v>
      </c>
      <c r="R107" s="145" t="s">
        <v>18</v>
      </c>
      <c r="S107" s="159" t="s">
        <v>18</v>
      </c>
      <c r="T107" s="145" t="s">
        <v>18</v>
      </c>
      <c r="U107" s="159" t="s">
        <v>20</v>
      </c>
      <c r="V107" s="159" t="s">
        <v>20</v>
      </c>
      <c r="W107" s="159" t="s">
        <v>20</v>
      </c>
      <c r="X107" s="159" t="s">
        <v>20</v>
      </c>
      <c r="Y107" s="159" t="s">
        <v>18</v>
      </c>
      <c r="Z107" s="148">
        <v>45441</v>
      </c>
      <c r="AA107" s="165">
        <v>46170</v>
      </c>
      <c r="AB107" s="162">
        <v>6</v>
      </c>
      <c r="AC107" s="162">
        <v>4</v>
      </c>
      <c r="AD107" s="145" t="s">
        <v>18</v>
      </c>
      <c r="AE107" s="145" t="s">
        <v>18</v>
      </c>
      <c r="AF107" s="150"/>
      <c r="AG107" s="155" t="s">
        <v>17</v>
      </c>
      <c r="AH107" s="294" t="s">
        <v>2018</v>
      </c>
      <c r="AI107" s="299" t="s">
        <v>2017</v>
      </c>
      <c r="AJ107" s="195">
        <f>SUMIF('TK 15661.Bản quyền phim '!F:F,'KK1. Movies'!D107,'TK 15661.Bản quyền phim '!X:X)</f>
        <v>0</v>
      </c>
      <c r="AK107" s="195">
        <f>SUMIF('TK 15661.Bản quyền phim '!F:F,'KK1. Movies'!AI107,'TK 15661.Bản quyền phim '!X:X)</f>
        <v>0</v>
      </c>
      <c r="AL107" s="295">
        <f>COUNTIF('242.BQ Phim hợp tác'!$C:$C,'KK1. Movies'!AI107)</f>
        <v>0</v>
      </c>
      <c r="AM107" s="295">
        <f>COUNTIF('TK 15661.Bản quyền phim '!F:F,'KK1. Movies'!AI107)</f>
        <v>1</v>
      </c>
      <c r="AN107" s="296">
        <f t="shared" si="1"/>
        <v>1</v>
      </c>
      <c r="AO107" s="295"/>
      <c r="AP107" s="295"/>
      <c r="AQ107" s="295"/>
      <c r="AR107" s="295"/>
      <c r="AS107" s="295"/>
    </row>
    <row r="108" spans="1:45" s="296" customFormat="1" ht="26.4" x14ac:dyDescent="0.3">
      <c r="A108" s="292">
        <f>_xlfn.AGGREGATE(3,3,$D$7:D108)</f>
        <v>102</v>
      </c>
      <c r="B108" s="143" t="s">
        <v>1422</v>
      </c>
      <c r="C108" s="144" t="s">
        <v>2015</v>
      </c>
      <c r="D108" s="160" t="s">
        <v>2014</v>
      </c>
      <c r="E108" s="144" t="s">
        <v>2016</v>
      </c>
      <c r="F108" s="144" t="s">
        <v>1013</v>
      </c>
      <c r="G108" s="164" t="s">
        <v>1372</v>
      </c>
      <c r="H108" s="144" t="s">
        <v>1530</v>
      </c>
      <c r="I108" s="162">
        <v>2022</v>
      </c>
      <c r="J108" s="162" t="s">
        <v>1529</v>
      </c>
      <c r="K108" s="162">
        <v>98</v>
      </c>
      <c r="L108" s="148">
        <v>45351</v>
      </c>
      <c r="M108" s="165">
        <v>46446</v>
      </c>
      <c r="N108" s="157">
        <v>45575</v>
      </c>
      <c r="O108" s="145" t="s">
        <v>553</v>
      </c>
      <c r="P108" s="159">
        <v>12</v>
      </c>
      <c r="Q108" s="162" t="s">
        <v>20</v>
      </c>
      <c r="R108" s="145" t="s">
        <v>18</v>
      </c>
      <c r="S108" s="145" t="s">
        <v>18</v>
      </c>
      <c r="T108" s="145" t="s">
        <v>18</v>
      </c>
      <c r="U108" s="145" t="s">
        <v>18</v>
      </c>
      <c r="V108" s="145" t="s">
        <v>18</v>
      </c>
      <c r="W108" s="145" t="s">
        <v>18</v>
      </c>
      <c r="X108" s="145" t="s">
        <v>18</v>
      </c>
      <c r="Y108" s="159" t="s">
        <v>20</v>
      </c>
      <c r="Z108" s="148">
        <v>45351</v>
      </c>
      <c r="AA108" s="165">
        <v>46446</v>
      </c>
      <c r="AB108" s="162">
        <v>24</v>
      </c>
      <c r="AC108" s="293">
        <v>13</v>
      </c>
      <c r="AD108" s="145" t="s">
        <v>18</v>
      </c>
      <c r="AE108" s="145" t="s">
        <v>18</v>
      </c>
      <c r="AF108" s="150"/>
      <c r="AG108" s="155" t="s">
        <v>17</v>
      </c>
      <c r="AH108" s="294" t="s">
        <v>2015</v>
      </c>
      <c r="AI108" s="300" t="s">
        <v>2014</v>
      </c>
      <c r="AJ108" s="195">
        <f>SUMIF('TK 15661.Bản quyền phim '!F:F,'KK1. Movies'!D108,'TK 15661.Bản quyền phim '!X:X)</f>
        <v>33333492</v>
      </c>
      <c r="AK108" s="195">
        <f>SUMIF('TK 15661.Bản quyền phim '!F:F,'KK1. Movies'!AI108,'TK 15661.Bản quyền phim '!X:X)</f>
        <v>33333492</v>
      </c>
      <c r="AL108" s="295">
        <f>COUNTIF('242.BQ Phim hợp tác'!$C:$C,'KK1. Movies'!AI108)</f>
        <v>0</v>
      </c>
      <c r="AM108" s="295">
        <f>COUNTIF('TK 15661.Bản quyền phim '!F:F,'KK1. Movies'!AI108)</f>
        <v>1</v>
      </c>
      <c r="AN108" s="296">
        <f t="shared" si="1"/>
        <v>1</v>
      </c>
      <c r="AO108" s="295"/>
      <c r="AP108" s="295"/>
      <c r="AQ108" s="295"/>
      <c r="AR108" s="295"/>
      <c r="AS108" s="295"/>
    </row>
    <row r="109" spans="1:45" s="296" customFormat="1" ht="26.4" x14ac:dyDescent="0.3">
      <c r="A109" s="292">
        <f>_xlfn.AGGREGATE(3,3,$D$7:D109)</f>
        <v>103</v>
      </c>
      <c r="B109" s="156" t="s">
        <v>1145</v>
      </c>
      <c r="C109" s="144" t="s">
        <v>2011</v>
      </c>
      <c r="D109" s="160" t="s">
        <v>2010</v>
      </c>
      <c r="E109" s="144" t="s">
        <v>2013</v>
      </c>
      <c r="F109" s="158" t="s">
        <v>2012</v>
      </c>
      <c r="G109" s="158" t="s">
        <v>1351</v>
      </c>
      <c r="H109" s="144" t="s">
        <v>1350</v>
      </c>
      <c r="I109" s="159">
        <v>2024</v>
      </c>
      <c r="J109" s="159" t="s">
        <v>178</v>
      </c>
      <c r="K109" s="159">
        <v>84</v>
      </c>
      <c r="L109" s="163">
        <v>45779</v>
      </c>
      <c r="M109" s="148">
        <v>46874</v>
      </c>
      <c r="N109" s="157" t="s">
        <v>1145</v>
      </c>
      <c r="O109" s="145"/>
      <c r="P109" s="159">
        <v>12</v>
      </c>
      <c r="Q109" s="159" t="s">
        <v>20</v>
      </c>
      <c r="R109" s="145" t="s">
        <v>18</v>
      </c>
      <c r="S109" s="162" t="s">
        <v>18</v>
      </c>
      <c r="T109" s="145" t="s">
        <v>18</v>
      </c>
      <c r="U109" s="162" t="s">
        <v>18</v>
      </c>
      <c r="V109" s="162" t="s">
        <v>18</v>
      </c>
      <c r="W109" s="162" t="s">
        <v>18</v>
      </c>
      <c r="X109" s="162" t="s">
        <v>18</v>
      </c>
      <c r="Y109" s="159" t="s">
        <v>18</v>
      </c>
      <c r="Z109" s="169">
        <v>45779</v>
      </c>
      <c r="AA109" s="344">
        <v>46874</v>
      </c>
      <c r="AB109" s="159">
        <v>24</v>
      </c>
      <c r="AC109" s="293">
        <v>3</v>
      </c>
      <c r="AD109" s="145" t="s">
        <v>18</v>
      </c>
      <c r="AE109" s="145" t="s">
        <v>18</v>
      </c>
      <c r="AF109" s="150"/>
      <c r="AG109" s="155" t="s">
        <v>17</v>
      </c>
      <c r="AH109" s="294" t="s">
        <v>2011</v>
      </c>
      <c r="AI109" s="300" t="s">
        <v>2010</v>
      </c>
      <c r="AJ109" s="195">
        <f>SUMIF('TK 15661.Bản quyền phim '!F:F,'KK1. Movies'!D109,'TK 15661.Bản quyền phim '!X:X)</f>
        <v>51606349.333333328</v>
      </c>
      <c r="AK109" s="195">
        <f>SUMIF('TK 15661.Bản quyền phim '!F:F,'KK1. Movies'!AI109,'TK 15661.Bản quyền phim '!X:X)</f>
        <v>51606349.333333328</v>
      </c>
      <c r="AL109" s="295">
        <f>COUNTIF('242.BQ Phim hợp tác'!$C:$C,'KK1. Movies'!AI109)</f>
        <v>0</v>
      </c>
      <c r="AM109" s="295">
        <f>COUNTIF('TK 15661.Bản quyền phim '!F:F,'KK1. Movies'!AI109)</f>
        <v>1</v>
      </c>
      <c r="AN109" s="296">
        <f t="shared" si="1"/>
        <v>1</v>
      </c>
      <c r="AO109" s="295"/>
      <c r="AP109" s="295"/>
      <c r="AQ109" s="295"/>
      <c r="AR109" s="295"/>
      <c r="AS109" s="295"/>
    </row>
    <row r="110" spans="1:45" s="296" customFormat="1" x14ac:dyDescent="0.3">
      <c r="A110" s="292">
        <f>_xlfn.AGGREGATE(3,3,$D$7:D110)</f>
        <v>104</v>
      </c>
      <c r="B110" s="144" t="s">
        <v>1402</v>
      </c>
      <c r="C110" s="144" t="s">
        <v>2008</v>
      </c>
      <c r="D110" s="144" t="s">
        <v>2007</v>
      </c>
      <c r="E110" s="144" t="s">
        <v>2009</v>
      </c>
      <c r="F110" s="144" t="s">
        <v>1013</v>
      </c>
      <c r="G110" s="144" t="s">
        <v>1372</v>
      </c>
      <c r="H110" s="144" t="s">
        <v>1640</v>
      </c>
      <c r="I110" s="297">
        <v>2020</v>
      </c>
      <c r="J110" s="150" t="s">
        <v>703</v>
      </c>
      <c r="K110" s="297">
        <v>118</v>
      </c>
      <c r="L110" s="148">
        <v>44567</v>
      </c>
      <c r="M110" s="301">
        <v>46028</v>
      </c>
      <c r="N110" s="302">
        <v>44567</v>
      </c>
      <c r="O110" s="145" t="s">
        <v>584</v>
      </c>
      <c r="P110" s="154" t="s">
        <v>1639</v>
      </c>
      <c r="Q110" s="150" t="s">
        <v>20</v>
      </c>
      <c r="R110" s="145" t="s">
        <v>18</v>
      </c>
      <c r="S110" s="145" t="s">
        <v>18</v>
      </c>
      <c r="T110" s="145" t="s">
        <v>18</v>
      </c>
      <c r="U110" s="145" t="s">
        <v>18</v>
      </c>
      <c r="V110" s="145" t="s">
        <v>18</v>
      </c>
      <c r="W110" s="145" t="s">
        <v>18</v>
      </c>
      <c r="X110" s="145" t="s">
        <v>18</v>
      </c>
      <c r="Y110" s="145" t="s">
        <v>18</v>
      </c>
      <c r="Z110" s="148">
        <v>44567</v>
      </c>
      <c r="AA110" s="301">
        <v>46028</v>
      </c>
      <c r="AB110" s="141" t="s">
        <v>1394</v>
      </c>
      <c r="AC110" s="293">
        <v>38</v>
      </c>
      <c r="AD110" s="145" t="s">
        <v>18</v>
      </c>
      <c r="AE110" s="145" t="s">
        <v>18</v>
      </c>
      <c r="AF110" s="150"/>
      <c r="AG110" s="155" t="s">
        <v>17</v>
      </c>
      <c r="AH110" s="294" t="s">
        <v>2008</v>
      </c>
      <c r="AI110" s="299" t="s">
        <v>2007</v>
      </c>
      <c r="AJ110" s="195">
        <f>SUMIF('TK 15661.Bản quyền phim '!F:F,'KK1. Movies'!D110,'TK 15661.Bản quyền phim '!X:X)</f>
        <v>0</v>
      </c>
      <c r="AK110" s="195">
        <f>SUMIF('TK 15661.Bản quyền phim '!F:F,'KK1. Movies'!AI110,'TK 15661.Bản quyền phim '!X:X)</f>
        <v>0</v>
      </c>
      <c r="AL110" s="295">
        <f>COUNTIF('242.BQ Phim hợp tác'!$C:$C,'KK1. Movies'!AI110)</f>
        <v>0</v>
      </c>
      <c r="AM110" s="295">
        <f>COUNTIF('TK 15661.Bản quyền phim '!F:F,'KK1. Movies'!AI110)</f>
        <v>1</v>
      </c>
      <c r="AN110" s="296">
        <f t="shared" si="1"/>
        <v>1</v>
      </c>
      <c r="AO110" s="295"/>
      <c r="AP110" s="295"/>
      <c r="AQ110" s="295"/>
      <c r="AR110" s="295"/>
      <c r="AS110" s="295"/>
    </row>
    <row r="111" spans="1:45" s="296" customFormat="1" x14ac:dyDescent="0.3">
      <c r="A111" s="292">
        <f>_xlfn.AGGREGATE(3,3,$D$7:D111)</f>
        <v>105</v>
      </c>
      <c r="B111" s="143" t="s">
        <v>1392</v>
      </c>
      <c r="C111" s="144" t="s">
        <v>2005</v>
      </c>
      <c r="D111" s="160" t="s">
        <v>2004</v>
      </c>
      <c r="E111" s="142" t="s">
        <v>2006</v>
      </c>
      <c r="F111" s="144" t="s">
        <v>1013</v>
      </c>
      <c r="G111" s="164" t="s">
        <v>1649</v>
      </c>
      <c r="H111" s="144" t="s">
        <v>1648</v>
      </c>
      <c r="I111" s="159">
        <v>2022</v>
      </c>
      <c r="J111" s="159" t="s">
        <v>196</v>
      </c>
      <c r="K111" s="159">
        <v>130</v>
      </c>
      <c r="L111" s="148">
        <v>45310</v>
      </c>
      <c r="M111" s="148">
        <v>46405</v>
      </c>
      <c r="N111" s="157">
        <v>45540</v>
      </c>
      <c r="O111" s="145" t="s">
        <v>584</v>
      </c>
      <c r="P111" s="145"/>
      <c r="Q111" s="159" t="s">
        <v>20</v>
      </c>
      <c r="R111" s="145" t="s">
        <v>18</v>
      </c>
      <c r="S111" s="145" t="s">
        <v>18</v>
      </c>
      <c r="T111" s="145" t="s">
        <v>18</v>
      </c>
      <c r="U111" s="145" t="s">
        <v>18</v>
      </c>
      <c r="V111" s="145" t="s">
        <v>18</v>
      </c>
      <c r="W111" s="145" t="s">
        <v>18</v>
      </c>
      <c r="X111" s="145" t="s">
        <v>18</v>
      </c>
      <c r="Y111" s="162" t="s">
        <v>20</v>
      </c>
      <c r="Z111" s="148">
        <v>45310</v>
      </c>
      <c r="AA111" s="148">
        <v>46405</v>
      </c>
      <c r="AB111" s="159">
        <v>24</v>
      </c>
      <c r="AC111" s="293">
        <v>12</v>
      </c>
      <c r="AD111" s="145" t="s">
        <v>18</v>
      </c>
      <c r="AE111" s="145" t="s">
        <v>18</v>
      </c>
      <c r="AF111" s="150"/>
      <c r="AG111" s="155" t="s">
        <v>17</v>
      </c>
      <c r="AH111" s="294" t="s">
        <v>2005</v>
      </c>
      <c r="AI111" s="300" t="s">
        <v>2004</v>
      </c>
      <c r="AJ111" s="195">
        <f>SUMIF('TK 15661.Bản quyền phim '!F:F,'KK1. Movies'!D111,'TK 15661.Bản quyền phim '!X:X)</f>
        <v>30246031.66666666</v>
      </c>
      <c r="AK111" s="195">
        <f>SUMIF('TK 15661.Bản quyền phim '!F:F,'KK1. Movies'!AI111,'TK 15661.Bản quyền phim '!X:X)</f>
        <v>30246031.66666666</v>
      </c>
      <c r="AL111" s="295">
        <f>COUNTIF('242.BQ Phim hợp tác'!$C:$C,'KK1. Movies'!AI111)</f>
        <v>0</v>
      </c>
      <c r="AM111" s="295">
        <f>COUNTIF('TK 15661.Bản quyền phim '!F:F,'KK1. Movies'!AI111)</f>
        <v>1</v>
      </c>
      <c r="AN111" s="296">
        <f t="shared" si="1"/>
        <v>1</v>
      </c>
      <c r="AO111" s="295"/>
      <c r="AP111" s="295"/>
      <c r="AQ111" s="295"/>
      <c r="AR111" s="295"/>
      <c r="AS111" s="295"/>
    </row>
    <row r="112" spans="1:45" s="296" customFormat="1" ht="26.4" x14ac:dyDescent="0.3">
      <c r="A112" s="292">
        <f>_xlfn.AGGREGATE(3,3,$D$7:D112)</f>
        <v>106</v>
      </c>
      <c r="B112" s="143" t="s">
        <v>1422</v>
      </c>
      <c r="C112" s="144" t="s">
        <v>2002</v>
      </c>
      <c r="D112" s="146" t="s">
        <v>2001</v>
      </c>
      <c r="E112" s="144" t="s">
        <v>2003</v>
      </c>
      <c r="F112" s="143" t="s">
        <v>350</v>
      </c>
      <c r="G112" s="143" t="s">
        <v>1389</v>
      </c>
      <c r="H112" s="144" t="s">
        <v>1388</v>
      </c>
      <c r="I112" s="297">
        <v>2017</v>
      </c>
      <c r="J112" s="145" t="s">
        <v>196</v>
      </c>
      <c r="K112" s="297">
        <v>101</v>
      </c>
      <c r="L112" s="148">
        <v>45239</v>
      </c>
      <c r="M112" s="148">
        <v>46334</v>
      </c>
      <c r="N112" s="152">
        <v>45239</v>
      </c>
      <c r="O112" s="309" t="s">
        <v>584</v>
      </c>
      <c r="P112" s="145" t="s">
        <v>1387</v>
      </c>
      <c r="Q112" s="145" t="s">
        <v>20</v>
      </c>
      <c r="R112" s="145" t="s">
        <v>18</v>
      </c>
      <c r="S112" s="145" t="s">
        <v>20</v>
      </c>
      <c r="T112" s="145" t="s">
        <v>18</v>
      </c>
      <c r="U112" s="145" t="s">
        <v>18</v>
      </c>
      <c r="V112" s="145" t="s">
        <v>18</v>
      </c>
      <c r="W112" s="145" t="s">
        <v>18</v>
      </c>
      <c r="X112" s="145" t="s">
        <v>18</v>
      </c>
      <c r="Y112" s="145" t="s">
        <v>20</v>
      </c>
      <c r="Z112" s="148">
        <v>45239</v>
      </c>
      <c r="AA112" s="148">
        <v>46334</v>
      </c>
      <c r="AB112" s="293">
        <v>24</v>
      </c>
      <c r="AC112" s="293">
        <v>15</v>
      </c>
      <c r="AD112" s="145" t="s">
        <v>18</v>
      </c>
      <c r="AE112" s="145" t="s">
        <v>18</v>
      </c>
      <c r="AF112" s="150"/>
      <c r="AG112" s="155" t="s">
        <v>17</v>
      </c>
      <c r="AH112" s="294" t="s">
        <v>2002</v>
      </c>
      <c r="AI112" s="299" t="s">
        <v>2001</v>
      </c>
      <c r="AJ112" s="195">
        <f>SUMIF('TK 15661.Bản quyền phim '!F:F,'KK1. Movies'!D112,'TK 15661.Bản quyền phim '!X:X)</f>
        <v>0</v>
      </c>
      <c r="AK112" s="195">
        <f>SUMIF('TK 15661.Bản quyền phim '!F:F,'KK1. Movies'!AI112,'TK 15661.Bản quyền phim '!X:X)</f>
        <v>0</v>
      </c>
      <c r="AL112" s="295">
        <f>COUNTIF('242.BQ Phim hợp tác'!$C:$C,'KK1. Movies'!AI112)</f>
        <v>0</v>
      </c>
      <c r="AM112" s="295">
        <f>COUNTIF('TK 15661.Bản quyền phim '!F:F,'KK1. Movies'!AI112)</f>
        <v>1</v>
      </c>
      <c r="AN112" s="296">
        <f t="shared" si="1"/>
        <v>1</v>
      </c>
      <c r="AO112" s="295"/>
      <c r="AP112" s="295"/>
      <c r="AQ112" s="295"/>
      <c r="AR112" s="295"/>
      <c r="AS112" s="295"/>
    </row>
    <row r="113" spans="1:45" s="296" customFormat="1" ht="26.4" x14ac:dyDescent="0.3">
      <c r="A113" s="292">
        <f>_xlfn.AGGREGATE(3,3,$D$7:D113)</f>
        <v>107</v>
      </c>
      <c r="B113" s="143" t="s">
        <v>1392</v>
      </c>
      <c r="C113" s="341" t="s">
        <v>2000</v>
      </c>
      <c r="D113" s="160" t="s">
        <v>1998</v>
      </c>
      <c r="E113" s="142" t="s">
        <v>1999</v>
      </c>
      <c r="F113" s="158" t="s">
        <v>1142</v>
      </c>
      <c r="G113" s="158" t="s">
        <v>198</v>
      </c>
      <c r="H113" s="164" t="s">
        <v>1208</v>
      </c>
      <c r="I113" s="159">
        <v>2020</v>
      </c>
      <c r="J113" s="159" t="s">
        <v>196</v>
      </c>
      <c r="K113" s="159">
        <v>95</v>
      </c>
      <c r="L113" s="163">
        <v>45685</v>
      </c>
      <c r="M113" s="148">
        <v>46414</v>
      </c>
      <c r="N113" s="163">
        <v>45685</v>
      </c>
      <c r="O113" s="145"/>
      <c r="P113" s="159"/>
      <c r="Q113" s="162" t="s">
        <v>20</v>
      </c>
      <c r="R113" s="145" t="s">
        <v>18</v>
      </c>
      <c r="S113" s="162" t="s">
        <v>18</v>
      </c>
      <c r="T113" s="162" t="s">
        <v>18</v>
      </c>
      <c r="U113" s="159" t="s">
        <v>20</v>
      </c>
      <c r="V113" s="159" t="s">
        <v>20</v>
      </c>
      <c r="W113" s="159" t="s">
        <v>20</v>
      </c>
      <c r="X113" s="162" t="s">
        <v>18</v>
      </c>
      <c r="Y113" s="159" t="s">
        <v>20</v>
      </c>
      <c r="Z113" s="165">
        <v>45685</v>
      </c>
      <c r="AA113" s="188">
        <v>46414</v>
      </c>
      <c r="AB113" s="159">
        <v>6</v>
      </c>
      <c r="AC113" s="293">
        <v>4</v>
      </c>
      <c r="AD113" s="145" t="s">
        <v>18</v>
      </c>
      <c r="AE113" s="145" t="s">
        <v>18</v>
      </c>
      <c r="AF113" s="150"/>
      <c r="AG113" s="155" t="s">
        <v>17</v>
      </c>
      <c r="AH113" s="294"/>
      <c r="AI113" s="300" t="s">
        <v>1998</v>
      </c>
      <c r="AJ113" s="195">
        <f>SUMIF('TK 15661.Bản quyền phim '!F:F,'KK1. Movies'!D113,'TK 15661.Bản quyền phim '!X:X)</f>
        <v>56791350</v>
      </c>
      <c r="AK113" s="195">
        <f>SUMIF('TK 15661.Bản quyền phim '!F:F,'KK1. Movies'!AI113,'TK 15661.Bản quyền phim '!X:X)</f>
        <v>56791350</v>
      </c>
      <c r="AL113" s="295">
        <f>COUNTIF('242.BQ Phim hợp tác'!$C:$C,'KK1. Movies'!AI113)</f>
        <v>0</v>
      </c>
      <c r="AM113" s="295">
        <f>COUNTIF('TK 15661.Bản quyền phim '!F:F,'KK1. Movies'!AI113)</f>
        <v>1</v>
      </c>
      <c r="AN113" s="296">
        <f t="shared" si="1"/>
        <v>1</v>
      </c>
      <c r="AO113" s="295"/>
      <c r="AP113" s="295"/>
      <c r="AQ113" s="295"/>
      <c r="AR113" s="295"/>
      <c r="AS113" s="295"/>
    </row>
    <row r="114" spans="1:45" s="296" customFormat="1" ht="26.4" x14ac:dyDescent="0.3">
      <c r="A114" s="292">
        <f>_xlfn.AGGREGATE(3,3,$D$7:D114)</f>
        <v>108</v>
      </c>
      <c r="B114" s="156" t="s">
        <v>1145</v>
      </c>
      <c r="C114" s="144" t="s">
        <v>1995</v>
      </c>
      <c r="D114" s="160" t="s">
        <v>1994</v>
      </c>
      <c r="E114" s="160" t="s">
        <v>1997</v>
      </c>
      <c r="F114" s="164" t="s">
        <v>1996</v>
      </c>
      <c r="G114" s="164" t="s">
        <v>1372</v>
      </c>
      <c r="H114" s="144" t="s">
        <v>1371</v>
      </c>
      <c r="I114" s="162">
        <v>2021</v>
      </c>
      <c r="J114" s="162" t="s">
        <v>178</v>
      </c>
      <c r="K114" s="162">
        <v>107</v>
      </c>
      <c r="L114" s="163">
        <v>45715</v>
      </c>
      <c r="M114" s="148">
        <v>46809</v>
      </c>
      <c r="N114" s="157" t="s">
        <v>1145</v>
      </c>
      <c r="O114" s="145"/>
      <c r="P114" s="159">
        <v>12</v>
      </c>
      <c r="Q114" s="162" t="s">
        <v>20</v>
      </c>
      <c r="R114" s="145" t="s">
        <v>18</v>
      </c>
      <c r="S114" s="159" t="s">
        <v>18</v>
      </c>
      <c r="T114" s="145" t="s">
        <v>18</v>
      </c>
      <c r="U114" s="159" t="s">
        <v>18</v>
      </c>
      <c r="V114" s="159" t="s">
        <v>18</v>
      </c>
      <c r="W114" s="159" t="s">
        <v>18</v>
      </c>
      <c r="X114" s="159" t="s">
        <v>18</v>
      </c>
      <c r="Y114" s="159" t="s">
        <v>20</v>
      </c>
      <c r="Z114" s="165">
        <v>45715</v>
      </c>
      <c r="AA114" s="189">
        <v>46809</v>
      </c>
      <c r="AB114" s="162">
        <v>24</v>
      </c>
      <c r="AC114" s="293">
        <v>7</v>
      </c>
      <c r="AD114" s="145" t="s">
        <v>18</v>
      </c>
      <c r="AE114" s="145" t="s">
        <v>18</v>
      </c>
      <c r="AF114" s="150"/>
      <c r="AG114" s="155" t="s">
        <v>17</v>
      </c>
      <c r="AH114" s="294" t="s">
        <v>1995</v>
      </c>
      <c r="AI114" s="300" t="s">
        <v>1994</v>
      </c>
      <c r="AJ114" s="195">
        <f>SUMIF('TK 15661.Bản quyền phim '!F:F,'KK1. Movies'!D114,'TK 15661.Bản quyền phim '!X:X)</f>
        <v>59932952.666666672</v>
      </c>
      <c r="AK114" s="195">
        <f>SUMIF('TK 15661.Bản quyền phim '!F:F,'KK1. Movies'!AI114,'TK 15661.Bản quyền phim '!X:X)</f>
        <v>59932952.666666672</v>
      </c>
      <c r="AL114" s="295">
        <f>COUNTIF('242.BQ Phim hợp tác'!$C:$C,'KK1. Movies'!AI114)</f>
        <v>0</v>
      </c>
      <c r="AM114" s="295">
        <f>COUNTIF('TK 15661.Bản quyền phim '!F:F,'KK1. Movies'!AI114)</f>
        <v>1</v>
      </c>
      <c r="AN114" s="296">
        <f t="shared" si="1"/>
        <v>1</v>
      </c>
      <c r="AO114" s="295"/>
      <c r="AP114" s="295"/>
      <c r="AQ114" s="295"/>
      <c r="AR114" s="295"/>
      <c r="AS114" s="295"/>
    </row>
    <row r="115" spans="1:45" s="296" customFormat="1" ht="26.4" x14ac:dyDescent="0.3">
      <c r="A115" s="292">
        <f>_xlfn.AGGREGATE(3,3,$D$7:D115)</f>
        <v>109</v>
      </c>
      <c r="B115" s="143" t="s">
        <v>1402</v>
      </c>
      <c r="C115" s="144" t="s">
        <v>1991</v>
      </c>
      <c r="D115" s="146" t="s">
        <v>1993</v>
      </c>
      <c r="E115" s="144" t="s">
        <v>1992</v>
      </c>
      <c r="F115" s="144" t="s">
        <v>385</v>
      </c>
      <c r="G115" s="143" t="s">
        <v>1324</v>
      </c>
      <c r="H115" s="144" t="s">
        <v>1418</v>
      </c>
      <c r="I115" s="297">
        <v>2021</v>
      </c>
      <c r="J115" s="150" t="s">
        <v>196</v>
      </c>
      <c r="K115" s="297">
        <v>107</v>
      </c>
      <c r="L115" s="148">
        <v>45183</v>
      </c>
      <c r="M115" s="153">
        <v>46278</v>
      </c>
      <c r="N115" s="152">
        <v>45183</v>
      </c>
      <c r="O115" s="309" t="s">
        <v>584</v>
      </c>
      <c r="P115" s="141">
        <v>12</v>
      </c>
      <c r="Q115" s="145" t="s">
        <v>20</v>
      </c>
      <c r="R115" s="145" t="s">
        <v>18</v>
      </c>
      <c r="S115" s="145" t="s">
        <v>18</v>
      </c>
      <c r="T115" s="145" t="s">
        <v>18</v>
      </c>
      <c r="U115" s="145" t="s">
        <v>18</v>
      </c>
      <c r="V115" s="145" t="s">
        <v>18</v>
      </c>
      <c r="W115" s="145" t="s">
        <v>18</v>
      </c>
      <c r="X115" s="145" t="s">
        <v>20</v>
      </c>
      <c r="Y115" s="145" t="s">
        <v>18</v>
      </c>
      <c r="Z115" s="148">
        <v>45183</v>
      </c>
      <c r="AA115" s="153">
        <v>46278</v>
      </c>
      <c r="AB115" s="141" t="s">
        <v>1394</v>
      </c>
      <c r="AC115" s="293">
        <v>18</v>
      </c>
      <c r="AD115" s="145" t="s">
        <v>18</v>
      </c>
      <c r="AE115" s="145" t="s">
        <v>18</v>
      </c>
      <c r="AF115" s="150"/>
      <c r="AG115" s="155" t="s">
        <v>17</v>
      </c>
      <c r="AH115" s="294" t="s">
        <v>1991</v>
      </c>
      <c r="AI115" s="300" t="s">
        <v>1990</v>
      </c>
      <c r="AJ115" s="195">
        <f>SUMIF('TK 15661.Bản quyền phim '!F:F,'KK1. Movies'!D115,'TK 15661.Bản quyền phim '!X:X)</f>
        <v>0</v>
      </c>
      <c r="AK115" s="195">
        <f>SUMIF('TK 15661.Bản quyền phim '!F:F,'KK1. Movies'!AI115,'TK 15661.Bản quyền phim '!X:X)</f>
        <v>0</v>
      </c>
      <c r="AL115" s="295">
        <f>COUNTIF('242.BQ Phim hợp tác'!$C:$C,'KK1. Movies'!AI115)</f>
        <v>0</v>
      </c>
      <c r="AM115" s="295">
        <f>COUNTIF('TK 15661.Bản quyền phim '!F:F,'KK1. Movies'!AI115)</f>
        <v>1</v>
      </c>
      <c r="AN115" s="296">
        <f t="shared" si="1"/>
        <v>1</v>
      </c>
      <c r="AO115" s="295"/>
      <c r="AP115" s="295"/>
      <c r="AQ115" s="295"/>
      <c r="AR115" s="295"/>
      <c r="AS115" s="295"/>
    </row>
    <row r="116" spans="1:45" s="296" customFormat="1" x14ac:dyDescent="0.3">
      <c r="A116" s="292">
        <f>_xlfn.AGGREGATE(3,3,$D$7:D116)</f>
        <v>110</v>
      </c>
      <c r="B116" s="143" t="s">
        <v>1402</v>
      </c>
      <c r="C116" s="144" t="s">
        <v>1988</v>
      </c>
      <c r="D116" s="160" t="s">
        <v>1987</v>
      </c>
      <c r="E116" s="166" t="s">
        <v>1989</v>
      </c>
      <c r="F116" s="164" t="s">
        <v>824</v>
      </c>
      <c r="G116" s="164" t="s">
        <v>198</v>
      </c>
      <c r="H116" s="164" t="s">
        <v>197</v>
      </c>
      <c r="I116" s="159">
        <v>2013</v>
      </c>
      <c r="J116" s="162" t="s">
        <v>196</v>
      </c>
      <c r="K116" s="159">
        <v>130</v>
      </c>
      <c r="L116" s="148">
        <v>45443</v>
      </c>
      <c r="M116" s="165">
        <v>46172</v>
      </c>
      <c r="N116" s="157">
        <v>45541</v>
      </c>
      <c r="O116" s="145" t="s">
        <v>584</v>
      </c>
      <c r="P116" s="159" t="s">
        <v>1513</v>
      </c>
      <c r="Q116" s="159" t="s">
        <v>20</v>
      </c>
      <c r="R116" s="145" t="s">
        <v>18</v>
      </c>
      <c r="S116" s="159" t="s">
        <v>18</v>
      </c>
      <c r="T116" s="145" t="s">
        <v>18</v>
      </c>
      <c r="U116" s="159" t="s">
        <v>20</v>
      </c>
      <c r="V116" s="159" t="s">
        <v>20</v>
      </c>
      <c r="W116" s="159" t="s">
        <v>20</v>
      </c>
      <c r="X116" s="159" t="s">
        <v>20</v>
      </c>
      <c r="Y116" s="159" t="s">
        <v>18</v>
      </c>
      <c r="Z116" s="148">
        <v>45443</v>
      </c>
      <c r="AA116" s="165">
        <v>46172</v>
      </c>
      <c r="AB116" s="162">
        <v>6</v>
      </c>
      <c r="AC116" s="162">
        <v>4</v>
      </c>
      <c r="AD116" s="145" t="s">
        <v>18</v>
      </c>
      <c r="AE116" s="145" t="s">
        <v>18</v>
      </c>
      <c r="AF116" s="150"/>
      <c r="AG116" s="155" t="s">
        <v>17</v>
      </c>
      <c r="AH116" s="294" t="s">
        <v>1988</v>
      </c>
      <c r="AI116" s="299" t="s">
        <v>1987</v>
      </c>
      <c r="AJ116" s="195">
        <f>SUMIF('TK 15661.Bản quyền phim '!F:F,'KK1. Movies'!D116,'TK 15661.Bản quyền phim '!X:X)</f>
        <v>0</v>
      </c>
      <c r="AK116" s="195">
        <f>SUMIF('TK 15661.Bản quyền phim '!F:F,'KK1. Movies'!AI116,'TK 15661.Bản quyền phim '!X:X)</f>
        <v>0</v>
      </c>
      <c r="AL116" s="295">
        <f>COUNTIF('242.BQ Phim hợp tác'!$C:$C,'KK1. Movies'!AI116)</f>
        <v>0</v>
      </c>
      <c r="AM116" s="295">
        <f>COUNTIF('TK 15661.Bản quyền phim '!F:F,'KK1. Movies'!AI116)</f>
        <v>1</v>
      </c>
      <c r="AN116" s="296">
        <f t="shared" si="1"/>
        <v>1</v>
      </c>
      <c r="AO116" s="295"/>
      <c r="AP116" s="295"/>
      <c r="AQ116" s="295"/>
      <c r="AR116" s="295"/>
      <c r="AS116" s="295"/>
    </row>
    <row r="117" spans="1:45" s="296" customFormat="1" ht="26.4" x14ac:dyDescent="0.3">
      <c r="A117" s="292">
        <f>_xlfn.AGGREGATE(3,3,$D$7:D117)</f>
        <v>111</v>
      </c>
      <c r="B117" s="166" t="s">
        <v>1402</v>
      </c>
      <c r="C117" s="144" t="s">
        <v>1985</v>
      </c>
      <c r="D117" s="146" t="s">
        <v>1984</v>
      </c>
      <c r="E117" s="144" t="s">
        <v>1986</v>
      </c>
      <c r="F117" s="144" t="s">
        <v>511</v>
      </c>
      <c r="G117" s="303" t="s">
        <v>1372</v>
      </c>
      <c r="H117" s="144" t="s">
        <v>1415</v>
      </c>
      <c r="I117" s="297">
        <v>2017</v>
      </c>
      <c r="J117" s="150" t="s">
        <v>196</v>
      </c>
      <c r="K117" s="297">
        <v>102</v>
      </c>
      <c r="L117" s="148">
        <v>45007</v>
      </c>
      <c r="M117" s="163">
        <v>46102</v>
      </c>
      <c r="N117" s="157">
        <v>45007</v>
      </c>
      <c r="O117" s="309" t="s">
        <v>584</v>
      </c>
      <c r="P117" s="145" t="s">
        <v>1414</v>
      </c>
      <c r="Q117" s="150" t="s">
        <v>20</v>
      </c>
      <c r="R117" s="145" t="s">
        <v>18</v>
      </c>
      <c r="S117" s="145" t="s">
        <v>18</v>
      </c>
      <c r="T117" s="145" t="s">
        <v>18</v>
      </c>
      <c r="U117" s="145" t="s">
        <v>18</v>
      </c>
      <c r="V117" s="145" t="s">
        <v>18</v>
      </c>
      <c r="W117" s="145" t="s">
        <v>18</v>
      </c>
      <c r="X117" s="145" t="s">
        <v>18</v>
      </c>
      <c r="Y117" s="145" t="s">
        <v>18</v>
      </c>
      <c r="Z117" s="148">
        <v>45007</v>
      </c>
      <c r="AA117" s="163">
        <v>46102</v>
      </c>
      <c r="AB117" s="141">
        <v>24</v>
      </c>
      <c r="AC117" s="293">
        <v>21</v>
      </c>
      <c r="AD117" s="145" t="s">
        <v>18</v>
      </c>
      <c r="AE117" s="145" t="s">
        <v>18</v>
      </c>
      <c r="AF117" s="150"/>
      <c r="AG117" s="155" t="s">
        <v>17</v>
      </c>
      <c r="AH117" s="294" t="s">
        <v>1985</v>
      </c>
      <c r="AI117" s="299" t="s">
        <v>1984</v>
      </c>
      <c r="AJ117" s="195">
        <f>SUMIF('TK 15661.Bản quyền phim '!F:F,'KK1. Movies'!D117,'TK 15661.Bản quyền phim '!X:X)</f>
        <v>0</v>
      </c>
      <c r="AK117" s="195">
        <f>SUMIF('TK 15661.Bản quyền phim '!F:F,'KK1. Movies'!AI117,'TK 15661.Bản quyền phim '!X:X)</f>
        <v>0</v>
      </c>
      <c r="AL117" s="295">
        <f>COUNTIF('242.BQ Phim hợp tác'!$C:$C,'KK1. Movies'!AI117)</f>
        <v>0</v>
      </c>
      <c r="AM117" s="295">
        <f>COUNTIF('TK 15661.Bản quyền phim '!F:F,'KK1. Movies'!AI117)</f>
        <v>1</v>
      </c>
      <c r="AN117" s="296">
        <f t="shared" si="1"/>
        <v>1</v>
      </c>
      <c r="AO117" s="295"/>
      <c r="AP117" s="295"/>
      <c r="AQ117" s="295"/>
      <c r="AR117" s="295"/>
      <c r="AS117" s="295"/>
    </row>
    <row r="118" spans="1:45" s="296" customFormat="1" ht="52.8" x14ac:dyDescent="0.3">
      <c r="A118" s="292">
        <f>_xlfn.AGGREGATE(3,3,$D$7:D118)</f>
        <v>112</v>
      </c>
      <c r="B118" s="143" t="s">
        <v>1402</v>
      </c>
      <c r="C118" s="144" t="s">
        <v>1982</v>
      </c>
      <c r="D118" s="160" t="s">
        <v>1981</v>
      </c>
      <c r="E118" s="166" t="s">
        <v>1983</v>
      </c>
      <c r="F118" s="144" t="s">
        <v>350</v>
      </c>
      <c r="G118" s="158" t="s">
        <v>1592</v>
      </c>
      <c r="H118" s="144" t="s">
        <v>1591</v>
      </c>
      <c r="I118" s="159">
        <v>2019</v>
      </c>
      <c r="J118" s="150" t="s">
        <v>196</v>
      </c>
      <c r="K118" s="159">
        <v>99</v>
      </c>
      <c r="L118" s="148">
        <v>45382</v>
      </c>
      <c r="M118" s="161">
        <v>46111</v>
      </c>
      <c r="N118" s="157">
        <v>45413</v>
      </c>
      <c r="O118" s="145" t="s">
        <v>584</v>
      </c>
      <c r="P118" s="145"/>
      <c r="Q118" s="159" t="s">
        <v>20</v>
      </c>
      <c r="R118" s="145" t="s">
        <v>18</v>
      </c>
      <c r="S118" s="145" t="s">
        <v>18</v>
      </c>
      <c r="T118" s="145" t="s">
        <v>18</v>
      </c>
      <c r="U118" s="159" t="s">
        <v>20</v>
      </c>
      <c r="V118" s="159" t="s">
        <v>20</v>
      </c>
      <c r="W118" s="159" t="s">
        <v>20</v>
      </c>
      <c r="X118" s="159" t="s">
        <v>20</v>
      </c>
      <c r="Y118" s="159" t="s">
        <v>20</v>
      </c>
      <c r="Z118" s="148">
        <v>45382</v>
      </c>
      <c r="AA118" s="188">
        <v>46111</v>
      </c>
      <c r="AB118" s="162">
        <v>7</v>
      </c>
      <c r="AC118" s="293">
        <v>4</v>
      </c>
      <c r="AD118" s="145" t="s">
        <v>18</v>
      </c>
      <c r="AE118" s="145" t="s">
        <v>18</v>
      </c>
      <c r="AF118" s="150"/>
      <c r="AG118" s="155" t="s">
        <v>17</v>
      </c>
      <c r="AH118" s="294" t="s">
        <v>1982</v>
      </c>
      <c r="AI118" s="158" t="s">
        <v>1981</v>
      </c>
      <c r="AJ118" s="195">
        <f>SUMIF('TK 15661.Bản quyền phim '!F:F,'KK1. Movies'!D118,'TK 15661.Bản quyền phim '!X:X)</f>
        <v>0</v>
      </c>
      <c r="AK118" s="195">
        <f>SUMIF('TK 15661.Bản quyền phim '!F:F,'KK1. Movies'!AI118,'TK 15661.Bản quyền phim '!X:X)</f>
        <v>0</v>
      </c>
      <c r="AL118" s="295">
        <f>COUNTIF('242.BQ Phim hợp tác'!$C:$C,'KK1. Movies'!AI118)</f>
        <v>0</v>
      </c>
      <c r="AM118" s="295">
        <f>COUNTIF('TK 15661.Bản quyền phim '!F:F,'KK1. Movies'!AI118)</f>
        <v>1</v>
      </c>
      <c r="AN118" s="296">
        <f t="shared" si="1"/>
        <v>1</v>
      </c>
      <c r="AO118" s="295"/>
      <c r="AP118" s="295"/>
      <c r="AQ118" s="295"/>
      <c r="AR118" s="295"/>
      <c r="AS118" s="295"/>
    </row>
    <row r="119" spans="1:45" s="296" customFormat="1" x14ac:dyDescent="0.3">
      <c r="A119" s="292">
        <f>_xlfn.AGGREGATE(3,3,$D$7:D119)</f>
        <v>113</v>
      </c>
      <c r="B119" s="143" t="s">
        <v>1402</v>
      </c>
      <c r="C119" s="144" t="s">
        <v>1980</v>
      </c>
      <c r="D119" s="144" t="s">
        <v>1978</v>
      </c>
      <c r="E119" s="144" t="s">
        <v>1979</v>
      </c>
      <c r="F119" s="143" t="s">
        <v>436</v>
      </c>
      <c r="G119" s="144" t="s">
        <v>1372</v>
      </c>
      <c r="H119" s="144" t="s">
        <v>1640</v>
      </c>
      <c r="I119" s="297">
        <v>2021</v>
      </c>
      <c r="J119" s="150" t="s">
        <v>133</v>
      </c>
      <c r="K119" s="297">
        <v>114</v>
      </c>
      <c r="L119" s="148">
        <v>44563</v>
      </c>
      <c r="M119" s="301">
        <v>46055</v>
      </c>
      <c r="N119" s="302">
        <v>44563</v>
      </c>
      <c r="O119" s="145" t="s">
        <v>584</v>
      </c>
      <c r="P119" s="154" t="s">
        <v>1639</v>
      </c>
      <c r="Q119" s="150" t="s">
        <v>20</v>
      </c>
      <c r="R119" s="145" t="s">
        <v>18</v>
      </c>
      <c r="S119" s="145" t="s">
        <v>18</v>
      </c>
      <c r="T119" s="145" t="s">
        <v>18</v>
      </c>
      <c r="U119" s="145" t="s">
        <v>18</v>
      </c>
      <c r="V119" s="145" t="s">
        <v>18</v>
      </c>
      <c r="W119" s="145" t="s">
        <v>18</v>
      </c>
      <c r="X119" s="145" t="s">
        <v>18</v>
      </c>
      <c r="Y119" s="145" t="s">
        <v>18</v>
      </c>
      <c r="Z119" s="148">
        <v>44563</v>
      </c>
      <c r="AA119" s="301">
        <v>46055</v>
      </c>
      <c r="AB119" s="141" t="s">
        <v>1394</v>
      </c>
      <c r="AC119" s="293">
        <v>26</v>
      </c>
      <c r="AD119" s="145" t="s">
        <v>18</v>
      </c>
      <c r="AE119" s="145" t="s">
        <v>18</v>
      </c>
      <c r="AF119" s="150"/>
      <c r="AG119" s="155" t="s">
        <v>17</v>
      </c>
      <c r="AH119" s="294"/>
      <c r="AI119" s="299" t="s">
        <v>1978</v>
      </c>
      <c r="AJ119" s="195">
        <f>SUMIF('TK 15661.Bản quyền phim '!F:F,'KK1. Movies'!D119,'TK 15661.Bản quyền phim '!X:X)</f>
        <v>0</v>
      </c>
      <c r="AK119" s="195">
        <f>SUMIF('TK 15661.Bản quyền phim '!F:F,'KK1. Movies'!AI119,'TK 15661.Bản quyền phim '!X:X)</f>
        <v>0</v>
      </c>
      <c r="AL119" s="295">
        <f>COUNTIF('242.BQ Phim hợp tác'!$C:$C,'KK1. Movies'!AI119)</f>
        <v>0</v>
      </c>
      <c r="AM119" s="295">
        <f>COUNTIF('TK 15661.Bản quyền phim '!F:F,'KK1. Movies'!AI119)</f>
        <v>1</v>
      </c>
      <c r="AN119" s="296">
        <f t="shared" si="1"/>
        <v>1</v>
      </c>
      <c r="AO119" s="295"/>
      <c r="AP119" s="295"/>
      <c r="AQ119" s="295"/>
      <c r="AR119" s="295"/>
      <c r="AS119" s="295"/>
    </row>
    <row r="120" spans="1:45" s="296" customFormat="1" ht="26.4" x14ac:dyDescent="0.3">
      <c r="A120" s="292">
        <f>_xlfn.AGGREGATE(3,3,$D$7:D120)</f>
        <v>114</v>
      </c>
      <c r="B120" s="156" t="s">
        <v>1145</v>
      </c>
      <c r="C120" s="144" t="s">
        <v>1975</v>
      </c>
      <c r="D120" s="160" t="s">
        <v>1974</v>
      </c>
      <c r="E120" s="144" t="s">
        <v>1977</v>
      </c>
      <c r="F120" s="158" t="s">
        <v>1976</v>
      </c>
      <c r="G120" s="158" t="s">
        <v>1351</v>
      </c>
      <c r="H120" s="144" t="s">
        <v>1350</v>
      </c>
      <c r="I120" s="159">
        <v>2023</v>
      </c>
      <c r="J120" s="159" t="s">
        <v>178</v>
      </c>
      <c r="K120" s="159">
        <v>105</v>
      </c>
      <c r="L120" s="163">
        <v>45784</v>
      </c>
      <c r="M120" s="148">
        <v>46879</v>
      </c>
      <c r="N120" s="157" t="s">
        <v>1145</v>
      </c>
      <c r="O120" s="145"/>
      <c r="P120" s="159">
        <v>12</v>
      </c>
      <c r="Q120" s="159" t="s">
        <v>20</v>
      </c>
      <c r="R120" s="145" t="s">
        <v>18</v>
      </c>
      <c r="S120" s="162" t="s">
        <v>18</v>
      </c>
      <c r="T120" s="145" t="s">
        <v>18</v>
      </c>
      <c r="U120" s="162" t="s">
        <v>18</v>
      </c>
      <c r="V120" s="162" t="s">
        <v>18</v>
      </c>
      <c r="W120" s="162" t="s">
        <v>18</v>
      </c>
      <c r="X120" s="162" t="s">
        <v>18</v>
      </c>
      <c r="Y120" s="159" t="s">
        <v>18</v>
      </c>
      <c r="Z120" s="169">
        <v>45784</v>
      </c>
      <c r="AA120" s="344">
        <v>46879</v>
      </c>
      <c r="AB120" s="159">
        <v>24</v>
      </c>
      <c r="AC120" s="293">
        <v>3</v>
      </c>
      <c r="AD120" s="145" t="s">
        <v>18</v>
      </c>
      <c r="AE120" s="145" t="s">
        <v>18</v>
      </c>
      <c r="AF120" s="150"/>
      <c r="AG120" s="155" t="s">
        <v>17</v>
      </c>
      <c r="AH120" s="294" t="s">
        <v>1975</v>
      </c>
      <c r="AI120" s="300" t="s">
        <v>1974</v>
      </c>
      <c r="AJ120" s="195">
        <f>SUMIF('TK 15661.Bản quyền phim '!F:F,'KK1. Movies'!D120,'TK 15661.Bản quyền phim '!X:X)</f>
        <v>54831746</v>
      </c>
      <c r="AK120" s="195">
        <f>SUMIF('TK 15661.Bản quyền phim '!F:F,'KK1. Movies'!AI120,'TK 15661.Bản quyền phim '!X:X)</f>
        <v>54831746</v>
      </c>
      <c r="AL120" s="295">
        <f>COUNTIF('242.BQ Phim hợp tác'!$C:$C,'KK1. Movies'!AI120)</f>
        <v>0</v>
      </c>
      <c r="AM120" s="295">
        <f>COUNTIF('TK 15661.Bản quyền phim '!F:F,'KK1. Movies'!AI120)</f>
        <v>1</v>
      </c>
      <c r="AN120" s="296">
        <f t="shared" si="1"/>
        <v>1</v>
      </c>
      <c r="AO120" s="295"/>
      <c r="AP120" s="295"/>
      <c r="AQ120" s="295"/>
      <c r="AR120" s="295"/>
      <c r="AS120" s="295"/>
    </row>
    <row r="121" spans="1:45" s="296" customFormat="1" ht="26.4" x14ac:dyDescent="0.3">
      <c r="A121" s="292">
        <f>_xlfn.AGGREGATE(3,3,$D$7:D121)</f>
        <v>115</v>
      </c>
      <c r="B121" s="143" t="s">
        <v>1422</v>
      </c>
      <c r="C121" s="144" t="s">
        <v>1973</v>
      </c>
      <c r="D121" s="160" t="s">
        <v>1971</v>
      </c>
      <c r="E121" s="142" t="s">
        <v>1972</v>
      </c>
      <c r="F121" s="158" t="s">
        <v>350</v>
      </c>
      <c r="G121" s="158" t="s">
        <v>1341</v>
      </c>
      <c r="H121" s="144" t="s">
        <v>1340</v>
      </c>
      <c r="I121" s="159">
        <v>2018</v>
      </c>
      <c r="J121" s="159" t="s">
        <v>196</v>
      </c>
      <c r="K121" s="159">
        <v>112</v>
      </c>
      <c r="L121" s="163">
        <v>45699</v>
      </c>
      <c r="M121" s="165">
        <v>46468</v>
      </c>
      <c r="N121" s="157" t="s">
        <v>1145</v>
      </c>
      <c r="O121" s="145"/>
      <c r="P121" s="159">
        <v>12</v>
      </c>
      <c r="Q121" s="159" t="s">
        <v>20</v>
      </c>
      <c r="R121" s="145" t="s">
        <v>18</v>
      </c>
      <c r="S121" s="162" t="s">
        <v>18</v>
      </c>
      <c r="T121" s="145" t="s">
        <v>18</v>
      </c>
      <c r="U121" s="162" t="s">
        <v>18</v>
      </c>
      <c r="V121" s="162" t="s">
        <v>18</v>
      </c>
      <c r="W121" s="162" t="s">
        <v>18</v>
      </c>
      <c r="X121" s="162" t="s">
        <v>18</v>
      </c>
      <c r="Y121" s="159" t="s">
        <v>18</v>
      </c>
      <c r="Z121" s="163">
        <v>45699</v>
      </c>
      <c r="AA121" s="165">
        <v>46468</v>
      </c>
      <c r="AB121" s="159">
        <v>24</v>
      </c>
      <c r="AC121" s="293">
        <v>4</v>
      </c>
      <c r="AD121" s="145" t="s">
        <v>18</v>
      </c>
      <c r="AE121" s="145" t="s">
        <v>18</v>
      </c>
      <c r="AF121" s="150"/>
      <c r="AG121" s="155" t="s">
        <v>17</v>
      </c>
      <c r="AH121" s="294"/>
      <c r="AI121" s="300" t="s">
        <v>1971</v>
      </c>
      <c r="AJ121" s="195">
        <f>SUMIF('TK 15661.Bản quyền phim '!F:F,'KK1. Movies'!D121,'TK 15661.Bản quyền phim '!X:X)</f>
        <v>45714286</v>
      </c>
      <c r="AK121" s="195">
        <f>SUMIF('TK 15661.Bản quyền phim '!F:F,'KK1. Movies'!AI121,'TK 15661.Bản quyền phim '!X:X)</f>
        <v>45714286</v>
      </c>
      <c r="AL121" s="295">
        <f>COUNTIF('242.BQ Phim hợp tác'!$C:$C,'KK1. Movies'!AI121)</f>
        <v>0</v>
      </c>
      <c r="AM121" s="295">
        <f>COUNTIF('TK 15661.Bản quyền phim '!F:F,'KK1. Movies'!AI121)</f>
        <v>1</v>
      </c>
      <c r="AN121" s="296">
        <f t="shared" si="1"/>
        <v>1</v>
      </c>
      <c r="AO121" s="295"/>
      <c r="AP121" s="295"/>
      <c r="AQ121" s="295"/>
      <c r="AR121" s="295"/>
      <c r="AS121" s="295"/>
    </row>
    <row r="122" spans="1:45" s="296" customFormat="1" ht="26.4" x14ac:dyDescent="0.3">
      <c r="A122" s="292">
        <f>_xlfn.AGGREGATE(3,3,$D$7:D122)</f>
        <v>116</v>
      </c>
      <c r="B122" s="143" t="s">
        <v>1402</v>
      </c>
      <c r="C122" s="341" t="s">
        <v>1970</v>
      </c>
      <c r="D122" s="160" t="s">
        <v>1969</v>
      </c>
      <c r="E122" s="142" t="s">
        <v>1968</v>
      </c>
      <c r="F122" s="158" t="s">
        <v>1967</v>
      </c>
      <c r="G122" s="158" t="s">
        <v>1397</v>
      </c>
      <c r="H122" s="144" t="s">
        <v>1404</v>
      </c>
      <c r="I122" s="159">
        <v>2018</v>
      </c>
      <c r="J122" s="145" t="s">
        <v>88</v>
      </c>
      <c r="K122" s="159">
        <v>104</v>
      </c>
      <c r="L122" s="163">
        <v>45658</v>
      </c>
      <c r="M122" s="148">
        <v>46388</v>
      </c>
      <c r="N122" s="163">
        <v>44702</v>
      </c>
      <c r="O122" s="145"/>
      <c r="P122" s="159">
        <v>0</v>
      </c>
      <c r="Q122" s="162" t="s">
        <v>20</v>
      </c>
      <c r="R122" s="145" t="s">
        <v>18</v>
      </c>
      <c r="S122" s="162" t="s">
        <v>18</v>
      </c>
      <c r="T122" s="145" t="s">
        <v>18</v>
      </c>
      <c r="U122" s="162" t="s">
        <v>18</v>
      </c>
      <c r="V122" s="162" t="s">
        <v>18</v>
      </c>
      <c r="W122" s="162" t="s">
        <v>18</v>
      </c>
      <c r="X122" s="162" t="s">
        <v>18</v>
      </c>
      <c r="Y122" s="162" t="s">
        <v>18</v>
      </c>
      <c r="Z122" s="161">
        <v>45658</v>
      </c>
      <c r="AA122" s="188">
        <v>46388</v>
      </c>
      <c r="AB122" s="159" t="s">
        <v>218</v>
      </c>
      <c r="AC122" s="293">
        <v>10</v>
      </c>
      <c r="AD122" s="145" t="s">
        <v>18</v>
      </c>
      <c r="AE122" s="145" t="s">
        <v>18</v>
      </c>
      <c r="AF122" s="150"/>
      <c r="AG122" s="155" t="s">
        <v>17</v>
      </c>
      <c r="AH122" s="294"/>
      <c r="AI122" s="300" t="s">
        <v>1966</v>
      </c>
      <c r="AJ122" s="195">
        <f>SUMIF('TK 15661.Bản quyền phim '!F:F,'KK1. Movies'!D122,'TK 15661.Bản quyền phim '!X:X)</f>
        <v>0</v>
      </c>
      <c r="AK122" s="195">
        <f>SUMIF('TK 15661.Bản quyền phim '!F:F,'KK1. Movies'!AI122,'TK 15661.Bản quyền phim '!X:X)</f>
        <v>31731522.844606947</v>
      </c>
      <c r="AL122" s="295">
        <f>COUNTIF('242.BQ Phim hợp tác'!$C:$C,'KK1. Movies'!AI122)</f>
        <v>0</v>
      </c>
      <c r="AM122" s="295">
        <f>COUNTIF('TK 15661.Bản quyền phim '!F:F,'KK1. Movies'!AI122)</f>
        <v>1</v>
      </c>
      <c r="AN122" s="296">
        <f t="shared" si="1"/>
        <v>1</v>
      </c>
      <c r="AO122" s="295"/>
      <c r="AP122" s="295"/>
      <c r="AQ122" s="295"/>
      <c r="AR122" s="295"/>
      <c r="AS122" s="295"/>
    </row>
    <row r="123" spans="1:45" s="296" customFormat="1" x14ac:dyDescent="0.3">
      <c r="A123" s="292">
        <f>_xlfn.AGGREGATE(3,3,$D$7:D123)</f>
        <v>117</v>
      </c>
      <c r="B123" s="156" t="s">
        <v>1145</v>
      </c>
      <c r="C123" s="144" t="s">
        <v>1964</v>
      </c>
      <c r="D123" s="160" t="s">
        <v>1963</v>
      </c>
      <c r="E123" s="142" t="s">
        <v>1965</v>
      </c>
      <c r="F123" s="158" t="s">
        <v>394</v>
      </c>
      <c r="G123" s="158" t="s">
        <v>1341</v>
      </c>
      <c r="H123" s="144" t="s">
        <v>1340</v>
      </c>
      <c r="I123" s="159">
        <v>2020</v>
      </c>
      <c r="J123" s="159" t="s">
        <v>196</v>
      </c>
      <c r="K123" s="159">
        <v>107</v>
      </c>
      <c r="L123" s="163">
        <v>45715</v>
      </c>
      <c r="M123" s="148">
        <v>46809</v>
      </c>
      <c r="N123" s="157" t="s">
        <v>1145</v>
      </c>
      <c r="O123" s="145"/>
      <c r="P123" s="159">
        <v>12</v>
      </c>
      <c r="Q123" s="159" t="s">
        <v>20</v>
      </c>
      <c r="R123" s="145" t="s">
        <v>18</v>
      </c>
      <c r="S123" s="162" t="s">
        <v>18</v>
      </c>
      <c r="T123" s="145" t="s">
        <v>18</v>
      </c>
      <c r="U123" s="162" t="s">
        <v>18</v>
      </c>
      <c r="V123" s="162" t="s">
        <v>18</v>
      </c>
      <c r="W123" s="162" t="s">
        <v>18</v>
      </c>
      <c r="X123" s="162" t="s">
        <v>18</v>
      </c>
      <c r="Y123" s="159" t="s">
        <v>18</v>
      </c>
      <c r="Z123" s="163">
        <v>45715</v>
      </c>
      <c r="AA123" s="148">
        <v>46809</v>
      </c>
      <c r="AB123" s="159">
        <v>24</v>
      </c>
      <c r="AC123" s="293">
        <v>3</v>
      </c>
      <c r="AD123" s="145" t="s">
        <v>18</v>
      </c>
      <c r="AE123" s="145" t="s">
        <v>18</v>
      </c>
      <c r="AF123" s="150"/>
      <c r="AG123" s="155" t="s">
        <v>17</v>
      </c>
      <c r="AH123" s="294" t="s">
        <v>1964</v>
      </c>
      <c r="AI123" s="300" t="s">
        <v>1963</v>
      </c>
      <c r="AJ123" s="195">
        <f>SUMIF('TK 15661.Bản quyền phim '!F:F,'KK1. Movies'!D123,'TK 15661.Bản quyền phim '!X:X)</f>
        <v>57142857.333333328</v>
      </c>
      <c r="AK123" s="195">
        <f>SUMIF('TK 15661.Bản quyền phim '!F:F,'KK1. Movies'!AI123,'TK 15661.Bản quyền phim '!X:X)</f>
        <v>57142857.333333328</v>
      </c>
      <c r="AL123" s="295">
        <f>COUNTIF('242.BQ Phim hợp tác'!$C:$C,'KK1. Movies'!AI123)</f>
        <v>0</v>
      </c>
      <c r="AM123" s="295">
        <f>COUNTIF('TK 15661.Bản quyền phim '!F:F,'KK1. Movies'!AI123)</f>
        <v>1</v>
      </c>
      <c r="AN123" s="296">
        <f t="shared" si="1"/>
        <v>1</v>
      </c>
      <c r="AO123" s="295"/>
      <c r="AP123" s="295"/>
      <c r="AQ123" s="295"/>
      <c r="AR123" s="295"/>
      <c r="AS123" s="295"/>
    </row>
    <row r="124" spans="1:45" s="296" customFormat="1" ht="52.8" x14ac:dyDescent="0.3">
      <c r="A124" s="292">
        <f>_xlfn.AGGREGATE(3,3,$D$7:D124)</f>
        <v>118</v>
      </c>
      <c r="B124" s="156" t="s">
        <v>1145</v>
      </c>
      <c r="C124" s="144" t="s">
        <v>1962</v>
      </c>
      <c r="D124" s="160" t="s">
        <v>1960</v>
      </c>
      <c r="E124" s="166" t="s">
        <v>1961</v>
      </c>
      <c r="F124" s="144" t="s">
        <v>1013</v>
      </c>
      <c r="G124" s="158" t="s">
        <v>1141</v>
      </c>
      <c r="H124" s="144" t="s">
        <v>1140</v>
      </c>
      <c r="I124" s="159">
        <v>2021</v>
      </c>
      <c r="J124" s="159" t="s">
        <v>1457</v>
      </c>
      <c r="K124" s="159">
        <v>107</v>
      </c>
      <c r="L124" s="163">
        <v>45747</v>
      </c>
      <c r="M124" s="161">
        <v>46535</v>
      </c>
      <c r="N124" s="157"/>
      <c r="O124" s="145"/>
      <c r="P124" s="145"/>
      <c r="Q124" s="159" t="s">
        <v>20</v>
      </c>
      <c r="R124" s="159" t="s">
        <v>18</v>
      </c>
      <c r="S124" s="159" t="s">
        <v>18</v>
      </c>
      <c r="T124" s="145" t="s">
        <v>18</v>
      </c>
      <c r="U124" s="159" t="s">
        <v>20</v>
      </c>
      <c r="V124" s="159" t="s">
        <v>20</v>
      </c>
      <c r="W124" s="159" t="s">
        <v>20</v>
      </c>
      <c r="X124" s="159" t="s">
        <v>18</v>
      </c>
      <c r="Y124" s="159" t="s">
        <v>20</v>
      </c>
      <c r="Z124" s="161">
        <v>45747</v>
      </c>
      <c r="AA124" s="188">
        <v>46354</v>
      </c>
      <c r="AB124" s="159">
        <v>7</v>
      </c>
      <c r="AC124" s="293">
        <v>3</v>
      </c>
      <c r="AD124" s="145" t="s">
        <v>18</v>
      </c>
      <c r="AE124" s="145" t="s">
        <v>18</v>
      </c>
      <c r="AF124" s="150"/>
      <c r="AG124" s="155" t="s">
        <v>17</v>
      </c>
      <c r="AH124" s="294"/>
      <c r="AI124" s="300" t="s">
        <v>1960</v>
      </c>
      <c r="AJ124" s="195">
        <f>SUMIF('TK 15661.Bản quyền phim '!F:F,'KK1. Movies'!D124,'TK 15661.Bản quyền phim '!X:X)</f>
        <v>46627350</v>
      </c>
      <c r="AK124" s="195">
        <f>SUMIF('TK 15661.Bản quyền phim '!F:F,'KK1. Movies'!AI124,'TK 15661.Bản quyền phim '!X:X)</f>
        <v>46627350</v>
      </c>
      <c r="AL124" s="295">
        <f>COUNTIF('242.BQ Phim hợp tác'!$C:$C,'KK1. Movies'!AI124)</f>
        <v>0</v>
      </c>
      <c r="AM124" s="295">
        <f>COUNTIF('TK 15661.Bản quyền phim '!F:F,'KK1. Movies'!AI124)</f>
        <v>1</v>
      </c>
      <c r="AN124" s="296">
        <f t="shared" si="1"/>
        <v>1</v>
      </c>
      <c r="AO124" s="295"/>
      <c r="AP124" s="295"/>
      <c r="AQ124" s="295"/>
      <c r="AR124" s="295"/>
      <c r="AS124" s="295"/>
    </row>
    <row r="125" spans="1:45" s="296" customFormat="1" ht="26.4" x14ac:dyDescent="0.3">
      <c r="A125" s="292">
        <f>_xlfn.AGGREGATE(3,3,$D$7:D125)</f>
        <v>119</v>
      </c>
      <c r="B125" s="143" t="s">
        <v>1422</v>
      </c>
      <c r="C125" s="144" t="s">
        <v>1959</v>
      </c>
      <c r="D125" s="160" t="s">
        <v>1958</v>
      </c>
      <c r="E125" s="166" t="s">
        <v>1957</v>
      </c>
      <c r="F125" s="164" t="s">
        <v>824</v>
      </c>
      <c r="G125" s="164" t="s">
        <v>1515</v>
      </c>
      <c r="H125" s="164" t="s">
        <v>1514</v>
      </c>
      <c r="I125" s="159">
        <v>2020</v>
      </c>
      <c r="J125" s="162" t="s">
        <v>178</v>
      </c>
      <c r="K125" s="159">
        <v>139</v>
      </c>
      <c r="L125" s="148">
        <v>45415</v>
      </c>
      <c r="M125" s="165">
        <v>46509</v>
      </c>
      <c r="N125" s="157">
        <v>45422</v>
      </c>
      <c r="O125" s="145" t="s">
        <v>584</v>
      </c>
      <c r="P125" s="159" t="s">
        <v>1513</v>
      </c>
      <c r="Q125" s="159" t="s">
        <v>20</v>
      </c>
      <c r="R125" s="145" t="s">
        <v>18</v>
      </c>
      <c r="S125" s="159" t="s">
        <v>18</v>
      </c>
      <c r="T125" s="145" t="s">
        <v>18</v>
      </c>
      <c r="U125" s="159" t="s">
        <v>20</v>
      </c>
      <c r="V125" s="159" t="s">
        <v>18</v>
      </c>
      <c r="W125" s="159" t="s">
        <v>18</v>
      </c>
      <c r="X125" s="145" t="s">
        <v>20</v>
      </c>
      <c r="Y125" s="159" t="s">
        <v>20</v>
      </c>
      <c r="Z125" s="148">
        <v>45415</v>
      </c>
      <c r="AA125" s="165">
        <v>46509</v>
      </c>
      <c r="AB125" s="162" t="s">
        <v>130</v>
      </c>
      <c r="AC125" s="160">
        <v>21</v>
      </c>
      <c r="AD125" s="145" t="s">
        <v>18</v>
      </c>
      <c r="AE125" s="145" t="s">
        <v>18</v>
      </c>
      <c r="AF125" s="150"/>
      <c r="AG125" s="155" t="s">
        <v>17</v>
      </c>
      <c r="AH125" s="294"/>
      <c r="AI125" s="300" t="s">
        <v>1956</v>
      </c>
      <c r="AJ125" s="195">
        <f>SUMIF('TK 15661.Bản quyền phim '!F:F,'KK1. Movies'!D125,'TK 15661.Bản quyền phim '!X:X)</f>
        <v>0</v>
      </c>
      <c r="AK125" s="195">
        <f>SUMIF('TK 15661.Bản quyền phim '!F:F,'KK1. Movies'!AI125,'TK 15661.Bản quyền phim '!X:X)</f>
        <v>33737936.666666679</v>
      </c>
      <c r="AL125" s="295">
        <f>COUNTIF('242.BQ Phim hợp tác'!$C:$C,'KK1. Movies'!AI125)</f>
        <v>0</v>
      </c>
      <c r="AM125" s="295">
        <f>COUNTIF('TK 15661.Bản quyền phim '!F:F,'KK1. Movies'!AI125)</f>
        <v>1</v>
      </c>
      <c r="AN125" s="296">
        <f t="shared" si="1"/>
        <v>1</v>
      </c>
      <c r="AO125" s="295"/>
      <c r="AP125" s="295"/>
      <c r="AQ125" s="295"/>
      <c r="AR125" s="295"/>
      <c r="AS125" s="295"/>
    </row>
    <row r="126" spans="1:45" s="296" customFormat="1" ht="26.4" x14ac:dyDescent="0.3">
      <c r="A126" s="292">
        <f>_xlfn.AGGREGATE(3,3,$D$7:D126)</f>
        <v>120</v>
      </c>
      <c r="B126" s="143" t="s">
        <v>1402</v>
      </c>
      <c r="C126" s="144" t="s">
        <v>1955</v>
      </c>
      <c r="D126" s="160" t="s">
        <v>1953</v>
      </c>
      <c r="E126" s="144" t="s">
        <v>1954</v>
      </c>
      <c r="F126" s="144" t="s">
        <v>1013</v>
      </c>
      <c r="G126" s="164" t="s">
        <v>1372</v>
      </c>
      <c r="H126" s="144" t="s">
        <v>1530</v>
      </c>
      <c r="I126" s="162">
        <v>2017</v>
      </c>
      <c r="J126" s="150" t="s">
        <v>1606</v>
      </c>
      <c r="K126" s="162">
        <v>106</v>
      </c>
      <c r="L126" s="148">
        <v>45324</v>
      </c>
      <c r="M126" s="165">
        <v>46419</v>
      </c>
      <c r="N126" s="157">
        <v>45555</v>
      </c>
      <c r="O126" s="145" t="s">
        <v>553</v>
      </c>
      <c r="P126" s="159">
        <v>12</v>
      </c>
      <c r="Q126" s="162" t="s">
        <v>20</v>
      </c>
      <c r="R126" s="145" t="s">
        <v>18</v>
      </c>
      <c r="S126" s="145" t="s">
        <v>18</v>
      </c>
      <c r="T126" s="145" t="s">
        <v>18</v>
      </c>
      <c r="U126" s="145" t="s">
        <v>18</v>
      </c>
      <c r="V126" s="145" t="s">
        <v>18</v>
      </c>
      <c r="W126" s="145" t="s">
        <v>18</v>
      </c>
      <c r="X126" s="145" t="s">
        <v>18</v>
      </c>
      <c r="Y126" s="159" t="s">
        <v>20</v>
      </c>
      <c r="Z126" s="148">
        <v>45324</v>
      </c>
      <c r="AA126" s="165">
        <v>46419</v>
      </c>
      <c r="AB126" s="162">
        <v>24</v>
      </c>
      <c r="AC126" s="293">
        <v>13</v>
      </c>
      <c r="AD126" s="145" t="s">
        <v>18</v>
      </c>
      <c r="AE126" s="145" t="s">
        <v>18</v>
      </c>
      <c r="AF126" s="150"/>
      <c r="AG126" s="155" t="s">
        <v>17</v>
      </c>
      <c r="AH126" s="294"/>
      <c r="AI126" s="300" t="s">
        <v>1953</v>
      </c>
      <c r="AJ126" s="195">
        <f>SUMIF('TK 15661.Bản quyền phim '!F:F,'KK1. Movies'!D126,'TK 15661.Bản quyền phim '!X:X)</f>
        <v>33333492</v>
      </c>
      <c r="AK126" s="195">
        <f>SUMIF('TK 15661.Bản quyền phim '!F:F,'KK1. Movies'!AI126,'TK 15661.Bản quyền phim '!X:X)</f>
        <v>33333492</v>
      </c>
      <c r="AL126" s="295">
        <f>COUNTIF('242.BQ Phim hợp tác'!$C:$C,'KK1. Movies'!AI126)</f>
        <v>0</v>
      </c>
      <c r="AM126" s="295">
        <f>COUNTIF('TK 15661.Bản quyền phim '!F:F,'KK1. Movies'!AI126)</f>
        <v>1</v>
      </c>
      <c r="AN126" s="296">
        <f t="shared" si="1"/>
        <v>1</v>
      </c>
      <c r="AO126" s="295"/>
      <c r="AP126" s="295"/>
      <c r="AQ126" s="295"/>
      <c r="AR126" s="295"/>
      <c r="AS126" s="295"/>
    </row>
    <row r="127" spans="1:45" s="296" customFormat="1" ht="26.4" x14ac:dyDescent="0.3">
      <c r="A127" s="292">
        <f>_xlfn.AGGREGATE(3,3,$D$7:D127)</f>
        <v>121</v>
      </c>
      <c r="B127" s="143" t="s">
        <v>1402</v>
      </c>
      <c r="C127" s="341" t="s">
        <v>1952</v>
      </c>
      <c r="D127" s="146" t="s">
        <v>1951</v>
      </c>
      <c r="E127" s="144" t="s">
        <v>1950</v>
      </c>
      <c r="F127" s="144" t="s">
        <v>511</v>
      </c>
      <c r="G127" s="143" t="s">
        <v>1324</v>
      </c>
      <c r="H127" s="144" t="s">
        <v>1418</v>
      </c>
      <c r="I127" s="297">
        <v>2022</v>
      </c>
      <c r="J127" s="150" t="s">
        <v>133</v>
      </c>
      <c r="K127" s="297">
        <v>111</v>
      </c>
      <c r="L127" s="148">
        <v>45098</v>
      </c>
      <c r="M127" s="148">
        <v>46193</v>
      </c>
      <c r="N127" s="152">
        <v>45098</v>
      </c>
      <c r="O127" s="309" t="s">
        <v>584</v>
      </c>
      <c r="P127" s="141">
        <v>12</v>
      </c>
      <c r="Q127" s="145" t="s">
        <v>20</v>
      </c>
      <c r="R127" s="145" t="s">
        <v>18</v>
      </c>
      <c r="S127" s="145" t="s">
        <v>18</v>
      </c>
      <c r="T127" s="145" t="s">
        <v>18</v>
      </c>
      <c r="U127" s="145" t="s">
        <v>18</v>
      </c>
      <c r="V127" s="145" t="s">
        <v>18</v>
      </c>
      <c r="W127" s="145" t="s">
        <v>18</v>
      </c>
      <c r="X127" s="145" t="s">
        <v>20</v>
      </c>
      <c r="Y127" s="145" t="s">
        <v>18</v>
      </c>
      <c r="Z127" s="148">
        <v>45098</v>
      </c>
      <c r="AA127" s="148">
        <v>46193</v>
      </c>
      <c r="AB127" s="141" t="s">
        <v>1394</v>
      </c>
      <c r="AC127" s="293">
        <v>28</v>
      </c>
      <c r="AD127" s="145" t="s">
        <v>18</v>
      </c>
      <c r="AE127" s="145" t="s">
        <v>18</v>
      </c>
      <c r="AF127" s="150"/>
      <c r="AG127" s="155" t="s">
        <v>17</v>
      </c>
      <c r="AH127" s="294"/>
      <c r="AI127" s="300" t="s">
        <v>1949</v>
      </c>
      <c r="AJ127" s="195">
        <f>SUMIF('TK 15661.Bản quyền phim '!F:F,'KK1. Movies'!D127,'TK 15661.Bản quyền phim '!X:X)</f>
        <v>0</v>
      </c>
      <c r="AK127" s="195">
        <f>SUMIF('TK 15661.Bản quyền phim '!F:F,'KK1. Movies'!AI127,'TK 15661.Bản quyền phim '!X:X)</f>
        <v>0</v>
      </c>
      <c r="AL127" s="295">
        <f>COUNTIF('242.BQ Phim hợp tác'!$C:$C,'KK1. Movies'!AI127)</f>
        <v>0</v>
      </c>
      <c r="AM127" s="295">
        <f>COUNTIF('TK 15661.Bản quyền phim '!F:F,'KK1. Movies'!AI127)</f>
        <v>1</v>
      </c>
      <c r="AN127" s="296">
        <f t="shared" si="1"/>
        <v>1</v>
      </c>
      <c r="AO127" s="295"/>
      <c r="AP127" s="295"/>
      <c r="AQ127" s="295"/>
      <c r="AR127" s="295"/>
      <c r="AS127" s="295"/>
    </row>
    <row r="128" spans="1:45" s="296" customFormat="1" ht="26.4" x14ac:dyDescent="0.3">
      <c r="A128" s="292">
        <f>_xlfn.AGGREGATE(3,3,$D$7:D128)</f>
        <v>122</v>
      </c>
      <c r="B128" s="143" t="s">
        <v>1422</v>
      </c>
      <c r="C128" s="144" t="s">
        <v>1948</v>
      </c>
      <c r="D128" s="146" t="s">
        <v>1946</v>
      </c>
      <c r="E128" s="144" t="s">
        <v>1947</v>
      </c>
      <c r="F128" s="143" t="s">
        <v>350</v>
      </c>
      <c r="G128" s="303" t="s">
        <v>1372</v>
      </c>
      <c r="H128" s="144" t="s">
        <v>1415</v>
      </c>
      <c r="I128" s="297">
        <v>2017</v>
      </c>
      <c r="J128" s="150" t="s">
        <v>1634</v>
      </c>
      <c r="K128" s="297">
        <v>120</v>
      </c>
      <c r="L128" s="148">
        <v>45022</v>
      </c>
      <c r="M128" s="163">
        <v>46361</v>
      </c>
      <c r="N128" s="157">
        <v>45022</v>
      </c>
      <c r="O128" s="309" t="s">
        <v>584</v>
      </c>
      <c r="P128" s="145" t="s">
        <v>1414</v>
      </c>
      <c r="Q128" s="150" t="s">
        <v>20</v>
      </c>
      <c r="R128" s="145" t="s">
        <v>18</v>
      </c>
      <c r="S128" s="145" t="s">
        <v>18</v>
      </c>
      <c r="T128" s="145" t="s">
        <v>18</v>
      </c>
      <c r="U128" s="145" t="s">
        <v>18</v>
      </c>
      <c r="V128" s="145" t="s">
        <v>18</v>
      </c>
      <c r="W128" s="145" t="s">
        <v>18</v>
      </c>
      <c r="X128" s="145" t="s">
        <v>18</v>
      </c>
      <c r="Y128" s="145" t="s">
        <v>18</v>
      </c>
      <c r="Z128" s="148">
        <v>45022</v>
      </c>
      <c r="AA128" s="163">
        <v>46361</v>
      </c>
      <c r="AB128" s="141" t="s">
        <v>1394</v>
      </c>
      <c r="AC128" s="293">
        <v>25</v>
      </c>
      <c r="AD128" s="145" t="s">
        <v>18</v>
      </c>
      <c r="AE128" s="145" t="s">
        <v>18</v>
      </c>
      <c r="AF128" s="150"/>
      <c r="AG128" s="155" t="s">
        <v>17</v>
      </c>
      <c r="AH128" s="294"/>
      <c r="AI128" s="299" t="s">
        <v>1946</v>
      </c>
      <c r="AJ128" s="195">
        <f>SUMIF('TK 15661.Bản quyền phim '!F:F,'KK1. Movies'!D128,'TK 15661.Bản quyền phim '!X:X)</f>
        <v>0</v>
      </c>
      <c r="AK128" s="195">
        <f>SUMIF('TK 15661.Bản quyền phim '!F:F,'KK1. Movies'!AI128,'TK 15661.Bản quyền phim '!X:X)</f>
        <v>0</v>
      </c>
      <c r="AL128" s="295">
        <f>COUNTIF('242.BQ Phim hợp tác'!$C:$C,'KK1. Movies'!AI128)</f>
        <v>0</v>
      </c>
      <c r="AM128" s="295">
        <f>COUNTIF('TK 15661.Bản quyền phim '!F:F,'KK1. Movies'!AI128)</f>
        <v>1</v>
      </c>
      <c r="AN128" s="296">
        <f t="shared" si="1"/>
        <v>1</v>
      </c>
      <c r="AO128" s="295"/>
      <c r="AP128" s="295"/>
      <c r="AQ128" s="295"/>
      <c r="AR128" s="295"/>
      <c r="AS128" s="295"/>
    </row>
    <row r="129" spans="1:45" s="296" customFormat="1" ht="26.4" x14ac:dyDescent="0.3">
      <c r="A129" s="292">
        <f>_xlfn.AGGREGATE(3,3,$D$7:D129)</f>
        <v>123</v>
      </c>
      <c r="B129" s="156" t="s">
        <v>1145</v>
      </c>
      <c r="C129" s="341" t="s">
        <v>1945</v>
      </c>
      <c r="D129" s="160" t="s">
        <v>1941</v>
      </c>
      <c r="E129" s="160" t="s">
        <v>1944</v>
      </c>
      <c r="F129" s="164" t="s">
        <v>1943</v>
      </c>
      <c r="G129" s="164" t="s">
        <v>1372</v>
      </c>
      <c r="H129" s="144" t="s">
        <v>1371</v>
      </c>
      <c r="I129" s="162">
        <v>2022</v>
      </c>
      <c r="J129" s="162" t="s">
        <v>1942</v>
      </c>
      <c r="K129" s="162">
        <v>80</v>
      </c>
      <c r="L129" s="163">
        <v>45745</v>
      </c>
      <c r="M129" s="148">
        <v>46840</v>
      </c>
      <c r="N129" s="157" t="s">
        <v>1145</v>
      </c>
      <c r="O129" s="145"/>
      <c r="P129" s="159">
        <v>12</v>
      </c>
      <c r="Q129" s="162" t="s">
        <v>20</v>
      </c>
      <c r="R129" s="145" t="s">
        <v>18</v>
      </c>
      <c r="S129" s="159" t="s">
        <v>18</v>
      </c>
      <c r="T129" s="159" t="s">
        <v>18</v>
      </c>
      <c r="U129" s="159" t="s">
        <v>18</v>
      </c>
      <c r="V129" s="159" t="s">
        <v>18</v>
      </c>
      <c r="W129" s="159" t="s">
        <v>18</v>
      </c>
      <c r="X129" s="159" t="s">
        <v>18</v>
      </c>
      <c r="Y129" s="159" t="s">
        <v>20</v>
      </c>
      <c r="Z129" s="163">
        <v>45745</v>
      </c>
      <c r="AA129" s="148">
        <v>46840</v>
      </c>
      <c r="AB129" s="162">
        <v>24</v>
      </c>
      <c r="AC129" s="293">
        <v>6</v>
      </c>
      <c r="AD129" s="145" t="s">
        <v>18</v>
      </c>
      <c r="AE129" s="145" t="s">
        <v>18</v>
      </c>
      <c r="AF129" s="150"/>
      <c r="AG129" s="155" t="s">
        <v>17</v>
      </c>
      <c r="AH129" s="294"/>
      <c r="AI129" s="300" t="s">
        <v>1941</v>
      </c>
      <c r="AJ129" s="195">
        <f>SUMIF('TK 15661.Bản quyền phim '!F:F,'KK1. Movies'!D129,'TK 15661.Bản quyền phim '!X:X)</f>
        <v>59932952.666666672</v>
      </c>
      <c r="AK129" s="195">
        <f>SUMIF('TK 15661.Bản quyền phim '!F:F,'KK1. Movies'!AI129,'TK 15661.Bản quyền phim '!X:X)</f>
        <v>59932952.666666672</v>
      </c>
      <c r="AL129" s="295">
        <f>COUNTIF('242.BQ Phim hợp tác'!$C:$C,'KK1. Movies'!AI129)</f>
        <v>0</v>
      </c>
      <c r="AM129" s="295">
        <f>COUNTIF('TK 15661.Bản quyền phim '!F:F,'KK1. Movies'!AI129)</f>
        <v>1</v>
      </c>
      <c r="AN129" s="296">
        <f t="shared" si="1"/>
        <v>1</v>
      </c>
      <c r="AO129" s="295"/>
      <c r="AP129" s="295"/>
      <c r="AQ129" s="295"/>
      <c r="AR129" s="295"/>
      <c r="AS129" s="295"/>
    </row>
    <row r="130" spans="1:45" s="296" customFormat="1" ht="26.4" x14ac:dyDescent="0.3">
      <c r="A130" s="292">
        <f>_xlfn.AGGREGATE(3,3,$D$7:D130)</f>
        <v>124</v>
      </c>
      <c r="B130" s="143" t="s">
        <v>1392</v>
      </c>
      <c r="C130" s="341" t="s">
        <v>1940</v>
      </c>
      <c r="D130" s="178" t="s">
        <v>1939</v>
      </c>
      <c r="E130" s="166" t="s">
        <v>1938</v>
      </c>
      <c r="F130" s="144" t="s">
        <v>385</v>
      </c>
      <c r="G130" s="158" t="s">
        <v>1324</v>
      </c>
      <c r="H130" s="144" t="s">
        <v>1449</v>
      </c>
      <c r="I130" s="159">
        <v>2023</v>
      </c>
      <c r="J130" s="150" t="s">
        <v>161</v>
      </c>
      <c r="K130" s="159">
        <v>95</v>
      </c>
      <c r="L130" s="148">
        <v>45318</v>
      </c>
      <c r="M130" s="148">
        <v>46413</v>
      </c>
      <c r="N130" s="157">
        <v>45318</v>
      </c>
      <c r="O130" s="145" t="s">
        <v>132</v>
      </c>
      <c r="P130" s="151">
        <v>12</v>
      </c>
      <c r="Q130" s="159" t="s">
        <v>20</v>
      </c>
      <c r="R130" s="145" t="s">
        <v>18</v>
      </c>
      <c r="S130" s="145" t="s">
        <v>18</v>
      </c>
      <c r="T130" s="145" t="s">
        <v>18</v>
      </c>
      <c r="U130" s="145" t="s">
        <v>18</v>
      </c>
      <c r="V130" s="145" t="s">
        <v>18</v>
      </c>
      <c r="W130" s="145" t="s">
        <v>18</v>
      </c>
      <c r="X130" s="159" t="s">
        <v>20</v>
      </c>
      <c r="Y130" s="145" t="s">
        <v>18</v>
      </c>
      <c r="Z130" s="148">
        <v>45318</v>
      </c>
      <c r="AA130" s="148">
        <v>46413</v>
      </c>
      <c r="AB130" s="145" t="s">
        <v>218</v>
      </c>
      <c r="AC130" s="293">
        <v>31</v>
      </c>
      <c r="AD130" s="145" t="s">
        <v>18</v>
      </c>
      <c r="AE130" s="145" t="s">
        <v>18</v>
      </c>
      <c r="AF130" s="150"/>
      <c r="AG130" s="155" t="s">
        <v>17</v>
      </c>
      <c r="AH130" s="294"/>
      <c r="AI130" s="300" t="s">
        <v>1937</v>
      </c>
      <c r="AJ130" s="195">
        <f>SUMIF('TK 15661.Bản quyền phim '!F:F,'KK1. Movies'!D130,'TK 15661.Bản quyền phim '!X:X)</f>
        <v>0</v>
      </c>
      <c r="AK130" s="195">
        <f>SUMIF('TK 15661.Bản quyền phim '!F:F,'KK1. Movies'!AI130,'TK 15661.Bản quyền phim '!X:X)</f>
        <v>31746031.66666666</v>
      </c>
      <c r="AL130" s="295">
        <f>COUNTIF('242.BQ Phim hợp tác'!$C:$C,'KK1. Movies'!AI130)</f>
        <v>0</v>
      </c>
      <c r="AM130" s="295">
        <f>COUNTIF('TK 15661.Bản quyền phim '!F:F,'KK1. Movies'!AI130)</f>
        <v>1</v>
      </c>
      <c r="AN130" s="296">
        <f t="shared" si="1"/>
        <v>1</v>
      </c>
      <c r="AO130" s="295"/>
      <c r="AP130" s="295"/>
      <c r="AQ130" s="295"/>
      <c r="AR130" s="295"/>
      <c r="AS130" s="295"/>
    </row>
    <row r="131" spans="1:45" s="296" customFormat="1" ht="26.4" x14ac:dyDescent="0.3">
      <c r="A131" s="292">
        <f>_xlfn.AGGREGATE(3,3,$D$7:D131)</f>
        <v>125</v>
      </c>
      <c r="B131" s="143" t="s">
        <v>1422</v>
      </c>
      <c r="C131" s="144" t="s">
        <v>1936</v>
      </c>
      <c r="D131" s="160" t="s">
        <v>1934</v>
      </c>
      <c r="E131" s="144" t="s">
        <v>1935</v>
      </c>
      <c r="F131" s="144" t="s">
        <v>1013</v>
      </c>
      <c r="G131" s="164" t="s">
        <v>1372</v>
      </c>
      <c r="H131" s="144" t="s">
        <v>1530</v>
      </c>
      <c r="I131" s="162">
        <v>2018</v>
      </c>
      <c r="J131" s="150" t="s">
        <v>1606</v>
      </c>
      <c r="K131" s="162">
        <v>100</v>
      </c>
      <c r="L131" s="148">
        <v>45380</v>
      </c>
      <c r="M131" s="165">
        <v>46474</v>
      </c>
      <c r="N131" s="157">
        <v>45585</v>
      </c>
      <c r="O131" s="145" t="s">
        <v>584</v>
      </c>
      <c r="P131" s="159">
        <v>12</v>
      </c>
      <c r="Q131" s="162" t="s">
        <v>20</v>
      </c>
      <c r="R131" s="145" t="s">
        <v>18</v>
      </c>
      <c r="S131" s="145" t="s">
        <v>18</v>
      </c>
      <c r="T131" s="145" t="s">
        <v>18</v>
      </c>
      <c r="U131" s="145" t="s">
        <v>18</v>
      </c>
      <c r="V131" s="145" t="s">
        <v>18</v>
      </c>
      <c r="W131" s="145" t="s">
        <v>18</v>
      </c>
      <c r="X131" s="145" t="s">
        <v>18</v>
      </c>
      <c r="Y131" s="159" t="s">
        <v>20</v>
      </c>
      <c r="Z131" s="148">
        <v>45380</v>
      </c>
      <c r="AA131" s="165">
        <v>46474</v>
      </c>
      <c r="AB131" s="162">
        <v>24</v>
      </c>
      <c r="AC131" s="293">
        <v>11</v>
      </c>
      <c r="AD131" s="145" t="s">
        <v>18</v>
      </c>
      <c r="AE131" s="145" t="s">
        <v>18</v>
      </c>
      <c r="AF131" s="150"/>
      <c r="AG131" s="155" t="s">
        <v>17</v>
      </c>
      <c r="AH131" s="294"/>
      <c r="AI131" s="300" t="s">
        <v>1934</v>
      </c>
      <c r="AJ131" s="195">
        <f>SUMIF('TK 15661.Bản quyền phim '!F:F,'KK1. Movies'!D131,'TK 15661.Bản quyền phim '!X:X)</f>
        <v>33333492</v>
      </c>
      <c r="AK131" s="195">
        <f>SUMIF('TK 15661.Bản quyền phim '!F:F,'KK1. Movies'!AI131,'TK 15661.Bản quyền phim '!X:X)</f>
        <v>33333492</v>
      </c>
      <c r="AL131" s="295">
        <f>COUNTIF('242.BQ Phim hợp tác'!$C:$C,'KK1. Movies'!AI131)</f>
        <v>0</v>
      </c>
      <c r="AM131" s="295">
        <f>COUNTIF('TK 15661.Bản quyền phim '!F:F,'KK1. Movies'!AI131)</f>
        <v>1</v>
      </c>
      <c r="AN131" s="296">
        <f t="shared" si="1"/>
        <v>1</v>
      </c>
      <c r="AO131" s="295"/>
      <c r="AP131" s="295"/>
      <c r="AQ131" s="295"/>
      <c r="AR131" s="295"/>
      <c r="AS131" s="295"/>
    </row>
    <row r="132" spans="1:45" s="296" customFormat="1" x14ac:dyDescent="0.3">
      <c r="A132" s="292">
        <f>_xlfn.AGGREGATE(3,3,$D$7:D132)</f>
        <v>126</v>
      </c>
      <c r="B132" s="143" t="s">
        <v>1402</v>
      </c>
      <c r="C132" s="144" t="s">
        <v>1933</v>
      </c>
      <c r="D132" s="144" t="s">
        <v>1931</v>
      </c>
      <c r="E132" s="144" t="s">
        <v>1932</v>
      </c>
      <c r="F132" s="144" t="s">
        <v>511</v>
      </c>
      <c r="G132" s="144" t="s">
        <v>1697</v>
      </c>
      <c r="H132" s="170">
        <v>202104013</v>
      </c>
      <c r="I132" s="141">
        <v>2018</v>
      </c>
      <c r="J132" s="150" t="s">
        <v>219</v>
      </c>
      <c r="K132" s="141">
        <v>118</v>
      </c>
      <c r="L132" s="148">
        <v>44284</v>
      </c>
      <c r="M132" s="301">
        <v>46109</v>
      </c>
      <c r="N132" s="302">
        <v>44314</v>
      </c>
      <c r="O132" s="145" t="s">
        <v>584</v>
      </c>
      <c r="P132" s="145"/>
      <c r="Q132" s="145" t="s">
        <v>20</v>
      </c>
      <c r="R132" s="145" t="s">
        <v>18</v>
      </c>
      <c r="S132" s="145" t="s">
        <v>18</v>
      </c>
      <c r="T132" s="145" t="s">
        <v>18</v>
      </c>
      <c r="U132" s="145" t="s">
        <v>18</v>
      </c>
      <c r="V132" s="145" t="s">
        <v>18</v>
      </c>
      <c r="W132" s="145" t="s">
        <v>18</v>
      </c>
      <c r="X132" s="145" t="s">
        <v>18</v>
      </c>
      <c r="Y132" s="145" t="s">
        <v>18</v>
      </c>
      <c r="Z132" s="148">
        <v>44284</v>
      </c>
      <c r="AA132" s="301">
        <v>46109</v>
      </c>
      <c r="AB132" s="293">
        <v>50</v>
      </c>
      <c r="AC132" s="151">
        <v>33</v>
      </c>
      <c r="AD132" s="145" t="s">
        <v>18</v>
      </c>
      <c r="AE132" s="145" t="s">
        <v>18</v>
      </c>
      <c r="AF132" s="150"/>
      <c r="AG132" s="155" t="s">
        <v>17</v>
      </c>
      <c r="AH132" s="294"/>
      <c r="AI132" s="299" t="s">
        <v>1931</v>
      </c>
      <c r="AJ132" s="195">
        <f>SUMIF('TK 15661.Bản quyền phim '!F:F,'KK1. Movies'!D132,'TK 15661.Bản quyền phim '!X:X)</f>
        <v>0</v>
      </c>
      <c r="AK132" s="195">
        <f>SUMIF('TK 15661.Bản quyền phim '!F:F,'KK1. Movies'!AI132,'TK 15661.Bản quyền phim '!X:X)</f>
        <v>0</v>
      </c>
      <c r="AL132" s="295">
        <f>COUNTIF('242.BQ Phim hợp tác'!$C:$C,'KK1. Movies'!AI132)</f>
        <v>0</v>
      </c>
      <c r="AM132" s="295">
        <f>COUNTIF('TK 15661.Bản quyền phim '!F:F,'KK1. Movies'!AI132)</f>
        <v>1</v>
      </c>
      <c r="AN132" s="296">
        <f t="shared" si="1"/>
        <v>1</v>
      </c>
      <c r="AO132" s="295"/>
      <c r="AP132" s="295"/>
      <c r="AQ132" s="295"/>
      <c r="AR132" s="295"/>
      <c r="AS132" s="295"/>
    </row>
    <row r="133" spans="1:45" s="296" customFormat="1" ht="26.4" x14ac:dyDescent="0.3">
      <c r="A133" s="292">
        <f>_xlfn.AGGREGATE(3,3,$D$7:D133)</f>
        <v>127</v>
      </c>
      <c r="B133" s="143" t="s">
        <v>1392</v>
      </c>
      <c r="C133" s="341" t="s">
        <v>1930</v>
      </c>
      <c r="D133" s="144" t="s">
        <v>1926</v>
      </c>
      <c r="E133" s="305" t="s">
        <v>1929</v>
      </c>
      <c r="F133" s="144" t="s">
        <v>385</v>
      </c>
      <c r="G133" s="144" t="s">
        <v>1504</v>
      </c>
      <c r="H133" s="143" t="s">
        <v>1928</v>
      </c>
      <c r="I133" s="297">
        <v>2021</v>
      </c>
      <c r="J133" s="145" t="s">
        <v>88</v>
      </c>
      <c r="K133" s="297">
        <v>105</v>
      </c>
      <c r="L133" s="148">
        <v>44799</v>
      </c>
      <c r="M133" s="148">
        <v>46742</v>
      </c>
      <c r="N133" s="302">
        <v>44799</v>
      </c>
      <c r="O133" s="145" t="s">
        <v>584</v>
      </c>
      <c r="P133" s="154" t="s">
        <v>1927</v>
      </c>
      <c r="Q133" s="150" t="s">
        <v>20</v>
      </c>
      <c r="R133" s="145" t="s">
        <v>18</v>
      </c>
      <c r="S133" s="145" t="s">
        <v>18</v>
      </c>
      <c r="T133" s="145" t="s">
        <v>18</v>
      </c>
      <c r="U133" s="145" t="s">
        <v>18</v>
      </c>
      <c r="V133" s="145" t="s">
        <v>18</v>
      </c>
      <c r="W133" s="145" t="s">
        <v>18</v>
      </c>
      <c r="X133" s="145" t="s">
        <v>18</v>
      </c>
      <c r="Y133" s="145" t="s">
        <v>18</v>
      </c>
      <c r="Z133" s="148">
        <v>44948</v>
      </c>
      <c r="AA133" s="149">
        <v>46773</v>
      </c>
      <c r="AB133" s="141" t="s">
        <v>1394</v>
      </c>
      <c r="AC133" s="293">
        <v>33</v>
      </c>
      <c r="AD133" s="145" t="s">
        <v>18</v>
      </c>
      <c r="AE133" s="145" t="s">
        <v>18</v>
      </c>
      <c r="AF133" s="150"/>
      <c r="AG133" s="155" t="s">
        <v>17</v>
      </c>
      <c r="AH133" s="294"/>
      <c r="AI133" s="300" t="s">
        <v>1926</v>
      </c>
      <c r="AJ133" s="195">
        <f>SUMIF('TK 15661.Bản quyền phim '!F:F,'KK1. Movies'!D133,'TK 15661.Bản quyền phim '!X:X)</f>
        <v>125706666.59999996</v>
      </c>
      <c r="AK133" s="195">
        <f>SUMIF('TK 15661.Bản quyền phim '!F:F,'KK1. Movies'!AI133,'TK 15661.Bản quyền phim '!X:X)</f>
        <v>125706666.59999996</v>
      </c>
      <c r="AL133" s="295">
        <f>COUNTIF('242.BQ Phim hợp tác'!$C:$C,'KK1. Movies'!AI133)</f>
        <v>0</v>
      </c>
      <c r="AM133" s="295">
        <f>COUNTIF('TK 15661.Bản quyền phim '!F:F,'KK1. Movies'!AI133)</f>
        <v>1</v>
      </c>
      <c r="AN133" s="296">
        <f t="shared" si="1"/>
        <v>1</v>
      </c>
      <c r="AO133" s="295"/>
      <c r="AP133" s="295"/>
      <c r="AQ133" s="295"/>
      <c r="AR133" s="295"/>
      <c r="AS133" s="295"/>
    </row>
    <row r="134" spans="1:45" s="296" customFormat="1" ht="26.4" x14ac:dyDescent="0.3">
      <c r="A134" s="292">
        <f>_xlfn.AGGREGATE(3,3,$D$7:D134)</f>
        <v>128</v>
      </c>
      <c r="B134" s="143" t="s">
        <v>1723</v>
      </c>
      <c r="C134" s="144" t="s">
        <v>1914</v>
      </c>
      <c r="D134" s="160" t="s">
        <v>1925</v>
      </c>
      <c r="E134" s="166" t="s">
        <v>1924</v>
      </c>
      <c r="F134" s="144" t="s">
        <v>350</v>
      </c>
      <c r="G134" s="158" t="s">
        <v>1324</v>
      </c>
      <c r="H134" s="144" t="s">
        <v>1449</v>
      </c>
      <c r="I134" s="159">
        <v>2022</v>
      </c>
      <c r="J134" s="150" t="s">
        <v>133</v>
      </c>
      <c r="K134" s="159">
        <v>110</v>
      </c>
      <c r="L134" s="148">
        <v>45574</v>
      </c>
      <c r="M134" s="161">
        <v>46668</v>
      </c>
      <c r="N134" s="157">
        <v>45574</v>
      </c>
      <c r="O134" s="145" t="s">
        <v>584</v>
      </c>
      <c r="P134" s="151">
        <v>12</v>
      </c>
      <c r="Q134" s="159" t="s">
        <v>20</v>
      </c>
      <c r="R134" s="145" t="s">
        <v>18</v>
      </c>
      <c r="S134" s="145" t="s">
        <v>18</v>
      </c>
      <c r="T134" s="145" t="s">
        <v>18</v>
      </c>
      <c r="U134" s="145" t="s">
        <v>18</v>
      </c>
      <c r="V134" s="145" t="s">
        <v>18</v>
      </c>
      <c r="W134" s="145" t="s">
        <v>18</v>
      </c>
      <c r="X134" s="159" t="s">
        <v>20</v>
      </c>
      <c r="Y134" s="145" t="s">
        <v>18</v>
      </c>
      <c r="Z134" s="148">
        <v>45574</v>
      </c>
      <c r="AA134" s="161">
        <v>46668</v>
      </c>
      <c r="AB134" s="145" t="s">
        <v>218</v>
      </c>
      <c r="AC134" s="293">
        <v>12</v>
      </c>
      <c r="AD134" s="145" t="s">
        <v>18</v>
      </c>
      <c r="AE134" s="145" t="s">
        <v>18</v>
      </c>
      <c r="AF134" s="150"/>
      <c r="AG134" s="155" t="s">
        <v>17</v>
      </c>
      <c r="AH134" s="294"/>
      <c r="AI134" s="300" t="s">
        <v>1923</v>
      </c>
      <c r="AJ134" s="195">
        <f>SUMIF('TK 15661.Bản quyền phim '!F:F,'KK1. Movies'!D134,'TK 15661.Bản quyền phim '!X:X)</f>
        <v>0</v>
      </c>
      <c r="AK134" s="195">
        <f>SUMIF('TK 15661.Bản quyền phim '!F:F,'KK1. Movies'!AI134,'TK 15661.Bản quyền phim '!X:X)</f>
        <v>22222222.33333334</v>
      </c>
      <c r="AL134" s="295">
        <f>COUNTIF('242.BQ Phim hợp tác'!$C:$C,'KK1. Movies'!AI134)</f>
        <v>0</v>
      </c>
      <c r="AM134" s="295">
        <f>COUNTIF('TK 15661.Bản quyền phim '!F:F,'KK1. Movies'!AI134)</f>
        <v>1</v>
      </c>
      <c r="AN134" s="296">
        <f t="shared" si="1"/>
        <v>1</v>
      </c>
      <c r="AO134" s="295"/>
      <c r="AP134" s="295"/>
      <c r="AQ134" s="295"/>
      <c r="AR134" s="295"/>
      <c r="AS134" s="295"/>
    </row>
    <row r="135" spans="1:45" s="296" customFormat="1" x14ac:dyDescent="0.3">
      <c r="A135" s="292">
        <f>_xlfn.AGGREGATE(3,3,$D$7:D135)</f>
        <v>129</v>
      </c>
      <c r="B135" s="143" t="s">
        <v>1402</v>
      </c>
      <c r="C135" s="341" t="s">
        <v>1922</v>
      </c>
      <c r="D135" s="144" t="s">
        <v>1919</v>
      </c>
      <c r="E135" s="143" t="s">
        <v>1921</v>
      </c>
      <c r="F135" s="144" t="s">
        <v>381</v>
      </c>
      <c r="G135" s="143" t="s">
        <v>1397</v>
      </c>
      <c r="H135" s="143" t="s">
        <v>1920</v>
      </c>
      <c r="I135" s="141">
        <v>2021</v>
      </c>
      <c r="J135" s="145" t="s">
        <v>88</v>
      </c>
      <c r="K135" s="162">
        <v>127</v>
      </c>
      <c r="L135" s="148">
        <v>44729</v>
      </c>
      <c r="M135" s="148">
        <v>46372</v>
      </c>
      <c r="N135" s="302">
        <v>44554</v>
      </c>
      <c r="O135" s="145" t="s">
        <v>584</v>
      </c>
      <c r="P135" s="145"/>
      <c r="Q135" s="145" t="s">
        <v>20</v>
      </c>
      <c r="R135" s="145" t="s">
        <v>18</v>
      </c>
      <c r="S135" s="145" t="s">
        <v>18</v>
      </c>
      <c r="T135" s="145" t="s">
        <v>18</v>
      </c>
      <c r="U135" s="145" t="s">
        <v>319</v>
      </c>
      <c r="V135" s="145" t="s">
        <v>319</v>
      </c>
      <c r="W135" s="145" t="s">
        <v>319</v>
      </c>
      <c r="X135" s="145" t="s">
        <v>18</v>
      </c>
      <c r="Y135" s="145" t="s">
        <v>18</v>
      </c>
      <c r="Z135" s="148">
        <v>44729</v>
      </c>
      <c r="AA135" s="148">
        <v>46372</v>
      </c>
      <c r="AB135" s="141" t="s">
        <v>1394</v>
      </c>
      <c r="AC135" s="151">
        <v>34</v>
      </c>
      <c r="AD135" s="145" t="s">
        <v>18</v>
      </c>
      <c r="AE135" s="145" t="s">
        <v>18</v>
      </c>
      <c r="AF135" s="150"/>
      <c r="AG135" s="155" t="s">
        <v>17</v>
      </c>
      <c r="AH135" s="294"/>
      <c r="AI135" s="300" t="s">
        <v>1919</v>
      </c>
      <c r="AJ135" s="195">
        <f>SUMIF('TK 15661.Bản quyền phim '!F:F,'KK1. Movies'!D135,'TK 15661.Bản quyền phim '!X:X)</f>
        <v>73523809.555555582</v>
      </c>
      <c r="AK135" s="195">
        <f>SUMIF('TK 15661.Bản quyền phim '!F:F,'KK1. Movies'!AI135,'TK 15661.Bản quyền phim '!X:X)</f>
        <v>73523809.555555582</v>
      </c>
      <c r="AL135" s="295">
        <f>COUNTIF('242.BQ Phim hợp tác'!$C:$C,'KK1. Movies'!AI135)</f>
        <v>0</v>
      </c>
      <c r="AM135" s="295">
        <f>COUNTIF('TK 15661.Bản quyền phim '!F:F,'KK1. Movies'!AI135)</f>
        <v>1</v>
      </c>
      <c r="AN135" s="296">
        <f t="shared" ref="AN135:AN198" si="2">AL135+AM135</f>
        <v>1</v>
      </c>
      <c r="AO135" s="295"/>
      <c r="AP135" s="295"/>
      <c r="AQ135" s="295"/>
      <c r="AR135" s="295"/>
      <c r="AS135" s="295"/>
    </row>
    <row r="136" spans="1:45" s="296" customFormat="1" ht="52.8" x14ac:dyDescent="0.3">
      <c r="A136" s="292">
        <f>_xlfn.AGGREGATE(3,3,$D$7:D136)</f>
        <v>130</v>
      </c>
      <c r="B136" s="143" t="s">
        <v>1402</v>
      </c>
      <c r="C136" s="144" t="s">
        <v>1918</v>
      </c>
      <c r="D136" s="160" t="s">
        <v>1916</v>
      </c>
      <c r="E136" s="166" t="s">
        <v>1917</v>
      </c>
      <c r="F136" s="143" t="s">
        <v>436</v>
      </c>
      <c r="G136" s="158" t="s">
        <v>1592</v>
      </c>
      <c r="H136" s="144" t="s">
        <v>1591</v>
      </c>
      <c r="I136" s="159">
        <v>2010</v>
      </c>
      <c r="J136" s="150" t="s">
        <v>196</v>
      </c>
      <c r="K136" s="159">
        <v>92</v>
      </c>
      <c r="L136" s="148">
        <v>45505</v>
      </c>
      <c r="M136" s="161">
        <v>46234</v>
      </c>
      <c r="N136" s="157">
        <v>45581</v>
      </c>
      <c r="O136" s="145" t="s">
        <v>584</v>
      </c>
      <c r="P136" s="145"/>
      <c r="Q136" s="159" t="s">
        <v>20</v>
      </c>
      <c r="R136" s="145" t="s">
        <v>18</v>
      </c>
      <c r="S136" s="145" t="s">
        <v>18</v>
      </c>
      <c r="T136" s="145" t="s">
        <v>18</v>
      </c>
      <c r="U136" s="159" t="s">
        <v>20</v>
      </c>
      <c r="V136" s="159" t="s">
        <v>20</v>
      </c>
      <c r="W136" s="159" t="s">
        <v>20</v>
      </c>
      <c r="X136" s="159" t="s">
        <v>20</v>
      </c>
      <c r="Y136" s="159" t="s">
        <v>20</v>
      </c>
      <c r="Z136" s="161">
        <v>45505</v>
      </c>
      <c r="AA136" s="188">
        <v>46053</v>
      </c>
      <c r="AB136" s="162">
        <v>7</v>
      </c>
      <c r="AC136" s="293">
        <v>3</v>
      </c>
      <c r="AD136" s="145" t="s">
        <v>18</v>
      </c>
      <c r="AE136" s="145" t="s">
        <v>18</v>
      </c>
      <c r="AF136" s="150"/>
      <c r="AG136" s="155" t="s">
        <v>17</v>
      </c>
      <c r="AH136" s="294"/>
      <c r="AI136" s="299" t="s">
        <v>1916</v>
      </c>
      <c r="AJ136" s="195">
        <f>SUMIF('TK 15661.Bản quyền phim '!F:F,'KK1. Movies'!D136,'TK 15661.Bản quyền phim '!X:X)</f>
        <v>0</v>
      </c>
      <c r="AK136" s="195">
        <f>SUMIF('TK 15661.Bản quyền phim '!F:F,'KK1. Movies'!AI136,'TK 15661.Bản quyền phim '!X:X)</f>
        <v>0</v>
      </c>
      <c r="AL136" s="295">
        <f>COUNTIF('242.BQ Phim hợp tác'!$C:$C,'KK1. Movies'!AI136)</f>
        <v>0</v>
      </c>
      <c r="AM136" s="295">
        <f>COUNTIF('TK 15661.Bản quyền phim '!F:F,'KK1. Movies'!AI136)</f>
        <v>1</v>
      </c>
      <c r="AN136" s="296">
        <f t="shared" si="2"/>
        <v>1</v>
      </c>
      <c r="AO136" s="295"/>
      <c r="AP136" s="295"/>
      <c r="AQ136" s="295"/>
      <c r="AR136" s="295"/>
      <c r="AS136" s="295"/>
    </row>
    <row r="137" spans="1:45" s="296" customFormat="1" ht="52.8" x14ac:dyDescent="0.3">
      <c r="A137" s="292">
        <f>_xlfn.AGGREGATE(3,3,$D$7:D137)</f>
        <v>131</v>
      </c>
      <c r="B137" s="143" t="s">
        <v>1723</v>
      </c>
      <c r="C137" s="144" t="s">
        <v>1914</v>
      </c>
      <c r="D137" s="160" t="s">
        <v>1913</v>
      </c>
      <c r="E137" s="166" t="s">
        <v>1915</v>
      </c>
      <c r="F137" s="144" t="s">
        <v>436</v>
      </c>
      <c r="G137" s="158" t="s">
        <v>1141</v>
      </c>
      <c r="H137" s="144" t="s">
        <v>1140</v>
      </c>
      <c r="I137" s="159">
        <v>2016</v>
      </c>
      <c r="J137" s="159" t="s">
        <v>1283</v>
      </c>
      <c r="K137" s="159">
        <v>116</v>
      </c>
      <c r="L137" s="163">
        <v>45701</v>
      </c>
      <c r="M137" s="161">
        <v>46430</v>
      </c>
      <c r="N137" s="157"/>
      <c r="O137" s="145"/>
      <c r="P137" s="145"/>
      <c r="Q137" s="159" t="s">
        <v>20</v>
      </c>
      <c r="R137" s="159" t="s">
        <v>18</v>
      </c>
      <c r="S137" s="159" t="s">
        <v>18</v>
      </c>
      <c r="T137" s="145" t="s">
        <v>18</v>
      </c>
      <c r="U137" s="159" t="s">
        <v>20</v>
      </c>
      <c r="V137" s="159" t="s">
        <v>20</v>
      </c>
      <c r="W137" s="159" t="s">
        <v>20</v>
      </c>
      <c r="X137" s="159" t="s">
        <v>18</v>
      </c>
      <c r="Y137" s="159" t="s">
        <v>20</v>
      </c>
      <c r="Z137" s="161">
        <v>45701</v>
      </c>
      <c r="AA137" s="188">
        <v>46246</v>
      </c>
      <c r="AB137" s="159">
        <v>7</v>
      </c>
      <c r="AC137" s="293">
        <v>2</v>
      </c>
      <c r="AD137" s="145" t="s">
        <v>18</v>
      </c>
      <c r="AE137" s="145" t="s">
        <v>18</v>
      </c>
      <c r="AF137" s="150"/>
      <c r="AG137" s="155" t="s">
        <v>17</v>
      </c>
      <c r="AH137" s="294" t="s">
        <v>1914</v>
      </c>
      <c r="AI137" s="300" t="s">
        <v>1913</v>
      </c>
      <c r="AJ137" s="195">
        <f>SUMIF('TK 15661.Bản quyền phim '!F:F,'KK1. Movies'!D137,'TK 15661.Bản quyền phim '!X:X)</f>
        <v>46627350</v>
      </c>
      <c r="AK137" s="195">
        <f>SUMIF('TK 15661.Bản quyền phim '!F:F,'KK1. Movies'!AI137,'TK 15661.Bản quyền phim '!X:X)</f>
        <v>46627350</v>
      </c>
      <c r="AL137" s="295">
        <f>COUNTIF('242.BQ Phim hợp tác'!$C:$C,'KK1. Movies'!AI137)</f>
        <v>0</v>
      </c>
      <c r="AM137" s="295">
        <f>COUNTIF('TK 15661.Bản quyền phim '!F:F,'KK1. Movies'!AI137)</f>
        <v>1</v>
      </c>
      <c r="AN137" s="296">
        <f t="shared" si="2"/>
        <v>1</v>
      </c>
      <c r="AO137" s="295"/>
      <c r="AP137" s="295"/>
      <c r="AQ137" s="295"/>
      <c r="AR137" s="295"/>
      <c r="AS137" s="295"/>
    </row>
    <row r="138" spans="1:45" s="296" customFormat="1" x14ac:dyDescent="0.3">
      <c r="A138" s="292">
        <f>_xlfn.AGGREGATE(3,3,$D$7:D138)</f>
        <v>132</v>
      </c>
      <c r="B138" s="143" t="s">
        <v>1402</v>
      </c>
      <c r="C138" s="144" t="s">
        <v>1912</v>
      </c>
      <c r="D138" s="146" t="s">
        <v>1910</v>
      </c>
      <c r="E138" s="144" t="s">
        <v>1911</v>
      </c>
      <c r="F138" s="143" t="s">
        <v>350</v>
      </c>
      <c r="G138" s="303" t="s">
        <v>1372</v>
      </c>
      <c r="H138" s="144" t="s">
        <v>1415</v>
      </c>
      <c r="I138" s="297">
        <v>2010</v>
      </c>
      <c r="J138" s="150" t="s">
        <v>196</v>
      </c>
      <c r="K138" s="297">
        <v>100</v>
      </c>
      <c r="L138" s="148">
        <v>45065</v>
      </c>
      <c r="M138" s="163">
        <v>46160</v>
      </c>
      <c r="N138" s="157">
        <v>45155</v>
      </c>
      <c r="O138" s="309" t="s">
        <v>584</v>
      </c>
      <c r="P138" s="145" t="s">
        <v>1414</v>
      </c>
      <c r="Q138" s="150" t="s">
        <v>20</v>
      </c>
      <c r="R138" s="145" t="s">
        <v>18</v>
      </c>
      <c r="S138" s="145" t="s">
        <v>18</v>
      </c>
      <c r="T138" s="145" t="s">
        <v>18</v>
      </c>
      <c r="U138" s="145" t="s">
        <v>18</v>
      </c>
      <c r="V138" s="145" t="s">
        <v>18</v>
      </c>
      <c r="W138" s="145" t="s">
        <v>18</v>
      </c>
      <c r="X138" s="145" t="s">
        <v>18</v>
      </c>
      <c r="Y138" s="145" t="s">
        <v>18</v>
      </c>
      <c r="Z138" s="148">
        <v>45065</v>
      </c>
      <c r="AA138" s="163">
        <v>46160</v>
      </c>
      <c r="AB138" s="141">
        <v>24</v>
      </c>
      <c r="AC138" s="293">
        <v>16</v>
      </c>
      <c r="AD138" s="145" t="s">
        <v>18</v>
      </c>
      <c r="AE138" s="145" t="s">
        <v>18</v>
      </c>
      <c r="AF138" s="150"/>
      <c r="AG138" s="155" t="s">
        <v>17</v>
      </c>
      <c r="AH138" s="294"/>
      <c r="AI138" s="299" t="s">
        <v>1910</v>
      </c>
      <c r="AJ138" s="195">
        <f>SUMIF('TK 15661.Bản quyền phim '!F:F,'KK1. Movies'!D138,'TK 15661.Bản quyền phim '!X:X)</f>
        <v>0</v>
      </c>
      <c r="AK138" s="195">
        <f>SUMIF('TK 15661.Bản quyền phim '!F:F,'KK1. Movies'!AI138,'TK 15661.Bản quyền phim '!X:X)</f>
        <v>0</v>
      </c>
      <c r="AL138" s="295">
        <f>COUNTIF('242.BQ Phim hợp tác'!$C:$C,'KK1. Movies'!AI138)</f>
        <v>0</v>
      </c>
      <c r="AM138" s="295">
        <f>COUNTIF('TK 15661.Bản quyền phim '!F:F,'KK1. Movies'!AI138)</f>
        <v>1</v>
      </c>
      <c r="AN138" s="296">
        <f t="shared" si="2"/>
        <v>1</v>
      </c>
      <c r="AO138" s="295"/>
      <c r="AP138" s="295"/>
      <c r="AQ138" s="295"/>
      <c r="AR138" s="295"/>
      <c r="AS138" s="295"/>
    </row>
    <row r="139" spans="1:45" s="296" customFormat="1" x14ac:dyDescent="0.3">
      <c r="A139" s="292">
        <f>_xlfn.AGGREGATE(3,3,$D$7:D139)</f>
        <v>133</v>
      </c>
      <c r="B139" s="143" t="s">
        <v>1402</v>
      </c>
      <c r="C139" s="144" t="s">
        <v>1909</v>
      </c>
      <c r="D139" s="160" t="s">
        <v>1906</v>
      </c>
      <c r="E139" s="142" t="s">
        <v>1908</v>
      </c>
      <c r="F139" s="158" t="s">
        <v>1907</v>
      </c>
      <c r="G139" s="158" t="s">
        <v>1341</v>
      </c>
      <c r="H139" s="144" t="s">
        <v>1340</v>
      </c>
      <c r="I139" s="159">
        <v>2021</v>
      </c>
      <c r="J139" s="159" t="s">
        <v>196</v>
      </c>
      <c r="K139" s="159">
        <v>100</v>
      </c>
      <c r="L139" s="163">
        <v>45673</v>
      </c>
      <c r="M139" s="148">
        <v>46767</v>
      </c>
      <c r="N139" s="163">
        <v>45673</v>
      </c>
      <c r="O139" s="145"/>
      <c r="P139" s="159">
        <v>12</v>
      </c>
      <c r="Q139" s="159" t="s">
        <v>20</v>
      </c>
      <c r="R139" s="145" t="s">
        <v>18</v>
      </c>
      <c r="S139" s="162" t="s">
        <v>18</v>
      </c>
      <c r="T139" s="145" t="s">
        <v>18</v>
      </c>
      <c r="U139" s="162" t="s">
        <v>18</v>
      </c>
      <c r="V139" s="162" t="s">
        <v>18</v>
      </c>
      <c r="W139" s="162" t="s">
        <v>18</v>
      </c>
      <c r="X139" s="162" t="s">
        <v>18</v>
      </c>
      <c r="Y139" s="159" t="s">
        <v>18</v>
      </c>
      <c r="Z139" s="163">
        <v>45673</v>
      </c>
      <c r="AA139" s="148">
        <v>46767</v>
      </c>
      <c r="AB139" s="159">
        <v>24</v>
      </c>
      <c r="AC139" s="293">
        <v>5</v>
      </c>
      <c r="AD139" s="145" t="s">
        <v>18</v>
      </c>
      <c r="AE139" s="145" t="s">
        <v>18</v>
      </c>
      <c r="AF139" s="150"/>
      <c r="AG139" s="155" t="s">
        <v>17</v>
      </c>
      <c r="AH139" s="294"/>
      <c r="AI139" s="300" t="s">
        <v>1906</v>
      </c>
      <c r="AJ139" s="195">
        <f>SUMIF('TK 15661.Bản quyền phim '!F:F,'KK1. Movies'!D139,'TK 15661.Bản quyền phim '!X:X)</f>
        <v>53968254</v>
      </c>
      <c r="AK139" s="195">
        <f>SUMIF('TK 15661.Bản quyền phim '!F:F,'KK1. Movies'!AI139,'TK 15661.Bản quyền phim '!X:X)</f>
        <v>53968254</v>
      </c>
      <c r="AL139" s="295">
        <f>COUNTIF('242.BQ Phim hợp tác'!$C:$C,'KK1. Movies'!AI139)</f>
        <v>0</v>
      </c>
      <c r="AM139" s="295">
        <f>COUNTIF('TK 15661.Bản quyền phim '!F:F,'KK1. Movies'!AI139)</f>
        <v>1</v>
      </c>
      <c r="AN139" s="296">
        <f t="shared" si="2"/>
        <v>1</v>
      </c>
      <c r="AO139" s="295"/>
      <c r="AP139" s="295"/>
      <c r="AQ139" s="295"/>
      <c r="AR139" s="295"/>
      <c r="AS139" s="295"/>
    </row>
    <row r="140" spans="1:45" s="296" customFormat="1" ht="26.4" x14ac:dyDescent="0.3">
      <c r="A140" s="292">
        <f>_xlfn.AGGREGATE(3,3,$D$7:D140)</f>
        <v>134</v>
      </c>
      <c r="B140" s="143" t="s">
        <v>1392</v>
      </c>
      <c r="C140" s="341" t="s">
        <v>1905</v>
      </c>
      <c r="D140" s="160" t="s">
        <v>1902</v>
      </c>
      <c r="E140" s="160" t="s">
        <v>1904</v>
      </c>
      <c r="F140" s="164" t="s">
        <v>1903</v>
      </c>
      <c r="G140" s="164" t="s">
        <v>1372</v>
      </c>
      <c r="H140" s="144" t="s">
        <v>1371</v>
      </c>
      <c r="I140" s="162">
        <v>2021</v>
      </c>
      <c r="J140" s="162" t="s">
        <v>161</v>
      </c>
      <c r="K140" s="162">
        <v>89</v>
      </c>
      <c r="L140" s="163">
        <v>45710</v>
      </c>
      <c r="M140" s="148">
        <v>46804</v>
      </c>
      <c r="N140" s="157" t="s">
        <v>1145</v>
      </c>
      <c r="O140" s="145"/>
      <c r="P140" s="159">
        <v>12</v>
      </c>
      <c r="Q140" s="162" t="s">
        <v>20</v>
      </c>
      <c r="R140" s="145" t="s">
        <v>18</v>
      </c>
      <c r="S140" s="159" t="s">
        <v>18</v>
      </c>
      <c r="T140" s="159" t="s">
        <v>18</v>
      </c>
      <c r="U140" s="159" t="s">
        <v>18</v>
      </c>
      <c r="V140" s="159" t="s">
        <v>18</v>
      </c>
      <c r="W140" s="159" t="s">
        <v>18</v>
      </c>
      <c r="X140" s="159" t="s">
        <v>18</v>
      </c>
      <c r="Y140" s="159" t="s">
        <v>20</v>
      </c>
      <c r="Z140" s="165">
        <v>45710</v>
      </c>
      <c r="AA140" s="189">
        <v>46804</v>
      </c>
      <c r="AB140" s="162">
        <v>24</v>
      </c>
      <c r="AC140" s="293">
        <v>8</v>
      </c>
      <c r="AD140" s="145" t="s">
        <v>18</v>
      </c>
      <c r="AE140" s="145" t="s">
        <v>18</v>
      </c>
      <c r="AF140" s="150"/>
      <c r="AG140" s="155" t="s">
        <v>17</v>
      </c>
      <c r="AH140" s="294"/>
      <c r="AI140" s="300" t="s">
        <v>1902</v>
      </c>
      <c r="AJ140" s="195">
        <f>SUMIF('TK 15661.Bản quyền phim '!F:F,'KK1. Movies'!D140,'TK 15661.Bản quyền phim '!X:X)</f>
        <v>59932952.666666672</v>
      </c>
      <c r="AK140" s="195">
        <f>SUMIF('TK 15661.Bản quyền phim '!F:F,'KK1. Movies'!AI140,'TK 15661.Bản quyền phim '!X:X)</f>
        <v>59932952.666666672</v>
      </c>
      <c r="AL140" s="295">
        <f>COUNTIF('242.BQ Phim hợp tác'!$C:$C,'KK1. Movies'!AI140)</f>
        <v>0</v>
      </c>
      <c r="AM140" s="295">
        <f>COUNTIF('TK 15661.Bản quyền phim '!F:F,'KK1. Movies'!AI140)</f>
        <v>1</v>
      </c>
      <c r="AN140" s="296">
        <f t="shared" si="2"/>
        <v>1</v>
      </c>
      <c r="AO140" s="295"/>
      <c r="AP140" s="295"/>
      <c r="AQ140" s="295"/>
      <c r="AR140" s="295"/>
      <c r="AS140" s="295"/>
    </row>
    <row r="141" spans="1:45" s="296" customFormat="1" ht="26.4" x14ac:dyDescent="0.3">
      <c r="A141" s="292">
        <f>_xlfn.AGGREGATE(3,3,$D$7:D141)</f>
        <v>135</v>
      </c>
      <c r="B141" s="156" t="s">
        <v>1145</v>
      </c>
      <c r="C141" s="144" t="s">
        <v>1901</v>
      </c>
      <c r="D141" s="160" t="s">
        <v>1898</v>
      </c>
      <c r="E141" s="144" t="s">
        <v>1900</v>
      </c>
      <c r="F141" s="158" t="s">
        <v>1899</v>
      </c>
      <c r="G141" s="158" t="s">
        <v>1351</v>
      </c>
      <c r="H141" s="144" t="s">
        <v>1350</v>
      </c>
      <c r="I141" s="159">
        <v>2021</v>
      </c>
      <c r="J141" s="159" t="s">
        <v>178</v>
      </c>
      <c r="K141" s="159">
        <v>123</v>
      </c>
      <c r="L141" s="163">
        <v>45793</v>
      </c>
      <c r="M141" s="148">
        <v>46888</v>
      </c>
      <c r="N141" s="157" t="s">
        <v>1145</v>
      </c>
      <c r="O141" s="145"/>
      <c r="P141" s="159">
        <v>12</v>
      </c>
      <c r="Q141" s="159" t="s">
        <v>20</v>
      </c>
      <c r="R141" s="145" t="s">
        <v>18</v>
      </c>
      <c r="S141" s="162" t="s">
        <v>18</v>
      </c>
      <c r="T141" s="145" t="s">
        <v>18</v>
      </c>
      <c r="U141" s="162" t="s">
        <v>18</v>
      </c>
      <c r="V141" s="162" t="s">
        <v>18</v>
      </c>
      <c r="W141" s="162" t="s">
        <v>18</v>
      </c>
      <c r="X141" s="162" t="s">
        <v>18</v>
      </c>
      <c r="Y141" s="159" t="s">
        <v>18</v>
      </c>
      <c r="Z141" s="169">
        <v>45793</v>
      </c>
      <c r="AA141" s="344">
        <v>46888</v>
      </c>
      <c r="AB141" s="159">
        <v>24</v>
      </c>
      <c r="AC141" s="293">
        <v>3</v>
      </c>
      <c r="AD141" s="145" t="s">
        <v>18</v>
      </c>
      <c r="AE141" s="145" t="s">
        <v>18</v>
      </c>
      <c r="AF141" s="150"/>
      <c r="AG141" s="155" t="s">
        <v>17</v>
      </c>
      <c r="AH141" s="294"/>
      <c r="AI141" s="300" t="s">
        <v>1898</v>
      </c>
      <c r="AJ141" s="195">
        <f>SUMIF('TK 15661.Bản quyền phim '!F:F,'KK1. Movies'!D141,'TK 15661.Bản quyền phim '!X:X)</f>
        <v>59669841.333333328</v>
      </c>
      <c r="AK141" s="195">
        <f>SUMIF('TK 15661.Bản quyền phim '!F:F,'KK1. Movies'!AI141,'TK 15661.Bản quyền phim '!X:X)</f>
        <v>59669841.333333328</v>
      </c>
      <c r="AL141" s="295">
        <f>COUNTIF('242.BQ Phim hợp tác'!$C:$C,'KK1. Movies'!AI141)</f>
        <v>0</v>
      </c>
      <c r="AM141" s="295">
        <f>COUNTIF('TK 15661.Bản quyền phim '!F:F,'KK1. Movies'!AI141)</f>
        <v>1</v>
      </c>
      <c r="AN141" s="296">
        <f t="shared" si="2"/>
        <v>1</v>
      </c>
      <c r="AO141" s="295"/>
      <c r="AP141" s="295"/>
      <c r="AQ141" s="295"/>
      <c r="AR141" s="295"/>
      <c r="AS141" s="295"/>
    </row>
    <row r="142" spans="1:45" s="296" customFormat="1" ht="26.4" x14ac:dyDescent="0.3">
      <c r="A142" s="292">
        <f>_xlfn.AGGREGATE(3,3,$D$7:D142)</f>
        <v>136</v>
      </c>
      <c r="B142" s="143" t="s">
        <v>1402</v>
      </c>
      <c r="C142" s="144" t="s">
        <v>1897</v>
      </c>
      <c r="D142" s="160" t="s">
        <v>1896</v>
      </c>
      <c r="E142" s="166" t="s">
        <v>1895</v>
      </c>
      <c r="F142" s="144" t="s">
        <v>385</v>
      </c>
      <c r="G142" s="158" t="s">
        <v>1324</v>
      </c>
      <c r="H142" s="144" t="s">
        <v>1449</v>
      </c>
      <c r="I142" s="159">
        <v>2023</v>
      </c>
      <c r="J142" s="150" t="s">
        <v>133</v>
      </c>
      <c r="K142" s="159">
        <v>112</v>
      </c>
      <c r="L142" s="148">
        <v>45352</v>
      </c>
      <c r="M142" s="161">
        <v>46446</v>
      </c>
      <c r="N142" s="157">
        <v>45352</v>
      </c>
      <c r="O142" s="145" t="s">
        <v>584</v>
      </c>
      <c r="P142" s="151">
        <v>12</v>
      </c>
      <c r="Q142" s="159" t="s">
        <v>20</v>
      </c>
      <c r="R142" s="145" t="s">
        <v>18</v>
      </c>
      <c r="S142" s="145" t="s">
        <v>18</v>
      </c>
      <c r="T142" s="145" t="s">
        <v>18</v>
      </c>
      <c r="U142" s="145" t="s">
        <v>18</v>
      </c>
      <c r="V142" s="145" t="s">
        <v>18</v>
      </c>
      <c r="W142" s="145" t="s">
        <v>18</v>
      </c>
      <c r="X142" s="159" t="s">
        <v>20</v>
      </c>
      <c r="Y142" s="145" t="s">
        <v>18</v>
      </c>
      <c r="Z142" s="148">
        <v>45352</v>
      </c>
      <c r="AA142" s="161">
        <v>46446</v>
      </c>
      <c r="AB142" s="145" t="s">
        <v>218</v>
      </c>
      <c r="AC142" s="293">
        <v>19</v>
      </c>
      <c r="AD142" s="145" t="s">
        <v>18</v>
      </c>
      <c r="AE142" s="145" t="s">
        <v>18</v>
      </c>
      <c r="AF142" s="150"/>
      <c r="AG142" s="155" t="s">
        <v>17</v>
      </c>
      <c r="AH142" s="294"/>
      <c r="AI142" s="300" t="s">
        <v>1894</v>
      </c>
      <c r="AJ142" s="195">
        <f>SUMIF('TK 15661.Bản quyền phim '!F:F,'KK1. Movies'!D142,'TK 15661.Bản quyền phim '!X:X)</f>
        <v>0</v>
      </c>
      <c r="AK142" s="195">
        <f>SUMIF('TK 15661.Bản quyền phim '!F:F,'KK1. Movies'!AI142,'TK 15661.Bản quyền phim '!X:X)</f>
        <v>50793650.666666679</v>
      </c>
      <c r="AL142" s="295">
        <f>COUNTIF('242.BQ Phim hợp tác'!$C:$C,'KK1. Movies'!AI142)</f>
        <v>0</v>
      </c>
      <c r="AM142" s="295">
        <f>COUNTIF('TK 15661.Bản quyền phim '!F:F,'KK1. Movies'!AI142)</f>
        <v>1</v>
      </c>
      <c r="AN142" s="296">
        <f t="shared" si="2"/>
        <v>1</v>
      </c>
      <c r="AO142" s="295"/>
      <c r="AP142" s="295"/>
      <c r="AQ142" s="295"/>
      <c r="AR142" s="295"/>
      <c r="AS142" s="295"/>
    </row>
    <row r="143" spans="1:45" s="296" customFormat="1" ht="26.4" x14ac:dyDescent="0.3">
      <c r="A143" s="292">
        <f>_xlfn.AGGREGATE(3,3,$D$7:D143)</f>
        <v>137</v>
      </c>
      <c r="B143" s="143" t="s">
        <v>1402</v>
      </c>
      <c r="C143" s="144" t="s">
        <v>1893</v>
      </c>
      <c r="D143" s="146" t="s">
        <v>1891</v>
      </c>
      <c r="E143" s="144" t="s">
        <v>1892</v>
      </c>
      <c r="F143" s="144" t="s">
        <v>381</v>
      </c>
      <c r="G143" s="143" t="s">
        <v>1389</v>
      </c>
      <c r="H143" s="144" t="s">
        <v>1388</v>
      </c>
      <c r="I143" s="297">
        <v>2018</v>
      </c>
      <c r="J143" s="150" t="s">
        <v>133</v>
      </c>
      <c r="K143" s="297">
        <v>102</v>
      </c>
      <c r="L143" s="148">
        <v>45218</v>
      </c>
      <c r="M143" s="148">
        <v>46313</v>
      </c>
      <c r="N143" s="152">
        <v>45218</v>
      </c>
      <c r="O143" s="309" t="s">
        <v>584</v>
      </c>
      <c r="P143" s="145" t="s">
        <v>1387</v>
      </c>
      <c r="Q143" s="145" t="s">
        <v>20</v>
      </c>
      <c r="R143" s="145" t="s">
        <v>18</v>
      </c>
      <c r="S143" s="145" t="s">
        <v>20</v>
      </c>
      <c r="T143" s="145" t="s">
        <v>18</v>
      </c>
      <c r="U143" s="145" t="s">
        <v>18</v>
      </c>
      <c r="V143" s="145" t="s">
        <v>18</v>
      </c>
      <c r="W143" s="145" t="s">
        <v>18</v>
      </c>
      <c r="X143" s="145" t="s">
        <v>18</v>
      </c>
      <c r="Y143" s="145" t="s">
        <v>20</v>
      </c>
      <c r="Z143" s="148">
        <v>45218</v>
      </c>
      <c r="AA143" s="148">
        <v>46313</v>
      </c>
      <c r="AB143" s="293">
        <v>24</v>
      </c>
      <c r="AC143" s="293">
        <v>21</v>
      </c>
      <c r="AD143" s="145" t="s">
        <v>18</v>
      </c>
      <c r="AE143" s="145" t="s">
        <v>18</v>
      </c>
      <c r="AF143" s="150"/>
      <c r="AG143" s="155" t="s">
        <v>17</v>
      </c>
      <c r="AH143" s="294"/>
      <c r="AI143" s="299" t="s">
        <v>1891</v>
      </c>
      <c r="AJ143" s="195">
        <f>SUMIF('TK 15661.Bản quyền phim '!F:F,'KK1. Movies'!D143,'TK 15661.Bản quyền phim '!X:X)</f>
        <v>0</v>
      </c>
      <c r="AK143" s="195">
        <f>SUMIF('TK 15661.Bản quyền phim '!F:F,'KK1. Movies'!AI143,'TK 15661.Bản quyền phim '!X:X)</f>
        <v>0</v>
      </c>
      <c r="AL143" s="295">
        <f>COUNTIF('242.BQ Phim hợp tác'!$C:$C,'KK1. Movies'!AI143)</f>
        <v>0</v>
      </c>
      <c r="AM143" s="295">
        <f>COUNTIF('TK 15661.Bản quyền phim '!F:F,'KK1. Movies'!AI143)</f>
        <v>1</v>
      </c>
      <c r="AN143" s="296">
        <f t="shared" si="2"/>
        <v>1</v>
      </c>
      <c r="AO143" s="295"/>
      <c r="AP143" s="295"/>
      <c r="AQ143" s="295"/>
      <c r="AR143" s="295"/>
      <c r="AS143" s="295"/>
    </row>
    <row r="144" spans="1:45" s="296" customFormat="1" ht="52.8" x14ac:dyDescent="0.3">
      <c r="A144" s="292">
        <f>_xlfn.AGGREGATE(3,3,$D$7:D144)</f>
        <v>138</v>
      </c>
      <c r="B144" s="143" t="s">
        <v>1422</v>
      </c>
      <c r="C144" s="144" t="s">
        <v>1890</v>
      </c>
      <c r="D144" s="160" t="s">
        <v>1888</v>
      </c>
      <c r="E144" s="166" t="s">
        <v>1889</v>
      </c>
      <c r="F144" s="143" t="s">
        <v>436</v>
      </c>
      <c r="G144" s="158" t="s">
        <v>1592</v>
      </c>
      <c r="H144" s="144" t="s">
        <v>1591</v>
      </c>
      <c r="I144" s="159">
        <v>2010</v>
      </c>
      <c r="J144" s="150" t="s">
        <v>196</v>
      </c>
      <c r="K144" s="159">
        <v>139</v>
      </c>
      <c r="L144" s="148">
        <v>45505</v>
      </c>
      <c r="M144" s="161">
        <v>46234</v>
      </c>
      <c r="N144" s="157">
        <v>45588</v>
      </c>
      <c r="O144" s="159" t="s">
        <v>584</v>
      </c>
      <c r="P144" s="145"/>
      <c r="Q144" s="159" t="s">
        <v>20</v>
      </c>
      <c r="R144" s="145" t="s">
        <v>18</v>
      </c>
      <c r="S144" s="145" t="s">
        <v>18</v>
      </c>
      <c r="T144" s="145" t="s">
        <v>18</v>
      </c>
      <c r="U144" s="159" t="s">
        <v>20</v>
      </c>
      <c r="V144" s="159" t="s">
        <v>20</v>
      </c>
      <c r="W144" s="159" t="s">
        <v>20</v>
      </c>
      <c r="X144" s="159" t="s">
        <v>20</v>
      </c>
      <c r="Y144" s="159" t="s">
        <v>20</v>
      </c>
      <c r="Z144" s="161">
        <v>45505</v>
      </c>
      <c r="AA144" s="188">
        <v>46053</v>
      </c>
      <c r="AB144" s="162">
        <v>7</v>
      </c>
      <c r="AC144" s="293">
        <v>3</v>
      </c>
      <c r="AD144" s="145" t="s">
        <v>18</v>
      </c>
      <c r="AE144" s="145" t="s">
        <v>18</v>
      </c>
      <c r="AF144" s="150"/>
      <c r="AG144" s="155" t="s">
        <v>17</v>
      </c>
      <c r="AH144" s="294"/>
      <c r="AI144" s="299" t="s">
        <v>1888</v>
      </c>
      <c r="AJ144" s="195">
        <f>SUMIF('TK 15661.Bản quyền phim '!F:F,'KK1. Movies'!D144,'TK 15661.Bản quyền phim '!X:X)</f>
        <v>0</v>
      </c>
      <c r="AK144" s="195">
        <f>SUMIF('TK 15661.Bản quyền phim '!F:F,'KK1. Movies'!AI144,'TK 15661.Bản quyền phim '!X:X)</f>
        <v>0</v>
      </c>
      <c r="AL144" s="295">
        <f>COUNTIF('242.BQ Phim hợp tác'!$C:$C,'KK1. Movies'!AI144)</f>
        <v>0</v>
      </c>
      <c r="AM144" s="295">
        <f>COUNTIF('TK 15661.Bản quyền phim '!F:F,'KK1. Movies'!AI144)</f>
        <v>1</v>
      </c>
      <c r="AN144" s="296">
        <f t="shared" si="2"/>
        <v>1</v>
      </c>
      <c r="AO144" s="295"/>
      <c r="AP144" s="295"/>
      <c r="AQ144" s="295"/>
      <c r="AR144" s="295"/>
      <c r="AS144" s="295"/>
    </row>
    <row r="145" spans="1:45" s="296" customFormat="1" ht="26.4" x14ac:dyDescent="0.3">
      <c r="A145" s="292">
        <f>_xlfn.AGGREGATE(3,3,$D$7:D145)</f>
        <v>139</v>
      </c>
      <c r="B145" s="143" t="s">
        <v>1392</v>
      </c>
      <c r="C145" s="341" t="s">
        <v>1887</v>
      </c>
      <c r="D145" s="144" t="s">
        <v>1886</v>
      </c>
      <c r="E145" s="144" t="s">
        <v>1885</v>
      </c>
      <c r="F145" s="144" t="s">
        <v>385</v>
      </c>
      <c r="G145" s="164" t="s">
        <v>1056</v>
      </c>
      <c r="H145" s="144" t="s">
        <v>1884</v>
      </c>
      <c r="I145" s="297">
        <v>2020</v>
      </c>
      <c r="J145" s="150" t="s">
        <v>1883</v>
      </c>
      <c r="K145" s="297">
        <v>81</v>
      </c>
      <c r="L145" s="148">
        <v>44737</v>
      </c>
      <c r="M145" s="148">
        <v>46197</v>
      </c>
      <c r="N145" s="157">
        <v>44814</v>
      </c>
      <c r="O145" s="145" t="s">
        <v>132</v>
      </c>
      <c r="P145" s="154" t="s">
        <v>886</v>
      </c>
      <c r="Q145" s="150" t="s">
        <v>20</v>
      </c>
      <c r="R145" s="145" t="s">
        <v>18</v>
      </c>
      <c r="S145" s="145" t="s">
        <v>18</v>
      </c>
      <c r="T145" s="145" t="s">
        <v>18</v>
      </c>
      <c r="U145" s="145" t="s">
        <v>18</v>
      </c>
      <c r="V145" s="145" t="s">
        <v>18</v>
      </c>
      <c r="W145" s="145" t="s">
        <v>18</v>
      </c>
      <c r="X145" s="145" t="s">
        <v>18</v>
      </c>
      <c r="Y145" s="145" t="s">
        <v>18</v>
      </c>
      <c r="Z145" s="148">
        <v>44737</v>
      </c>
      <c r="AA145" s="148">
        <v>46197</v>
      </c>
      <c r="AB145" s="141" t="s">
        <v>1394</v>
      </c>
      <c r="AC145" s="293">
        <v>42</v>
      </c>
      <c r="AD145" s="145" t="s">
        <v>18</v>
      </c>
      <c r="AE145" s="145" t="s">
        <v>18</v>
      </c>
      <c r="AF145" s="150"/>
      <c r="AG145" s="155" t="s">
        <v>17</v>
      </c>
      <c r="AH145" s="294"/>
      <c r="AI145" s="300" t="s">
        <v>1882</v>
      </c>
      <c r="AJ145" s="195">
        <f>SUMIF('TK 15661.Bản quyền phim '!F:F,'KK1. Movies'!D145,'TK 15661.Bản quyền phim '!X:X)</f>
        <v>0</v>
      </c>
      <c r="AK145" s="195">
        <f>SUMIF('TK 15661.Bản quyền phim '!F:F,'KK1. Movies'!AI145,'TK 15661.Bản quyền phim '!X:X)</f>
        <v>0</v>
      </c>
      <c r="AL145" s="295">
        <f>COUNTIF('242.BQ Phim hợp tác'!$C:$C,'KK1. Movies'!AI145)</f>
        <v>0</v>
      </c>
      <c r="AM145" s="295">
        <f>COUNTIF('TK 15661.Bản quyền phim '!F:F,'KK1. Movies'!AI145)</f>
        <v>1</v>
      </c>
      <c r="AN145" s="296">
        <f t="shared" si="2"/>
        <v>1</v>
      </c>
      <c r="AO145" s="295"/>
      <c r="AP145" s="295"/>
      <c r="AQ145" s="295"/>
      <c r="AR145" s="295"/>
      <c r="AS145" s="295"/>
    </row>
    <row r="146" spans="1:45" s="296" customFormat="1" ht="26.4" x14ac:dyDescent="0.3">
      <c r="A146" s="292">
        <f>_xlfn.AGGREGATE(3,3,$D$7:D146)</f>
        <v>140</v>
      </c>
      <c r="B146" s="143" t="s">
        <v>1402</v>
      </c>
      <c r="C146" s="144" t="s">
        <v>1878</v>
      </c>
      <c r="D146" s="144" t="s">
        <v>1877</v>
      </c>
      <c r="E146" s="144" t="s">
        <v>1881</v>
      </c>
      <c r="F146" s="144" t="s">
        <v>385</v>
      </c>
      <c r="G146" s="144" t="s">
        <v>1397</v>
      </c>
      <c r="H146" s="144" t="s">
        <v>1880</v>
      </c>
      <c r="I146" s="297">
        <v>2020</v>
      </c>
      <c r="J146" s="145" t="s">
        <v>88</v>
      </c>
      <c r="K146" s="162">
        <v>95</v>
      </c>
      <c r="L146" s="148">
        <v>44344</v>
      </c>
      <c r="M146" s="148">
        <v>46169</v>
      </c>
      <c r="N146" s="302">
        <v>44344</v>
      </c>
      <c r="O146" s="145" t="s">
        <v>584</v>
      </c>
      <c r="P146" s="145" t="s">
        <v>1879</v>
      </c>
      <c r="Q146" s="145" t="s">
        <v>18</v>
      </c>
      <c r="R146" s="145" t="s">
        <v>18</v>
      </c>
      <c r="S146" s="145" t="s">
        <v>18</v>
      </c>
      <c r="T146" s="145" t="s">
        <v>18</v>
      </c>
      <c r="U146" s="145" t="s">
        <v>319</v>
      </c>
      <c r="V146" s="145" t="s">
        <v>319</v>
      </c>
      <c r="W146" s="145" t="s">
        <v>319</v>
      </c>
      <c r="X146" s="145" t="s">
        <v>18</v>
      </c>
      <c r="Y146" s="145" t="s">
        <v>18</v>
      </c>
      <c r="Z146" s="148">
        <v>44344</v>
      </c>
      <c r="AA146" s="148">
        <v>46169</v>
      </c>
      <c r="AB146" s="141" t="s">
        <v>1394</v>
      </c>
      <c r="AC146" s="293">
        <v>50</v>
      </c>
      <c r="AD146" s="145" t="s">
        <v>18</v>
      </c>
      <c r="AE146" s="145" t="s">
        <v>18</v>
      </c>
      <c r="AF146" s="150"/>
      <c r="AG146" s="155" t="s">
        <v>17</v>
      </c>
      <c r="AH146" s="294" t="s">
        <v>1878</v>
      </c>
      <c r="AI146" s="299" t="s">
        <v>1877</v>
      </c>
      <c r="AJ146" s="195">
        <f>SUMIF('TK 15661.Bản quyền phim '!F:F,'KK1. Movies'!D146,'TK 15661.Bản quyền phim '!X:X)</f>
        <v>0</v>
      </c>
      <c r="AK146" s="195">
        <f>SUMIF('TK 15661.Bản quyền phim '!F:F,'KK1. Movies'!AI146,'TK 15661.Bản quyền phim '!X:X)</f>
        <v>0</v>
      </c>
      <c r="AL146" s="295">
        <f>COUNTIF('242.BQ Phim hợp tác'!$C:$C,'KK1. Movies'!AI146)</f>
        <v>0</v>
      </c>
      <c r="AM146" s="295">
        <f>COUNTIF('TK 15661.Bản quyền phim '!F:F,'KK1. Movies'!AI146)</f>
        <v>1</v>
      </c>
      <c r="AN146" s="296">
        <f t="shared" si="2"/>
        <v>1</v>
      </c>
      <c r="AO146" s="295"/>
      <c r="AP146" s="295"/>
      <c r="AQ146" s="295"/>
      <c r="AR146" s="295"/>
      <c r="AS146" s="295"/>
    </row>
    <row r="147" spans="1:45" s="296" customFormat="1" x14ac:dyDescent="0.3">
      <c r="A147" s="292">
        <f>_xlfn.AGGREGATE(3,3,$D$7:D147)</f>
        <v>141</v>
      </c>
      <c r="B147" s="143"/>
      <c r="C147" s="144" t="s">
        <v>1876</v>
      </c>
      <c r="D147" s="160" t="s">
        <v>1874</v>
      </c>
      <c r="E147" s="166" t="s">
        <v>1875</v>
      </c>
      <c r="F147" s="158" t="s">
        <v>350</v>
      </c>
      <c r="G147" s="158" t="s">
        <v>198</v>
      </c>
      <c r="H147" s="164" t="s">
        <v>1208</v>
      </c>
      <c r="I147" s="162">
        <v>2022</v>
      </c>
      <c r="J147" s="159" t="s">
        <v>196</v>
      </c>
      <c r="K147" s="162">
        <v>114</v>
      </c>
      <c r="L147" s="165">
        <v>45763</v>
      </c>
      <c r="M147" s="165">
        <v>46492</v>
      </c>
      <c r="N147" s="157"/>
      <c r="O147" s="145"/>
      <c r="P147" s="159">
        <v>0</v>
      </c>
      <c r="Q147" s="159" t="s">
        <v>20</v>
      </c>
      <c r="R147" s="145" t="s">
        <v>18</v>
      </c>
      <c r="S147" s="159" t="s">
        <v>18</v>
      </c>
      <c r="T147" s="145" t="s">
        <v>18</v>
      </c>
      <c r="U147" s="159" t="s">
        <v>20</v>
      </c>
      <c r="V147" s="159" t="s">
        <v>20</v>
      </c>
      <c r="W147" s="159" t="s">
        <v>20</v>
      </c>
      <c r="X147" s="159" t="s">
        <v>18</v>
      </c>
      <c r="Y147" s="159" t="s">
        <v>18</v>
      </c>
      <c r="Z147" s="165">
        <v>45763</v>
      </c>
      <c r="AA147" s="189">
        <v>46492</v>
      </c>
      <c r="AB147" s="159">
        <v>6</v>
      </c>
      <c r="AC147" s="293">
        <v>2</v>
      </c>
      <c r="AD147" s="145" t="s">
        <v>18</v>
      </c>
      <c r="AE147" s="145" t="s">
        <v>18</v>
      </c>
      <c r="AF147" s="150"/>
      <c r="AG147" s="155" t="s">
        <v>17</v>
      </c>
      <c r="AH147" s="294"/>
      <c r="AI147" s="300" t="s">
        <v>1874</v>
      </c>
      <c r="AJ147" s="195">
        <f>SUMIF('TK 15661.Bản quyền phim '!F:F,'KK1. Movies'!D147,'TK 15661.Bản quyền phim '!X:X)</f>
        <v>39258450</v>
      </c>
      <c r="AK147" s="195">
        <f>SUMIF('TK 15661.Bản quyền phim '!F:F,'KK1. Movies'!AI147,'TK 15661.Bản quyền phim '!X:X)</f>
        <v>39258450</v>
      </c>
      <c r="AL147" s="295">
        <f>COUNTIF('242.BQ Phim hợp tác'!$C:$C,'KK1. Movies'!AI147)</f>
        <v>0</v>
      </c>
      <c r="AM147" s="295">
        <f>COUNTIF('TK 15661.Bản quyền phim '!F:F,'KK1. Movies'!AI147)</f>
        <v>1</v>
      </c>
      <c r="AN147" s="296">
        <f t="shared" si="2"/>
        <v>1</v>
      </c>
      <c r="AO147" s="295"/>
      <c r="AP147" s="295"/>
      <c r="AQ147" s="295"/>
      <c r="AR147" s="295"/>
      <c r="AS147" s="295"/>
    </row>
    <row r="148" spans="1:45" s="296" customFormat="1" ht="26.4" x14ac:dyDescent="0.3">
      <c r="A148" s="292">
        <f>_xlfn.AGGREGATE(3,3,$D$7:D148)</f>
        <v>142</v>
      </c>
      <c r="B148" s="143" t="s">
        <v>1402</v>
      </c>
      <c r="C148" s="144" t="s">
        <v>1873</v>
      </c>
      <c r="D148" s="146" t="s">
        <v>1871</v>
      </c>
      <c r="E148" s="144" t="s">
        <v>1872</v>
      </c>
      <c r="F148" s="144" t="s">
        <v>1013</v>
      </c>
      <c r="G148" s="143" t="s">
        <v>1389</v>
      </c>
      <c r="H148" s="144" t="s">
        <v>1388</v>
      </c>
      <c r="I148" s="297">
        <v>2020</v>
      </c>
      <c r="J148" s="145" t="s">
        <v>196</v>
      </c>
      <c r="K148" s="297">
        <v>97</v>
      </c>
      <c r="L148" s="148">
        <v>45210</v>
      </c>
      <c r="M148" s="153">
        <v>46305</v>
      </c>
      <c r="N148" s="152">
        <v>45210</v>
      </c>
      <c r="O148" s="309" t="s">
        <v>584</v>
      </c>
      <c r="P148" s="145" t="s">
        <v>1387</v>
      </c>
      <c r="Q148" s="145" t="s">
        <v>20</v>
      </c>
      <c r="R148" s="145" t="s">
        <v>18</v>
      </c>
      <c r="S148" s="145" t="s">
        <v>20</v>
      </c>
      <c r="T148" s="145" t="s">
        <v>18</v>
      </c>
      <c r="U148" s="145" t="s">
        <v>18</v>
      </c>
      <c r="V148" s="145" t="s">
        <v>18</v>
      </c>
      <c r="W148" s="145" t="s">
        <v>18</v>
      </c>
      <c r="X148" s="145" t="s">
        <v>18</v>
      </c>
      <c r="Y148" s="145" t="s">
        <v>20</v>
      </c>
      <c r="Z148" s="148">
        <v>45210</v>
      </c>
      <c r="AA148" s="153">
        <v>46305</v>
      </c>
      <c r="AB148" s="293">
        <v>24</v>
      </c>
      <c r="AC148" s="293">
        <v>13</v>
      </c>
      <c r="AD148" s="145" t="s">
        <v>18</v>
      </c>
      <c r="AE148" s="145" t="s">
        <v>18</v>
      </c>
      <c r="AF148" s="150"/>
      <c r="AG148" s="155" t="s">
        <v>17</v>
      </c>
      <c r="AH148" s="294"/>
      <c r="AI148" s="300" t="s">
        <v>1871</v>
      </c>
      <c r="AJ148" s="195">
        <f>SUMIF('TK 15661.Bản quyền phim '!F:F,'KK1. Movies'!D148,'TK 15661.Bản quyền phim '!X:X)</f>
        <v>24285714.33333334</v>
      </c>
      <c r="AK148" s="195">
        <f>SUMIF('TK 15661.Bản quyền phim '!F:F,'KK1. Movies'!AI148,'TK 15661.Bản quyền phim '!X:X)</f>
        <v>24285714.33333334</v>
      </c>
      <c r="AL148" s="295">
        <f>COUNTIF('242.BQ Phim hợp tác'!$C:$C,'KK1. Movies'!AI148)</f>
        <v>0</v>
      </c>
      <c r="AM148" s="295">
        <f>COUNTIF('TK 15661.Bản quyền phim '!F:F,'KK1. Movies'!AI148)</f>
        <v>1</v>
      </c>
      <c r="AN148" s="296">
        <f t="shared" si="2"/>
        <v>1</v>
      </c>
      <c r="AO148" s="295"/>
      <c r="AP148" s="295"/>
      <c r="AQ148" s="295"/>
      <c r="AR148" s="295"/>
      <c r="AS148" s="295"/>
    </row>
    <row r="149" spans="1:45" s="296" customFormat="1" ht="26.4" x14ac:dyDescent="0.3">
      <c r="A149" s="292">
        <f>_xlfn.AGGREGATE(3,3,$D$7:D149)</f>
        <v>143</v>
      </c>
      <c r="B149" s="166" t="s">
        <v>1402</v>
      </c>
      <c r="C149" s="341" t="s">
        <v>1870</v>
      </c>
      <c r="D149" s="146" t="s">
        <v>1868</v>
      </c>
      <c r="E149" s="144" t="s">
        <v>1869</v>
      </c>
      <c r="F149" s="144" t="s">
        <v>1013</v>
      </c>
      <c r="G149" s="303" t="s">
        <v>1056</v>
      </c>
      <c r="H149" s="144" t="s">
        <v>1479</v>
      </c>
      <c r="I149" s="297">
        <v>2018</v>
      </c>
      <c r="J149" s="150" t="s">
        <v>196</v>
      </c>
      <c r="K149" s="297">
        <v>102</v>
      </c>
      <c r="L149" s="148">
        <v>45084</v>
      </c>
      <c r="M149" s="163">
        <v>46179</v>
      </c>
      <c r="N149" s="157">
        <v>45084</v>
      </c>
      <c r="O149" s="309" t="s">
        <v>584</v>
      </c>
      <c r="P149" s="145" t="s">
        <v>1478</v>
      </c>
      <c r="Q149" s="150" t="s">
        <v>20</v>
      </c>
      <c r="R149" s="145" t="s">
        <v>18</v>
      </c>
      <c r="S149" s="145" t="s">
        <v>18</v>
      </c>
      <c r="T149" s="145" t="s">
        <v>18</v>
      </c>
      <c r="U149" s="145" t="s">
        <v>18</v>
      </c>
      <c r="V149" s="145" t="s">
        <v>18</v>
      </c>
      <c r="W149" s="145" t="s">
        <v>18</v>
      </c>
      <c r="X149" s="145" t="s">
        <v>18</v>
      </c>
      <c r="Y149" s="145" t="s">
        <v>18</v>
      </c>
      <c r="Z149" s="148">
        <v>45084</v>
      </c>
      <c r="AA149" s="163">
        <v>46179</v>
      </c>
      <c r="AB149" s="141" t="s">
        <v>1394</v>
      </c>
      <c r="AC149" s="293">
        <v>29</v>
      </c>
      <c r="AD149" s="145" t="s">
        <v>18</v>
      </c>
      <c r="AE149" s="145" t="s">
        <v>18</v>
      </c>
      <c r="AF149" s="150"/>
      <c r="AG149" s="155" t="s">
        <v>17</v>
      </c>
      <c r="AH149" s="294"/>
      <c r="AI149" s="300" t="s">
        <v>1868</v>
      </c>
      <c r="AJ149" s="195">
        <f>SUMIF('TK 15661.Bản quyền phim '!F:F,'KK1. Movies'!D149,'TK 15661.Bản quyền phim '!X:X)</f>
        <v>0</v>
      </c>
      <c r="AK149" s="195">
        <f>SUMIF('TK 15661.Bản quyền phim '!F:F,'KK1. Movies'!AI149,'TK 15661.Bản quyền phim '!X:X)</f>
        <v>0</v>
      </c>
      <c r="AL149" s="295">
        <f>COUNTIF('242.BQ Phim hợp tác'!$C:$C,'KK1. Movies'!AI149)</f>
        <v>0</v>
      </c>
      <c r="AM149" s="295">
        <f>COUNTIF('TK 15661.Bản quyền phim '!F:F,'KK1. Movies'!AI149)</f>
        <v>1</v>
      </c>
      <c r="AN149" s="296">
        <f t="shared" si="2"/>
        <v>1</v>
      </c>
      <c r="AO149" s="295"/>
      <c r="AP149" s="295"/>
      <c r="AQ149" s="295"/>
      <c r="AR149" s="295"/>
      <c r="AS149" s="295"/>
    </row>
    <row r="150" spans="1:45" s="296" customFormat="1" ht="26.4" x14ac:dyDescent="0.3">
      <c r="A150" s="292">
        <f>_xlfn.AGGREGATE(3,3,$D$7:D150)</f>
        <v>144</v>
      </c>
      <c r="B150" s="143" t="s">
        <v>1402</v>
      </c>
      <c r="C150" s="144" t="s">
        <v>1866</v>
      </c>
      <c r="D150" s="160" t="s">
        <v>1865</v>
      </c>
      <c r="E150" s="144" t="s">
        <v>1867</v>
      </c>
      <c r="F150" s="144" t="s">
        <v>511</v>
      </c>
      <c r="G150" s="164" t="s">
        <v>1372</v>
      </c>
      <c r="H150" s="144" t="s">
        <v>1530</v>
      </c>
      <c r="I150" s="162">
        <v>2023</v>
      </c>
      <c r="J150" s="150" t="s">
        <v>161</v>
      </c>
      <c r="K150" s="162">
        <v>152</v>
      </c>
      <c r="L150" s="148">
        <v>45383</v>
      </c>
      <c r="M150" s="165">
        <v>46477</v>
      </c>
      <c r="N150" s="157">
        <v>45541</v>
      </c>
      <c r="O150" s="145" t="s">
        <v>584</v>
      </c>
      <c r="P150" s="159">
        <v>12</v>
      </c>
      <c r="Q150" s="162" t="s">
        <v>20</v>
      </c>
      <c r="R150" s="145" t="s">
        <v>18</v>
      </c>
      <c r="S150" s="145" t="s">
        <v>18</v>
      </c>
      <c r="T150" s="145" t="s">
        <v>18</v>
      </c>
      <c r="U150" s="145" t="s">
        <v>18</v>
      </c>
      <c r="V150" s="145" t="s">
        <v>18</v>
      </c>
      <c r="W150" s="145" t="s">
        <v>18</v>
      </c>
      <c r="X150" s="145" t="s">
        <v>18</v>
      </c>
      <c r="Y150" s="159" t="s">
        <v>20</v>
      </c>
      <c r="Z150" s="148">
        <v>45383</v>
      </c>
      <c r="AA150" s="165">
        <v>46477</v>
      </c>
      <c r="AB150" s="162">
        <v>24</v>
      </c>
      <c r="AC150" s="293">
        <v>13</v>
      </c>
      <c r="AD150" s="145" t="s">
        <v>18</v>
      </c>
      <c r="AE150" s="145" t="s">
        <v>18</v>
      </c>
      <c r="AF150" s="150"/>
      <c r="AG150" s="155" t="s">
        <v>17</v>
      </c>
      <c r="AH150" s="294" t="s">
        <v>1866</v>
      </c>
      <c r="AI150" s="300" t="s">
        <v>1865</v>
      </c>
      <c r="AJ150" s="195">
        <f>SUMIF('TK 15661.Bản quyền phim '!F:F,'KK1. Movies'!D150,'TK 15661.Bản quyền phim '!X:X)</f>
        <v>33333492</v>
      </c>
      <c r="AK150" s="195">
        <f>SUMIF('TK 15661.Bản quyền phim '!F:F,'KK1. Movies'!AI150,'TK 15661.Bản quyền phim '!X:X)</f>
        <v>33333492</v>
      </c>
      <c r="AL150" s="295">
        <f>COUNTIF('242.BQ Phim hợp tác'!$C:$C,'KK1. Movies'!AI150)</f>
        <v>0</v>
      </c>
      <c r="AM150" s="295">
        <f>COUNTIF('TK 15661.Bản quyền phim '!F:F,'KK1. Movies'!AI150)</f>
        <v>1</v>
      </c>
      <c r="AN150" s="296">
        <f t="shared" si="2"/>
        <v>1</v>
      </c>
      <c r="AO150" s="295"/>
      <c r="AP150" s="295"/>
      <c r="AQ150" s="295"/>
      <c r="AR150" s="295"/>
      <c r="AS150" s="295"/>
    </row>
    <row r="151" spans="1:45" s="296" customFormat="1" x14ac:dyDescent="0.3">
      <c r="A151" s="292">
        <f>_xlfn.AGGREGATE(3,3,$D$7:D151)</f>
        <v>145</v>
      </c>
      <c r="B151" s="143"/>
      <c r="C151" s="341" t="s">
        <v>1864</v>
      </c>
      <c r="D151" s="160" t="s">
        <v>1862</v>
      </c>
      <c r="E151" s="144" t="s">
        <v>1863</v>
      </c>
      <c r="F151" s="158" t="s">
        <v>1259</v>
      </c>
      <c r="G151" s="158" t="s">
        <v>198</v>
      </c>
      <c r="H151" s="164" t="s">
        <v>1208</v>
      </c>
      <c r="I151" s="162">
        <v>2022</v>
      </c>
      <c r="J151" s="159" t="s">
        <v>196</v>
      </c>
      <c r="K151" s="162">
        <v>103</v>
      </c>
      <c r="L151" s="165">
        <v>45792</v>
      </c>
      <c r="M151" s="165">
        <v>46521</v>
      </c>
      <c r="N151" s="157"/>
      <c r="O151" s="145"/>
      <c r="P151" s="159">
        <v>0</v>
      </c>
      <c r="Q151" s="159" t="s">
        <v>20</v>
      </c>
      <c r="R151" s="145" t="s">
        <v>18</v>
      </c>
      <c r="S151" s="159" t="s">
        <v>18</v>
      </c>
      <c r="T151" s="145" t="s">
        <v>18</v>
      </c>
      <c r="U151" s="159" t="s">
        <v>20</v>
      </c>
      <c r="V151" s="159" t="s">
        <v>20</v>
      </c>
      <c r="W151" s="159" t="s">
        <v>20</v>
      </c>
      <c r="X151" s="159" t="s">
        <v>18</v>
      </c>
      <c r="Y151" s="159" t="s">
        <v>18</v>
      </c>
      <c r="Z151" s="165">
        <v>45792</v>
      </c>
      <c r="AA151" s="189">
        <v>46521</v>
      </c>
      <c r="AB151" s="159">
        <v>6</v>
      </c>
      <c r="AC151" s="293">
        <v>1</v>
      </c>
      <c r="AD151" s="145" t="s">
        <v>18</v>
      </c>
      <c r="AE151" s="145" t="s">
        <v>18</v>
      </c>
      <c r="AF151" s="150"/>
      <c r="AG151" s="155" t="s">
        <v>17</v>
      </c>
      <c r="AH151" s="294"/>
      <c r="AI151" s="300" t="s">
        <v>1862</v>
      </c>
      <c r="AJ151" s="195">
        <f>SUMIF('TK 15661.Bản quyền phim '!F:F,'KK1. Movies'!D151,'TK 15661.Bản quyền phim '!X:X)</f>
        <v>39258450</v>
      </c>
      <c r="AK151" s="195">
        <f>SUMIF('TK 15661.Bản quyền phim '!F:F,'KK1. Movies'!AI151,'TK 15661.Bản quyền phim '!X:X)</f>
        <v>39258450</v>
      </c>
      <c r="AL151" s="295">
        <f>COUNTIF('242.BQ Phim hợp tác'!$C:$C,'KK1. Movies'!AI151)</f>
        <v>0</v>
      </c>
      <c r="AM151" s="295">
        <f>COUNTIF('TK 15661.Bản quyền phim '!F:F,'KK1. Movies'!AI151)</f>
        <v>1</v>
      </c>
      <c r="AN151" s="296">
        <f t="shared" si="2"/>
        <v>1</v>
      </c>
      <c r="AO151" s="295"/>
      <c r="AP151" s="295"/>
      <c r="AQ151" s="295"/>
      <c r="AR151" s="295"/>
      <c r="AS151" s="295"/>
    </row>
    <row r="152" spans="1:45" s="296" customFormat="1" ht="39.6" x14ac:dyDescent="0.3">
      <c r="A152" s="292">
        <f>_xlfn.AGGREGATE(3,3,$D$7:D152)</f>
        <v>146</v>
      </c>
      <c r="B152" s="143" t="s">
        <v>1402</v>
      </c>
      <c r="C152" s="144" t="s">
        <v>1861</v>
      </c>
      <c r="D152" s="144" t="s">
        <v>1860</v>
      </c>
      <c r="E152" s="144" t="s">
        <v>1859</v>
      </c>
      <c r="F152" s="144" t="s">
        <v>1013</v>
      </c>
      <c r="G152" s="144" t="s">
        <v>1056</v>
      </c>
      <c r="H152" s="144" t="s">
        <v>1567</v>
      </c>
      <c r="I152" s="297">
        <v>2020</v>
      </c>
      <c r="J152" s="297" t="s">
        <v>178</v>
      </c>
      <c r="K152" s="297">
        <v>75</v>
      </c>
      <c r="L152" s="148">
        <v>44562</v>
      </c>
      <c r="M152" s="301">
        <v>46387</v>
      </c>
      <c r="N152" s="302">
        <v>44510</v>
      </c>
      <c r="O152" s="145" t="s">
        <v>584</v>
      </c>
      <c r="P152" s="350" t="s">
        <v>1566</v>
      </c>
      <c r="Q152" s="306" t="s">
        <v>20</v>
      </c>
      <c r="R152" s="145" t="s">
        <v>18</v>
      </c>
      <c r="S152" s="145" t="s">
        <v>18</v>
      </c>
      <c r="T152" s="145" t="s">
        <v>18</v>
      </c>
      <c r="U152" s="145" t="s">
        <v>18</v>
      </c>
      <c r="V152" s="145" t="s">
        <v>18</v>
      </c>
      <c r="W152" s="145" t="s">
        <v>18</v>
      </c>
      <c r="X152" s="145" t="s">
        <v>18</v>
      </c>
      <c r="Y152" s="145" t="s">
        <v>18</v>
      </c>
      <c r="Z152" s="148">
        <v>44562</v>
      </c>
      <c r="AA152" s="301">
        <v>46387</v>
      </c>
      <c r="AB152" s="141" t="s">
        <v>1394</v>
      </c>
      <c r="AC152" s="293">
        <v>45</v>
      </c>
      <c r="AD152" s="145" t="s">
        <v>18</v>
      </c>
      <c r="AE152" s="145" t="s">
        <v>18</v>
      </c>
      <c r="AF152" s="150"/>
      <c r="AG152" s="155" t="s">
        <v>17</v>
      </c>
      <c r="AH152" s="294"/>
      <c r="AI152" s="198" t="s">
        <v>1858</v>
      </c>
      <c r="AJ152" s="195">
        <f>SUMIF('TK 15661.Bản quyền phim '!F:F,'KK1. Movies'!D152,'TK 15661.Bản quyền phim '!X:X)</f>
        <v>0</v>
      </c>
      <c r="AK152" s="195">
        <f>SUMIF('TK 15661.Bản quyền phim '!F:F,'KK1. Movies'!AI152,'TK 15661.Bản quyền phim '!X:X)</f>
        <v>0</v>
      </c>
      <c r="AL152" s="295">
        <f>COUNTIF('242.BQ Phim hợp tác'!$C:$C,'KK1. Movies'!AI152)</f>
        <v>0</v>
      </c>
      <c r="AM152" s="295">
        <f>COUNTIF('TK 15661.Bản quyền phim '!F:F,'KK1. Movies'!AI152)</f>
        <v>1</v>
      </c>
      <c r="AN152" s="296">
        <f t="shared" si="2"/>
        <v>1</v>
      </c>
      <c r="AO152" s="295"/>
      <c r="AP152" s="295"/>
      <c r="AQ152" s="295"/>
      <c r="AR152" s="295"/>
      <c r="AS152" s="295"/>
    </row>
    <row r="153" spans="1:45" s="296" customFormat="1" ht="26.4" x14ac:dyDescent="0.3">
      <c r="A153" s="292">
        <f>_xlfn.AGGREGATE(3,3,$D$7:D153)</f>
        <v>147</v>
      </c>
      <c r="B153" s="143" t="s">
        <v>1422</v>
      </c>
      <c r="C153" s="144" t="s">
        <v>1857</v>
      </c>
      <c r="D153" s="144" t="s">
        <v>1856</v>
      </c>
      <c r="E153" s="144" t="s">
        <v>1855</v>
      </c>
      <c r="F153" s="144" t="s">
        <v>381</v>
      </c>
      <c r="G153" s="144" t="s">
        <v>1372</v>
      </c>
      <c r="H153" s="144" t="s">
        <v>1854</v>
      </c>
      <c r="I153" s="297">
        <v>2021</v>
      </c>
      <c r="J153" s="145" t="s">
        <v>88</v>
      </c>
      <c r="K153" s="297">
        <v>90</v>
      </c>
      <c r="L153" s="148">
        <v>44885</v>
      </c>
      <c r="M153" s="148">
        <v>46345</v>
      </c>
      <c r="N153" s="301">
        <v>44890</v>
      </c>
      <c r="O153" s="145" t="s">
        <v>584</v>
      </c>
      <c r="P153" s="154" t="s">
        <v>1853</v>
      </c>
      <c r="Q153" s="150" t="s">
        <v>20</v>
      </c>
      <c r="R153" s="145" t="s">
        <v>18</v>
      </c>
      <c r="S153" s="145" t="s">
        <v>18</v>
      </c>
      <c r="T153" s="145" t="s">
        <v>18</v>
      </c>
      <c r="U153" s="145" t="s">
        <v>18</v>
      </c>
      <c r="V153" s="145" t="s">
        <v>18</v>
      </c>
      <c r="W153" s="145" t="s">
        <v>18</v>
      </c>
      <c r="X153" s="145" t="s">
        <v>18</v>
      </c>
      <c r="Y153" s="145" t="s">
        <v>18</v>
      </c>
      <c r="Z153" s="148">
        <v>44885</v>
      </c>
      <c r="AA153" s="148">
        <v>46345</v>
      </c>
      <c r="AB153" s="141" t="s">
        <v>1394</v>
      </c>
      <c r="AC153" s="293">
        <v>45</v>
      </c>
      <c r="AD153" s="145" t="s">
        <v>18</v>
      </c>
      <c r="AE153" s="145" t="s">
        <v>18</v>
      </c>
      <c r="AF153" s="150"/>
      <c r="AG153" s="155" t="s">
        <v>17</v>
      </c>
      <c r="AH153" s="294"/>
      <c r="AI153" s="300" t="s">
        <v>1852</v>
      </c>
      <c r="AJ153" s="195">
        <f>SUMIF('TK 15661.Bản quyền phim '!F:F,'KK1. Movies'!D153,'TK 15661.Bản quyền phim '!X:X)</f>
        <v>0</v>
      </c>
      <c r="AK153" s="195">
        <f>SUMIF('TK 15661.Bản quyền phim '!F:F,'KK1. Movies'!AI153,'TK 15661.Bản quyền phim '!X:X)</f>
        <v>108809523.79999997</v>
      </c>
      <c r="AL153" s="295">
        <f>COUNTIF('242.BQ Phim hợp tác'!$C:$C,'KK1. Movies'!AI153)</f>
        <v>0</v>
      </c>
      <c r="AM153" s="295">
        <f>COUNTIF('TK 15661.Bản quyền phim '!F:F,'KK1. Movies'!AI153)</f>
        <v>1</v>
      </c>
      <c r="AN153" s="296">
        <f t="shared" si="2"/>
        <v>1</v>
      </c>
      <c r="AO153" s="295"/>
      <c r="AP153" s="295"/>
      <c r="AQ153" s="295"/>
      <c r="AR153" s="295"/>
      <c r="AS153" s="295"/>
    </row>
    <row r="154" spans="1:45" s="296" customFormat="1" ht="26.4" x14ac:dyDescent="0.3">
      <c r="A154" s="292">
        <f>_xlfn.AGGREGATE(3,3,$D$7:D154)</f>
        <v>148</v>
      </c>
      <c r="B154" s="156" t="s">
        <v>1145</v>
      </c>
      <c r="C154" s="144" t="s">
        <v>1849</v>
      </c>
      <c r="D154" s="160" t="s">
        <v>1851</v>
      </c>
      <c r="E154" s="142" t="s">
        <v>1850</v>
      </c>
      <c r="F154" s="158" t="s">
        <v>561</v>
      </c>
      <c r="G154" s="158" t="s">
        <v>198</v>
      </c>
      <c r="H154" s="164" t="s">
        <v>1208</v>
      </c>
      <c r="I154" s="159">
        <v>2014</v>
      </c>
      <c r="J154" s="159" t="s">
        <v>196</v>
      </c>
      <c r="K154" s="159">
        <v>123</v>
      </c>
      <c r="L154" s="163">
        <v>45714</v>
      </c>
      <c r="M154" s="148">
        <v>46443</v>
      </c>
      <c r="N154" s="157" t="s">
        <v>1145</v>
      </c>
      <c r="O154" s="145"/>
      <c r="P154" s="159"/>
      <c r="Q154" s="162" t="s">
        <v>20</v>
      </c>
      <c r="R154" s="145" t="s">
        <v>18</v>
      </c>
      <c r="S154" s="162" t="s">
        <v>18</v>
      </c>
      <c r="T154" s="145" t="s">
        <v>18</v>
      </c>
      <c r="U154" s="159" t="s">
        <v>20</v>
      </c>
      <c r="V154" s="159" t="s">
        <v>20</v>
      </c>
      <c r="W154" s="159" t="s">
        <v>20</v>
      </c>
      <c r="X154" s="162" t="s">
        <v>18</v>
      </c>
      <c r="Y154" s="159" t="s">
        <v>20</v>
      </c>
      <c r="Z154" s="165">
        <v>45714</v>
      </c>
      <c r="AA154" s="188">
        <v>46443</v>
      </c>
      <c r="AB154" s="159">
        <v>5</v>
      </c>
      <c r="AC154" s="293">
        <v>3</v>
      </c>
      <c r="AD154" s="145" t="s">
        <v>18</v>
      </c>
      <c r="AE154" s="145" t="s">
        <v>18</v>
      </c>
      <c r="AF154" s="150"/>
      <c r="AG154" s="155" t="s">
        <v>17</v>
      </c>
      <c r="AH154" s="294" t="s">
        <v>1849</v>
      </c>
      <c r="AI154" s="198" t="s">
        <v>1848</v>
      </c>
      <c r="AJ154" s="195">
        <f>SUMIF('TK 15661.Bản quyền phim '!F:F,'KK1. Movies'!D154,'TK 15661.Bản quyền phim '!X:X)</f>
        <v>0</v>
      </c>
      <c r="AK154" s="195">
        <f>SUMIF('TK 15661.Bản quyền phim '!F:F,'KK1. Movies'!AI154,'TK 15661.Bản quyền phim '!X:X)</f>
        <v>42688800</v>
      </c>
      <c r="AL154" s="295">
        <f>COUNTIF('242.BQ Phim hợp tác'!$C:$C,'KK1. Movies'!AI154)</f>
        <v>0</v>
      </c>
      <c r="AM154" s="295">
        <f>COUNTIF('TK 15661.Bản quyền phim '!F:F,'KK1. Movies'!AI154)</f>
        <v>1</v>
      </c>
      <c r="AN154" s="296">
        <f t="shared" si="2"/>
        <v>1</v>
      </c>
      <c r="AO154" s="295"/>
      <c r="AP154" s="295"/>
      <c r="AQ154" s="295"/>
      <c r="AR154" s="295"/>
      <c r="AS154" s="295"/>
    </row>
    <row r="155" spans="1:45" s="296" customFormat="1" x14ac:dyDescent="0.3">
      <c r="A155" s="292">
        <f>_xlfn.AGGREGATE(3,3,$D$7:D155)</f>
        <v>149</v>
      </c>
      <c r="B155" s="143" t="s">
        <v>1723</v>
      </c>
      <c r="C155" s="144" t="s">
        <v>1847</v>
      </c>
      <c r="D155" s="160" t="s">
        <v>1845</v>
      </c>
      <c r="E155" s="144" t="s">
        <v>1846</v>
      </c>
      <c r="F155" s="144" t="s">
        <v>350</v>
      </c>
      <c r="G155" s="164" t="s">
        <v>1372</v>
      </c>
      <c r="H155" s="144" t="s">
        <v>1530</v>
      </c>
      <c r="I155" s="162">
        <v>2021</v>
      </c>
      <c r="J155" s="162" t="s">
        <v>178</v>
      </c>
      <c r="K155" s="162">
        <v>104</v>
      </c>
      <c r="L155" s="148">
        <v>45539</v>
      </c>
      <c r="M155" s="165">
        <v>46633</v>
      </c>
      <c r="N155" s="157">
        <v>45545</v>
      </c>
      <c r="O155" s="145" t="s">
        <v>584</v>
      </c>
      <c r="P155" s="159">
        <v>12</v>
      </c>
      <c r="Q155" s="162" t="s">
        <v>20</v>
      </c>
      <c r="R155" s="145" t="s">
        <v>18</v>
      </c>
      <c r="S155" s="145" t="s">
        <v>18</v>
      </c>
      <c r="T155" s="145" t="s">
        <v>18</v>
      </c>
      <c r="U155" s="145" t="s">
        <v>18</v>
      </c>
      <c r="V155" s="145" t="s">
        <v>18</v>
      </c>
      <c r="W155" s="145" t="s">
        <v>18</v>
      </c>
      <c r="X155" s="145" t="s">
        <v>18</v>
      </c>
      <c r="Y155" s="159" t="s">
        <v>20</v>
      </c>
      <c r="Z155" s="148">
        <v>45539</v>
      </c>
      <c r="AA155" s="165">
        <v>46633</v>
      </c>
      <c r="AB155" s="162">
        <v>24</v>
      </c>
      <c r="AC155" s="293">
        <v>9</v>
      </c>
      <c r="AD155" s="145" t="s">
        <v>18</v>
      </c>
      <c r="AE155" s="145" t="s">
        <v>18</v>
      </c>
      <c r="AF155" s="150"/>
      <c r="AG155" s="155" t="s">
        <v>17</v>
      </c>
      <c r="AH155" s="294"/>
      <c r="AI155" s="300" t="s">
        <v>1845</v>
      </c>
      <c r="AJ155" s="195">
        <f>SUMIF('TK 15661.Bản quyền phim '!F:F,'KK1. Movies'!D155,'TK 15661.Bản quyền phim '!X:X)</f>
        <v>33333492</v>
      </c>
      <c r="AK155" s="195">
        <f>SUMIF('TK 15661.Bản quyền phim '!F:F,'KK1. Movies'!AI155,'TK 15661.Bản quyền phim '!X:X)</f>
        <v>33333492</v>
      </c>
      <c r="AL155" s="295">
        <f>COUNTIF('242.BQ Phim hợp tác'!$C:$C,'KK1. Movies'!AI155)</f>
        <v>0</v>
      </c>
      <c r="AM155" s="295">
        <f>COUNTIF('TK 15661.Bản quyền phim '!F:F,'KK1. Movies'!AI155)</f>
        <v>1</v>
      </c>
      <c r="AN155" s="296">
        <f t="shared" si="2"/>
        <v>1</v>
      </c>
      <c r="AO155" s="295"/>
      <c r="AP155" s="295"/>
      <c r="AQ155" s="295"/>
      <c r="AR155" s="295"/>
      <c r="AS155" s="295"/>
    </row>
    <row r="156" spans="1:45" s="296" customFormat="1" ht="26.4" x14ac:dyDescent="0.3">
      <c r="A156" s="292">
        <f>_xlfn.AGGREGATE(3,3,$D$7:D156)</f>
        <v>150</v>
      </c>
      <c r="B156" s="143"/>
      <c r="C156" s="341" t="s">
        <v>1844</v>
      </c>
      <c r="D156" s="160" t="s">
        <v>1841</v>
      </c>
      <c r="E156" s="166" t="s">
        <v>1843</v>
      </c>
      <c r="F156" s="158" t="s">
        <v>1842</v>
      </c>
      <c r="G156" s="158" t="s">
        <v>198</v>
      </c>
      <c r="H156" s="164" t="s">
        <v>1208</v>
      </c>
      <c r="I156" s="162">
        <v>2022</v>
      </c>
      <c r="J156" s="159" t="s">
        <v>196</v>
      </c>
      <c r="K156" s="162">
        <v>107</v>
      </c>
      <c r="L156" s="165">
        <v>45799</v>
      </c>
      <c r="M156" s="165">
        <v>46528</v>
      </c>
      <c r="N156" s="157"/>
      <c r="O156" s="145"/>
      <c r="P156" s="159">
        <v>0</v>
      </c>
      <c r="Q156" s="159" t="s">
        <v>20</v>
      </c>
      <c r="R156" s="145" t="s">
        <v>18</v>
      </c>
      <c r="S156" s="159" t="s">
        <v>18</v>
      </c>
      <c r="T156" s="145" t="s">
        <v>18</v>
      </c>
      <c r="U156" s="159" t="s">
        <v>20</v>
      </c>
      <c r="V156" s="159" t="s">
        <v>20</v>
      </c>
      <c r="W156" s="159" t="s">
        <v>20</v>
      </c>
      <c r="X156" s="159" t="s">
        <v>18</v>
      </c>
      <c r="Y156" s="159" t="s">
        <v>18</v>
      </c>
      <c r="Z156" s="165">
        <v>45799</v>
      </c>
      <c r="AA156" s="189">
        <v>46528</v>
      </c>
      <c r="AB156" s="159">
        <v>6</v>
      </c>
      <c r="AC156" s="293">
        <v>1</v>
      </c>
      <c r="AD156" s="145" t="s">
        <v>18</v>
      </c>
      <c r="AE156" s="145" t="s">
        <v>18</v>
      </c>
      <c r="AF156" s="150"/>
      <c r="AG156" s="155" t="s">
        <v>17</v>
      </c>
      <c r="AH156" s="294"/>
      <c r="AI156" s="300" t="s">
        <v>1841</v>
      </c>
      <c r="AJ156" s="195">
        <f>SUMIF('TK 15661.Bản quyền phim '!F:F,'KK1. Movies'!D156,'TK 15661.Bản quyền phim '!X:X)</f>
        <v>39258450</v>
      </c>
      <c r="AK156" s="195">
        <f>SUMIF('TK 15661.Bản quyền phim '!F:F,'KK1. Movies'!AI156,'TK 15661.Bản quyền phim '!X:X)</f>
        <v>39258450</v>
      </c>
      <c r="AL156" s="295">
        <f>COUNTIF('242.BQ Phim hợp tác'!$C:$C,'KK1. Movies'!AI156)</f>
        <v>0</v>
      </c>
      <c r="AM156" s="295">
        <f>COUNTIF('TK 15661.Bản quyền phim '!F:F,'KK1. Movies'!AI156)</f>
        <v>1</v>
      </c>
      <c r="AN156" s="296">
        <f t="shared" si="2"/>
        <v>1</v>
      </c>
      <c r="AO156" s="295"/>
      <c r="AP156" s="295"/>
      <c r="AQ156" s="295"/>
      <c r="AR156" s="295"/>
      <c r="AS156" s="295"/>
    </row>
    <row r="157" spans="1:45" s="296" customFormat="1" ht="26.4" x14ac:dyDescent="0.3">
      <c r="A157" s="292">
        <f>_xlfn.AGGREGATE(3,3,$D$7:D157)</f>
        <v>151</v>
      </c>
      <c r="B157" s="143" t="s">
        <v>1392</v>
      </c>
      <c r="C157" s="341" t="s">
        <v>1840</v>
      </c>
      <c r="D157" s="160" t="s">
        <v>1838</v>
      </c>
      <c r="E157" s="144" t="s">
        <v>1839</v>
      </c>
      <c r="F157" s="164" t="s">
        <v>1142</v>
      </c>
      <c r="G157" s="164" t="s">
        <v>198</v>
      </c>
      <c r="H157" s="164" t="s">
        <v>197</v>
      </c>
      <c r="I157" s="159">
        <v>2020</v>
      </c>
      <c r="J157" s="162" t="s">
        <v>196</v>
      </c>
      <c r="K157" s="159">
        <v>87</v>
      </c>
      <c r="L157" s="148">
        <v>45629</v>
      </c>
      <c r="M157" s="148">
        <v>46358</v>
      </c>
      <c r="N157" s="157">
        <v>45647</v>
      </c>
      <c r="O157" s="159" t="s">
        <v>132</v>
      </c>
      <c r="P157" s="159" t="s">
        <v>1513</v>
      </c>
      <c r="Q157" s="159" t="s">
        <v>20</v>
      </c>
      <c r="R157" s="145" t="s">
        <v>18</v>
      </c>
      <c r="S157" s="159" t="s">
        <v>18</v>
      </c>
      <c r="T157" s="159" t="s">
        <v>18</v>
      </c>
      <c r="U157" s="159" t="s">
        <v>20</v>
      </c>
      <c r="V157" s="159" t="s">
        <v>20</v>
      </c>
      <c r="W157" s="159" t="s">
        <v>20</v>
      </c>
      <c r="X157" s="159" t="s">
        <v>20</v>
      </c>
      <c r="Y157" s="159" t="s">
        <v>18</v>
      </c>
      <c r="Z157" s="148">
        <v>45629</v>
      </c>
      <c r="AA157" s="148">
        <v>46358</v>
      </c>
      <c r="AB157" s="162">
        <v>6</v>
      </c>
      <c r="AC157" s="162">
        <v>4</v>
      </c>
      <c r="AD157" s="145" t="s">
        <v>18</v>
      </c>
      <c r="AE157" s="145" t="s">
        <v>18</v>
      </c>
      <c r="AF157" s="150"/>
      <c r="AG157" s="155" t="s">
        <v>17</v>
      </c>
      <c r="AH157" s="294"/>
      <c r="AI157" s="299" t="s">
        <v>1838</v>
      </c>
      <c r="AJ157" s="195">
        <f>SUMIF('TK 15661.Bản quyền phim '!F:F,'KK1. Movies'!D157,'TK 15661.Bản quyền phim '!X:X)</f>
        <v>0</v>
      </c>
      <c r="AK157" s="195">
        <f>SUMIF('TK 15661.Bản quyền phim '!F:F,'KK1. Movies'!AI157,'TK 15661.Bản quyền phim '!X:X)</f>
        <v>0</v>
      </c>
      <c r="AL157" s="295">
        <f>COUNTIF('242.BQ Phim hợp tác'!$C:$C,'KK1. Movies'!AI157)</f>
        <v>0</v>
      </c>
      <c r="AM157" s="295">
        <f>COUNTIF('TK 15661.Bản quyền phim '!F:F,'KK1. Movies'!AI157)</f>
        <v>1</v>
      </c>
      <c r="AN157" s="296">
        <f t="shared" si="2"/>
        <v>1</v>
      </c>
      <c r="AO157" s="295"/>
      <c r="AP157" s="295"/>
      <c r="AQ157" s="295"/>
      <c r="AR157" s="295"/>
      <c r="AS157" s="295"/>
    </row>
    <row r="158" spans="1:45" s="296" customFormat="1" ht="52.8" x14ac:dyDescent="0.3">
      <c r="A158" s="292">
        <f>_xlfn.AGGREGATE(3,3,$D$7:D158)</f>
        <v>152</v>
      </c>
      <c r="B158" s="143" t="s">
        <v>1402</v>
      </c>
      <c r="C158" s="144" t="s">
        <v>1837</v>
      </c>
      <c r="D158" s="160" t="s">
        <v>1835</v>
      </c>
      <c r="E158" s="166" t="s">
        <v>1836</v>
      </c>
      <c r="F158" s="144" t="s">
        <v>350</v>
      </c>
      <c r="G158" s="158" t="s">
        <v>1141</v>
      </c>
      <c r="H158" s="144" t="s">
        <v>1140</v>
      </c>
      <c r="I158" s="159">
        <v>2020</v>
      </c>
      <c r="J158" s="159" t="s">
        <v>1283</v>
      </c>
      <c r="K158" s="159">
        <v>120</v>
      </c>
      <c r="L158" s="163">
        <v>45701</v>
      </c>
      <c r="M158" s="161">
        <v>46430</v>
      </c>
      <c r="N158" s="157"/>
      <c r="O158" s="145"/>
      <c r="P158" s="145"/>
      <c r="Q158" s="159" t="s">
        <v>20</v>
      </c>
      <c r="R158" s="159" t="s">
        <v>18</v>
      </c>
      <c r="S158" s="159" t="s">
        <v>18</v>
      </c>
      <c r="T158" s="145" t="s">
        <v>18</v>
      </c>
      <c r="U158" s="159" t="s">
        <v>20</v>
      </c>
      <c r="V158" s="159" t="s">
        <v>20</v>
      </c>
      <c r="W158" s="159" t="s">
        <v>20</v>
      </c>
      <c r="X158" s="159" t="s">
        <v>18</v>
      </c>
      <c r="Y158" s="159" t="s">
        <v>20</v>
      </c>
      <c r="Z158" s="161">
        <v>45701</v>
      </c>
      <c r="AA158" s="188">
        <v>46246</v>
      </c>
      <c r="AB158" s="159">
        <v>7</v>
      </c>
      <c r="AC158" s="293">
        <v>2</v>
      </c>
      <c r="AD158" s="145" t="s">
        <v>18</v>
      </c>
      <c r="AE158" s="145" t="s">
        <v>18</v>
      </c>
      <c r="AF158" s="150"/>
      <c r="AG158" s="155" t="s">
        <v>17</v>
      </c>
      <c r="AH158" s="294"/>
      <c r="AI158" s="300" t="s">
        <v>1835</v>
      </c>
      <c r="AJ158" s="195">
        <f>SUMIF('TK 15661.Bản quyền phim '!F:F,'KK1. Movies'!D158,'TK 15661.Bản quyền phim '!X:X)</f>
        <v>46627350</v>
      </c>
      <c r="AK158" s="195">
        <f>SUMIF('TK 15661.Bản quyền phim '!F:F,'KK1. Movies'!AI158,'TK 15661.Bản quyền phim '!X:X)</f>
        <v>46627350</v>
      </c>
      <c r="AL158" s="295">
        <f>COUNTIF('242.BQ Phim hợp tác'!$C:$C,'KK1. Movies'!AI158)</f>
        <v>0</v>
      </c>
      <c r="AM158" s="295">
        <f>COUNTIF('TK 15661.Bản quyền phim '!F:F,'KK1. Movies'!AI158)</f>
        <v>1</v>
      </c>
      <c r="AN158" s="296">
        <f t="shared" si="2"/>
        <v>1</v>
      </c>
      <c r="AO158" s="295"/>
      <c r="AP158" s="295"/>
      <c r="AQ158" s="295"/>
      <c r="AR158" s="295"/>
      <c r="AS158" s="295"/>
    </row>
    <row r="159" spans="1:45" s="296" customFormat="1" ht="26.4" x14ac:dyDescent="0.3">
      <c r="A159" s="292">
        <f>_xlfn.AGGREGATE(3,3,$D$7:D159)</f>
        <v>153</v>
      </c>
      <c r="B159" s="156" t="s">
        <v>1145</v>
      </c>
      <c r="C159" s="144" t="s">
        <v>1834</v>
      </c>
      <c r="D159" s="160" t="s">
        <v>1831</v>
      </c>
      <c r="E159" s="160" t="s">
        <v>1833</v>
      </c>
      <c r="F159" s="164" t="s">
        <v>1832</v>
      </c>
      <c r="G159" s="164" t="s">
        <v>1372</v>
      </c>
      <c r="H159" s="144" t="s">
        <v>1371</v>
      </c>
      <c r="I159" s="162">
        <v>2017</v>
      </c>
      <c r="J159" s="162" t="s">
        <v>178</v>
      </c>
      <c r="K159" s="162">
        <v>130</v>
      </c>
      <c r="L159" s="163">
        <v>45800</v>
      </c>
      <c r="M159" s="148">
        <v>46660</v>
      </c>
      <c r="N159" s="157" t="s">
        <v>1145</v>
      </c>
      <c r="O159" s="145"/>
      <c r="P159" s="159">
        <v>12</v>
      </c>
      <c r="Q159" s="162" t="s">
        <v>20</v>
      </c>
      <c r="R159" s="145" t="s">
        <v>18</v>
      </c>
      <c r="S159" s="159" t="s">
        <v>18</v>
      </c>
      <c r="T159" s="145" t="s">
        <v>18</v>
      </c>
      <c r="U159" s="159" t="s">
        <v>18</v>
      </c>
      <c r="V159" s="159" t="s">
        <v>18</v>
      </c>
      <c r="W159" s="159" t="s">
        <v>18</v>
      </c>
      <c r="X159" s="159" t="s">
        <v>18</v>
      </c>
      <c r="Y159" s="159" t="s">
        <v>20</v>
      </c>
      <c r="Z159" s="165">
        <v>45800</v>
      </c>
      <c r="AA159" s="148">
        <v>46660</v>
      </c>
      <c r="AB159" s="162">
        <v>24</v>
      </c>
      <c r="AC159" s="293">
        <v>3</v>
      </c>
      <c r="AD159" s="145" t="s">
        <v>18</v>
      </c>
      <c r="AE159" s="145" t="s">
        <v>18</v>
      </c>
      <c r="AF159" s="150"/>
      <c r="AG159" s="155" t="s">
        <v>17</v>
      </c>
      <c r="AH159" s="294"/>
      <c r="AI159" s="300" t="s">
        <v>1831</v>
      </c>
      <c r="AJ159" s="195">
        <f>SUMIF('TK 15661.Bản quyền phim '!F:F,'KK1. Movies'!D159,'TK 15661.Bản quyền phim '!X:X)</f>
        <v>59932952.666666672</v>
      </c>
      <c r="AK159" s="195">
        <f>SUMIF('TK 15661.Bản quyền phim '!F:F,'KK1. Movies'!AI159,'TK 15661.Bản quyền phim '!X:X)</f>
        <v>59932952.666666672</v>
      </c>
      <c r="AL159" s="295">
        <f>COUNTIF('242.BQ Phim hợp tác'!$C:$C,'KK1. Movies'!AI159)</f>
        <v>0</v>
      </c>
      <c r="AM159" s="295">
        <f>COUNTIF('TK 15661.Bản quyền phim '!F:F,'KK1. Movies'!AI159)</f>
        <v>1</v>
      </c>
      <c r="AN159" s="296">
        <f t="shared" si="2"/>
        <v>1</v>
      </c>
      <c r="AO159" s="295"/>
      <c r="AP159" s="295"/>
      <c r="AQ159" s="295"/>
      <c r="AR159" s="295"/>
      <c r="AS159" s="295"/>
    </row>
    <row r="160" spans="1:45" s="296" customFormat="1" x14ac:dyDescent="0.3">
      <c r="A160" s="292">
        <f>_xlfn.AGGREGATE(3,3,$D$7:D160)</f>
        <v>154</v>
      </c>
      <c r="B160" s="166" t="s">
        <v>1402</v>
      </c>
      <c r="C160" s="144" t="s">
        <v>1830</v>
      </c>
      <c r="D160" s="160" t="s">
        <v>1828</v>
      </c>
      <c r="E160" s="144" t="s">
        <v>1829</v>
      </c>
      <c r="F160" s="143" t="s">
        <v>436</v>
      </c>
      <c r="G160" s="164" t="s">
        <v>1372</v>
      </c>
      <c r="H160" s="144" t="s">
        <v>1530</v>
      </c>
      <c r="I160" s="162">
        <v>2023</v>
      </c>
      <c r="J160" s="162" t="s">
        <v>178</v>
      </c>
      <c r="K160" s="162">
        <v>95</v>
      </c>
      <c r="L160" s="148">
        <v>45525</v>
      </c>
      <c r="M160" s="165">
        <v>46619</v>
      </c>
      <c r="N160" s="157">
        <v>45531</v>
      </c>
      <c r="O160" s="145" t="s">
        <v>584</v>
      </c>
      <c r="P160" s="159">
        <v>12</v>
      </c>
      <c r="Q160" s="162" t="s">
        <v>20</v>
      </c>
      <c r="R160" s="145" t="s">
        <v>18</v>
      </c>
      <c r="S160" s="145" t="s">
        <v>18</v>
      </c>
      <c r="T160" s="145" t="s">
        <v>18</v>
      </c>
      <c r="U160" s="145" t="s">
        <v>18</v>
      </c>
      <c r="V160" s="145" t="s">
        <v>18</v>
      </c>
      <c r="W160" s="145" t="s">
        <v>18</v>
      </c>
      <c r="X160" s="145" t="s">
        <v>18</v>
      </c>
      <c r="Y160" s="159" t="s">
        <v>20</v>
      </c>
      <c r="Z160" s="148">
        <v>45525</v>
      </c>
      <c r="AA160" s="165">
        <v>46619</v>
      </c>
      <c r="AB160" s="162">
        <v>24</v>
      </c>
      <c r="AC160" s="293">
        <v>6</v>
      </c>
      <c r="AD160" s="145" t="s">
        <v>18</v>
      </c>
      <c r="AE160" s="145" t="s">
        <v>18</v>
      </c>
      <c r="AF160" s="150"/>
      <c r="AG160" s="155" t="s">
        <v>17</v>
      </c>
      <c r="AH160" s="294"/>
      <c r="AI160" s="300" t="s">
        <v>1828</v>
      </c>
      <c r="AJ160" s="195">
        <f>SUMIF('TK 15661.Bản quyền phim '!F:F,'KK1. Movies'!D160,'TK 15661.Bản quyền phim '!X:X)</f>
        <v>33333492</v>
      </c>
      <c r="AK160" s="195">
        <f>SUMIF('TK 15661.Bản quyền phim '!F:F,'KK1. Movies'!AI160,'TK 15661.Bản quyền phim '!X:X)</f>
        <v>33333492</v>
      </c>
      <c r="AL160" s="295">
        <f>COUNTIF('242.BQ Phim hợp tác'!$C:$C,'KK1. Movies'!AI160)</f>
        <v>0</v>
      </c>
      <c r="AM160" s="295">
        <f>COUNTIF('TK 15661.Bản quyền phim '!F:F,'KK1. Movies'!AI160)</f>
        <v>1</v>
      </c>
      <c r="AN160" s="296">
        <f t="shared" si="2"/>
        <v>1</v>
      </c>
      <c r="AO160" s="295"/>
      <c r="AP160" s="295"/>
      <c r="AQ160" s="295"/>
      <c r="AR160" s="295"/>
      <c r="AS160" s="295"/>
    </row>
    <row r="161" spans="1:45" s="296" customFormat="1" ht="26.4" x14ac:dyDescent="0.3">
      <c r="A161" s="292">
        <f>_xlfn.AGGREGATE(3,3,$D$7:D161)</f>
        <v>155</v>
      </c>
      <c r="B161" s="143" t="s">
        <v>1402</v>
      </c>
      <c r="C161" s="341" t="s">
        <v>1827</v>
      </c>
      <c r="D161" s="160" t="s">
        <v>1825</v>
      </c>
      <c r="E161" s="166" t="s">
        <v>1826</v>
      </c>
      <c r="F161" s="164" t="s">
        <v>381</v>
      </c>
      <c r="G161" s="164" t="s">
        <v>198</v>
      </c>
      <c r="H161" s="164" t="s">
        <v>197</v>
      </c>
      <c r="I161" s="159">
        <v>2021</v>
      </c>
      <c r="J161" s="162" t="s">
        <v>196</v>
      </c>
      <c r="K161" s="159">
        <v>94</v>
      </c>
      <c r="L161" s="148">
        <v>45645</v>
      </c>
      <c r="M161" s="148">
        <v>46374</v>
      </c>
      <c r="N161" s="157">
        <v>45617</v>
      </c>
      <c r="O161" s="159" t="s">
        <v>553</v>
      </c>
      <c r="P161" s="168">
        <v>12</v>
      </c>
      <c r="Q161" s="159" t="s">
        <v>20</v>
      </c>
      <c r="R161" s="145" t="s">
        <v>18</v>
      </c>
      <c r="S161" s="159" t="s">
        <v>18</v>
      </c>
      <c r="T161" s="145" t="s">
        <v>18</v>
      </c>
      <c r="U161" s="159" t="s">
        <v>20</v>
      </c>
      <c r="V161" s="159" t="s">
        <v>20</v>
      </c>
      <c r="W161" s="159" t="s">
        <v>20</v>
      </c>
      <c r="X161" s="159" t="s">
        <v>20</v>
      </c>
      <c r="Y161" s="159" t="s">
        <v>18</v>
      </c>
      <c r="Z161" s="148">
        <v>45645</v>
      </c>
      <c r="AA161" s="148">
        <v>46374</v>
      </c>
      <c r="AB161" s="162">
        <v>6</v>
      </c>
      <c r="AC161" s="160">
        <v>3</v>
      </c>
      <c r="AD161" s="145" t="s">
        <v>18</v>
      </c>
      <c r="AE161" s="145" t="s">
        <v>18</v>
      </c>
      <c r="AF161" s="150"/>
      <c r="AG161" s="155" t="s">
        <v>17</v>
      </c>
      <c r="AH161" s="294"/>
      <c r="AI161" s="299" t="s">
        <v>1825</v>
      </c>
      <c r="AJ161" s="195">
        <f>SUMIF('TK 15661.Bản quyền phim '!F:F,'KK1. Movies'!D161,'TK 15661.Bản quyền phim '!X:X)</f>
        <v>0</v>
      </c>
      <c r="AK161" s="195">
        <f>SUMIF('TK 15661.Bản quyền phim '!F:F,'KK1. Movies'!AI161,'TK 15661.Bản quyền phim '!X:X)</f>
        <v>0</v>
      </c>
      <c r="AL161" s="295">
        <f>COUNTIF('242.BQ Phim hợp tác'!$C:$C,'KK1. Movies'!AI161)</f>
        <v>0</v>
      </c>
      <c r="AM161" s="295">
        <f>COUNTIF('TK 15661.Bản quyền phim '!F:F,'KK1. Movies'!AI161)</f>
        <v>1</v>
      </c>
      <c r="AN161" s="296">
        <f t="shared" si="2"/>
        <v>1</v>
      </c>
      <c r="AO161" s="295"/>
      <c r="AP161" s="295"/>
      <c r="AQ161" s="295"/>
      <c r="AR161" s="295"/>
      <c r="AS161" s="295"/>
    </row>
    <row r="162" spans="1:45" s="296" customFormat="1" ht="26.4" x14ac:dyDescent="0.3">
      <c r="A162" s="292">
        <f>_xlfn.AGGREGATE(3,3,$D$7:D162)</f>
        <v>156</v>
      </c>
      <c r="B162" s="156" t="s">
        <v>1145</v>
      </c>
      <c r="C162" s="144" t="s">
        <v>1824</v>
      </c>
      <c r="D162" s="160" t="s">
        <v>1822</v>
      </c>
      <c r="E162" s="166" t="s">
        <v>1823</v>
      </c>
      <c r="F162" s="144" t="s">
        <v>511</v>
      </c>
      <c r="G162" s="158" t="s">
        <v>1324</v>
      </c>
      <c r="H162" s="144" t="s">
        <v>1323</v>
      </c>
      <c r="I162" s="159">
        <v>2023</v>
      </c>
      <c r="J162" s="159" t="s">
        <v>133</v>
      </c>
      <c r="K162" s="159">
        <v>78</v>
      </c>
      <c r="L162" s="163">
        <v>45687</v>
      </c>
      <c r="M162" s="161">
        <v>46781</v>
      </c>
      <c r="N162" s="163"/>
      <c r="O162" s="145"/>
      <c r="P162" s="159">
        <v>12</v>
      </c>
      <c r="Q162" s="159" t="s">
        <v>20</v>
      </c>
      <c r="R162" s="159" t="s">
        <v>18</v>
      </c>
      <c r="S162" s="159" t="s">
        <v>18</v>
      </c>
      <c r="T162" s="145" t="s">
        <v>18</v>
      </c>
      <c r="U162" s="159" t="s">
        <v>18</v>
      </c>
      <c r="V162" s="159" t="s">
        <v>18</v>
      </c>
      <c r="W162" s="159" t="s">
        <v>18</v>
      </c>
      <c r="X162" s="159" t="s">
        <v>18</v>
      </c>
      <c r="Y162" s="159" t="s">
        <v>18</v>
      </c>
      <c r="Z162" s="161">
        <v>45687</v>
      </c>
      <c r="AA162" s="188">
        <v>46781</v>
      </c>
      <c r="AB162" s="159" t="s">
        <v>1322</v>
      </c>
      <c r="AC162" s="293">
        <v>15</v>
      </c>
      <c r="AD162" s="145" t="s">
        <v>18</v>
      </c>
      <c r="AE162" s="145" t="s">
        <v>18</v>
      </c>
      <c r="AF162" s="150"/>
      <c r="AG162" s="155" t="s">
        <v>17</v>
      </c>
      <c r="AH162" s="294"/>
      <c r="AI162" s="300" t="s">
        <v>1822</v>
      </c>
      <c r="AJ162" s="195">
        <f>SUMIF('TK 15661.Bản quyền phim '!F:F,'KK1. Movies'!D162,'TK 15661.Bản quyền phim '!X:X)</f>
        <v>57142857.333333328</v>
      </c>
      <c r="AK162" s="195">
        <f>SUMIF('TK 15661.Bản quyền phim '!F:F,'KK1. Movies'!AI162,'TK 15661.Bản quyền phim '!X:X)</f>
        <v>57142857.333333328</v>
      </c>
      <c r="AL162" s="295">
        <f>COUNTIF('242.BQ Phim hợp tác'!$C:$C,'KK1. Movies'!AI162)</f>
        <v>0</v>
      </c>
      <c r="AM162" s="295">
        <f>COUNTIF('TK 15661.Bản quyền phim '!F:F,'KK1. Movies'!AI162)</f>
        <v>1</v>
      </c>
      <c r="AN162" s="296">
        <f t="shared" si="2"/>
        <v>1</v>
      </c>
      <c r="AO162" s="295"/>
      <c r="AP162" s="295"/>
      <c r="AQ162" s="295"/>
      <c r="AR162" s="295"/>
      <c r="AS162" s="295"/>
    </row>
    <row r="163" spans="1:45" s="296" customFormat="1" ht="26.4" x14ac:dyDescent="0.3">
      <c r="A163" s="292">
        <f>_xlfn.AGGREGATE(3,3,$D$7:D163)</f>
        <v>157</v>
      </c>
      <c r="B163" s="143" t="s">
        <v>1402</v>
      </c>
      <c r="C163" s="144" t="s">
        <v>1821</v>
      </c>
      <c r="D163" s="160" t="s">
        <v>1819</v>
      </c>
      <c r="E163" s="142" t="s">
        <v>1820</v>
      </c>
      <c r="F163" s="144" t="s">
        <v>1013</v>
      </c>
      <c r="G163" s="158" t="s">
        <v>1336</v>
      </c>
      <c r="H163" s="164" t="s">
        <v>1335</v>
      </c>
      <c r="I163" s="159">
        <v>2024</v>
      </c>
      <c r="J163" s="159" t="s">
        <v>133</v>
      </c>
      <c r="K163" s="159">
        <v>114</v>
      </c>
      <c r="L163" s="163">
        <v>45688</v>
      </c>
      <c r="M163" s="161">
        <v>46782</v>
      </c>
      <c r="N163" s="163">
        <v>45688</v>
      </c>
      <c r="O163" s="145"/>
      <c r="P163" s="145"/>
      <c r="Q163" s="159" t="s">
        <v>20</v>
      </c>
      <c r="R163" s="145" t="s">
        <v>18</v>
      </c>
      <c r="S163" s="162" t="s">
        <v>18</v>
      </c>
      <c r="T163" s="145" t="s">
        <v>18</v>
      </c>
      <c r="U163" s="162" t="s">
        <v>18</v>
      </c>
      <c r="V163" s="162" t="s">
        <v>18</v>
      </c>
      <c r="W163" s="162" t="s">
        <v>18</v>
      </c>
      <c r="X163" s="162" t="s">
        <v>18</v>
      </c>
      <c r="Y163" s="162" t="s">
        <v>18</v>
      </c>
      <c r="Z163" s="161">
        <v>45688</v>
      </c>
      <c r="AA163" s="188">
        <v>46782</v>
      </c>
      <c r="AB163" s="159">
        <v>24</v>
      </c>
      <c r="AC163" s="293">
        <v>5</v>
      </c>
      <c r="AD163" s="145" t="s">
        <v>18</v>
      </c>
      <c r="AE163" s="145" t="s">
        <v>18</v>
      </c>
      <c r="AF163" s="150"/>
      <c r="AG163" s="155" t="s">
        <v>17</v>
      </c>
      <c r="AH163" s="294"/>
      <c r="AI163" s="300" t="s">
        <v>1819</v>
      </c>
      <c r="AJ163" s="195">
        <f>SUMIF('TK 15661.Bản quyền phim '!F:F,'KK1. Movies'!D163,'TK 15661.Bản quyền phim '!X:X)</f>
        <v>64761904.666666672</v>
      </c>
      <c r="AK163" s="195">
        <f>SUMIF('TK 15661.Bản quyền phim '!F:F,'KK1. Movies'!AI163,'TK 15661.Bản quyền phim '!X:X)</f>
        <v>64761904.666666672</v>
      </c>
      <c r="AL163" s="295">
        <f>COUNTIF('242.BQ Phim hợp tác'!$C:$C,'KK1. Movies'!AI163)</f>
        <v>0</v>
      </c>
      <c r="AM163" s="295">
        <f>COUNTIF('TK 15661.Bản quyền phim '!F:F,'KK1. Movies'!AI163)</f>
        <v>1</v>
      </c>
      <c r="AN163" s="296">
        <f t="shared" si="2"/>
        <v>1</v>
      </c>
      <c r="AO163" s="295"/>
      <c r="AP163" s="295"/>
      <c r="AQ163" s="295"/>
      <c r="AR163" s="295"/>
      <c r="AS163" s="295"/>
    </row>
    <row r="164" spans="1:45" s="296" customFormat="1" x14ac:dyDescent="0.3">
      <c r="A164" s="292">
        <f>_xlfn.AGGREGATE(3,3,$D$7:D164)</f>
        <v>158</v>
      </c>
      <c r="B164" s="143" t="s">
        <v>1402</v>
      </c>
      <c r="C164" s="144" t="s">
        <v>1818</v>
      </c>
      <c r="D164" s="160" t="s">
        <v>1816</v>
      </c>
      <c r="E164" s="142" t="s">
        <v>1817</v>
      </c>
      <c r="F164" s="144" t="s">
        <v>1013</v>
      </c>
      <c r="G164" s="164" t="s">
        <v>1649</v>
      </c>
      <c r="H164" s="144" t="s">
        <v>1648</v>
      </c>
      <c r="I164" s="159">
        <v>2021</v>
      </c>
      <c r="J164" s="159" t="s">
        <v>196</v>
      </c>
      <c r="K164" s="159">
        <v>118</v>
      </c>
      <c r="L164" s="148">
        <v>45317</v>
      </c>
      <c r="M164" s="148">
        <v>46412</v>
      </c>
      <c r="N164" s="157">
        <v>45317</v>
      </c>
      <c r="O164" s="145" t="s">
        <v>584</v>
      </c>
      <c r="P164" s="145"/>
      <c r="Q164" s="159" t="s">
        <v>20</v>
      </c>
      <c r="R164" s="145" t="s">
        <v>18</v>
      </c>
      <c r="S164" s="145" t="s">
        <v>18</v>
      </c>
      <c r="T164" s="145" t="s">
        <v>18</v>
      </c>
      <c r="U164" s="145" t="s">
        <v>18</v>
      </c>
      <c r="V164" s="145" t="s">
        <v>18</v>
      </c>
      <c r="W164" s="145" t="s">
        <v>18</v>
      </c>
      <c r="X164" s="145" t="s">
        <v>18</v>
      </c>
      <c r="Y164" s="162" t="s">
        <v>20</v>
      </c>
      <c r="Z164" s="148">
        <v>45317</v>
      </c>
      <c r="AA164" s="148">
        <v>46412</v>
      </c>
      <c r="AB164" s="159">
        <v>24</v>
      </c>
      <c r="AC164" s="293">
        <v>14</v>
      </c>
      <c r="AD164" s="145" t="s">
        <v>18</v>
      </c>
      <c r="AE164" s="145" t="s">
        <v>18</v>
      </c>
      <c r="AF164" s="150"/>
      <c r="AG164" s="155" t="s">
        <v>17</v>
      </c>
      <c r="AH164" s="294"/>
      <c r="AI164" s="300" t="s">
        <v>1816</v>
      </c>
      <c r="AJ164" s="195">
        <f>SUMIF('TK 15661.Bản quyền phim '!F:F,'KK1. Movies'!D164,'TK 15661.Bản quyền phim '!X:X)</f>
        <v>39047619</v>
      </c>
      <c r="AK164" s="195">
        <f>SUMIF('TK 15661.Bản quyền phim '!F:F,'KK1. Movies'!AI164,'TK 15661.Bản quyền phim '!X:X)</f>
        <v>39047619</v>
      </c>
      <c r="AL164" s="295">
        <f>COUNTIF('242.BQ Phim hợp tác'!$C:$C,'KK1. Movies'!AI164)</f>
        <v>0</v>
      </c>
      <c r="AM164" s="295">
        <f>COUNTIF('TK 15661.Bản quyền phim '!F:F,'KK1. Movies'!AI164)</f>
        <v>1</v>
      </c>
      <c r="AN164" s="296">
        <f t="shared" si="2"/>
        <v>1</v>
      </c>
      <c r="AO164" s="295"/>
      <c r="AP164" s="295"/>
      <c r="AQ164" s="295"/>
      <c r="AR164" s="295"/>
      <c r="AS164" s="295"/>
    </row>
    <row r="165" spans="1:45" s="296" customFormat="1" ht="26.4" x14ac:dyDescent="0.3">
      <c r="A165" s="292">
        <f>_xlfn.AGGREGATE(3,3,$D$7:D165)</f>
        <v>159</v>
      </c>
      <c r="B165" s="143" t="s">
        <v>1422</v>
      </c>
      <c r="C165" s="341" t="s">
        <v>1815</v>
      </c>
      <c r="D165" s="146" t="s">
        <v>1813</v>
      </c>
      <c r="E165" s="144" t="s">
        <v>1814</v>
      </c>
      <c r="F165" s="144" t="s">
        <v>1013</v>
      </c>
      <c r="G165" s="303" t="s">
        <v>1056</v>
      </c>
      <c r="H165" s="144" t="s">
        <v>1479</v>
      </c>
      <c r="I165" s="297">
        <v>2018</v>
      </c>
      <c r="J165" s="150" t="s">
        <v>196</v>
      </c>
      <c r="K165" s="297">
        <v>96</v>
      </c>
      <c r="L165" s="148">
        <v>45113</v>
      </c>
      <c r="M165" s="163">
        <v>46208</v>
      </c>
      <c r="N165" s="157">
        <v>45113</v>
      </c>
      <c r="O165" s="309" t="s">
        <v>584</v>
      </c>
      <c r="P165" s="145" t="s">
        <v>1478</v>
      </c>
      <c r="Q165" s="150" t="s">
        <v>20</v>
      </c>
      <c r="R165" s="145" t="s">
        <v>18</v>
      </c>
      <c r="S165" s="145" t="s">
        <v>18</v>
      </c>
      <c r="T165" s="145" t="s">
        <v>18</v>
      </c>
      <c r="U165" s="145" t="s">
        <v>18</v>
      </c>
      <c r="V165" s="145" t="s">
        <v>18</v>
      </c>
      <c r="W165" s="145" t="s">
        <v>18</v>
      </c>
      <c r="X165" s="145" t="s">
        <v>18</v>
      </c>
      <c r="Y165" s="145" t="s">
        <v>18</v>
      </c>
      <c r="Z165" s="148">
        <v>45113</v>
      </c>
      <c r="AA165" s="163">
        <v>46208</v>
      </c>
      <c r="AB165" s="141" t="s">
        <v>1394</v>
      </c>
      <c r="AC165" s="293">
        <v>27</v>
      </c>
      <c r="AD165" s="145" t="s">
        <v>18</v>
      </c>
      <c r="AE165" s="145" t="s">
        <v>18</v>
      </c>
      <c r="AF165" s="150"/>
      <c r="AG165" s="155" t="s">
        <v>17</v>
      </c>
      <c r="AH165" s="294"/>
      <c r="AI165" s="198" t="s">
        <v>1813</v>
      </c>
      <c r="AJ165" s="195">
        <f>SUMIF('TK 15661.Bản quyền phim '!F:F,'KK1. Movies'!D165,'TK 15661.Bản quyền phim '!X:X)</f>
        <v>0</v>
      </c>
      <c r="AK165" s="195">
        <f>SUMIF('TK 15661.Bản quyền phim '!F:F,'KK1. Movies'!AI165,'TK 15661.Bản quyền phim '!X:X)</f>
        <v>0</v>
      </c>
      <c r="AL165" s="295">
        <f>COUNTIF('242.BQ Phim hợp tác'!$C:$C,'KK1. Movies'!AI165)</f>
        <v>0</v>
      </c>
      <c r="AM165" s="295">
        <f>COUNTIF('TK 15661.Bản quyền phim '!F:F,'KK1. Movies'!AI165)</f>
        <v>1</v>
      </c>
      <c r="AN165" s="296">
        <f t="shared" si="2"/>
        <v>1</v>
      </c>
      <c r="AO165" s="295"/>
      <c r="AP165" s="295"/>
      <c r="AQ165" s="295"/>
      <c r="AR165" s="295"/>
      <c r="AS165" s="295"/>
    </row>
    <row r="166" spans="1:45" s="296" customFormat="1" ht="26.4" x14ac:dyDescent="0.3">
      <c r="A166" s="292">
        <f>_xlfn.AGGREGATE(3,3,$D$7:D166)</f>
        <v>160</v>
      </c>
      <c r="B166" s="143" t="s">
        <v>1392</v>
      </c>
      <c r="C166" s="341" t="s">
        <v>1812</v>
      </c>
      <c r="D166" s="160" t="s">
        <v>1810</v>
      </c>
      <c r="E166" s="166" t="s">
        <v>1811</v>
      </c>
      <c r="F166" s="164" t="s">
        <v>1142</v>
      </c>
      <c r="G166" s="164" t="s">
        <v>198</v>
      </c>
      <c r="H166" s="164" t="s">
        <v>197</v>
      </c>
      <c r="I166" s="159">
        <v>2017</v>
      </c>
      <c r="J166" s="162" t="s">
        <v>196</v>
      </c>
      <c r="K166" s="159">
        <v>89</v>
      </c>
      <c r="L166" s="148">
        <v>45388</v>
      </c>
      <c r="M166" s="165">
        <v>46117</v>
      </c>
      <c r="N166" s="157">
        <v>45388</v>
      </c>
      <c r="O166" s="145" t="s">
        <v>132</v>
      </c>
      <c r="P166" s="159" t="s">
        <v>1513</v>
      </c>
      <c r="Q166" s="159" t="s">
        <v>20</v>
      </c>
      <c r="R166" s="145" t="s">
        <v>18</v>
      </c>
      <c r="S166" s="159" t="s">
        <v>18</v>
      </c>
      <c r="T166" s="159" t="s">
        <v>18</v>
      </c>
      <c r="U166" s="159" t="s">
        <v>20</v>
      </c>
      <c r="V166" s="159" t="s">
        <v>20</v>
      </c>
      <c r="W166" s="159" t="s">
        <v>20</v>
      </c>
      <c r="X166" s="159" t="s">
        <v>20</v>
      </c>
      <c r="Y166" s="159" t="s">
        <v>18</v>
      </c>
      <c r="Z166" s="148">
        <v>45388</v>
      </c>
      <c r="AA166" s="165">
        <v>46117</v>
      </c>
      <c r="AB166" s="162">
        <v>6</v>
      </c>
      <c r="AC166" s="160">
        <v>6</v>
      </c>
      <c r="AD166" s="145" t="s">
        <v>18</v>
      </c>
      <c r="AE166" s="145" t="s">
        <v>18</v>
      </c>
      <c r="AF166" s="150"/>
      <c r="AG166" s="155" t="s">
        <v>17</v>
      </c>
      <c r="AH166" s="294"/>
      <c r="AI166" s="299" t="s">
        <v>1810</v>
      </c>
      <c r="AJ166" s="195">
        <f>SUMIF('TK 15661.Bản quyền phim '!F:F,'KK1. Movies'!D166,'TK 15661.Bản quyền phim '!X:X)</f>
        <v>0</v>
      </c>
      <c r="AK166" s="195">
        <f>SUMIF('TK 15661.Bản quyền phim '!F:F,'KK1. Movies'!AI166,'TK 15661.Bản quyền phim '!X:X)</f>
        <v>0</v>
      </c>
      <c r="AL166" s="295">
        <f>COUNTIF('242.BQ Phim hợp tác'!$C:$C,'KK1. Movies'!AI166)</f>
        <v>0</v>
      </c>
      <c r="AM166" s="295">
        <f>COUNTIF('TK 15661.Bản quyền phim '!F:F,'KK1. Movies'!AI166)</f>
        <v>1</v>
      </c>
      <c r="AN166" s="296">
        <f t="shared" si="2"/>
        <v>1</v>
      </c>
      <c r="AO166" s="295"/>
      <c r="AP166" s="295"/>
      <c r="AQ166" s="295"/>
      <c r="AR166" s="295"/>
      <c r="AS166" s="295"/>
    </row>
    <row r="167" spans="1:45" s="296" customFormat="1" ht="52.8" x14ac:dyDescent="0.3">
      <c r="A167" s="292">
        <f>_xlfn.AGGREGATE(3,3,$D$7:D167)</f>
        <v>161</v>
      </c>
      <c r="B167" s="143" t="s">
        <v>1392</v>
      </c>
      <c r="C167" s="144" t="s">
        <v>1809</v>
      </c>
      <c r="D167" s="160" t="s">
        <v>1807</v>
      </c>
      <c r="E167" s="166" t="s">
        <v>1808</v>
      </c>
      <c r="F167" s="144" t="s">
        <v>436</v>
      </c>
      <c r="G167" s="158" t="s">
        <v>1141</v>
      </c>
      <c r="H167" s="144" t="s">
        <v>1140</v>
      </c>
      <c r="I167" s="159">
        <v>2021</v>
      </c>
      <c r="J167" s="159" t="s">
        <v>133</v>
      </c>
      <c r="K167" s="159">
        <v>117</v>
      </c>
      <c r="L167" s="163">
        <v>45701</v>
      </c>
      <c r="M167" s="161">
        <v>46430</v>
      </c>
      <c r="N167" s="157"/>
      <c r="O167" s="145"/>
      <c r="P167" s="145"/>
      <c r="Q167" s="159" t="s">
        <v>20</v>
      </c>
      <c r="R167" s="159" t="s">
        <v>18</v>
      </c>
      <c r="S167" s="159" t="s">
        <v>18</v>
      </c>
      <c r="T167" s="145" t="s">
        <v>18</v>
      </c>
      <c r="U167" s="159" t="s">
        <v>20</v>
      </c>
      <c r="V167" s="159" t="s">
        <v>20</v>
      </c>
      <c r="W167" s="159" t="s">
        <v>20</v>
      </c>
      <c r="X167" s="159" t="s">
        <v>18</v>
      </c>
      <c r="Y167" s="159" t="s">
        <v>20</v>
      </c>
      <c r="Z167" s="161">
        <v>45701</v>
      </c>
      <c r="AA167" s="188">
        <v>46246</v>
      </c>
      <c r="AB167" s="159">
        <v>7</v>
      </c>
      <c r="AC167" s="293">
        <v>2</v>
      </c>
      <c r="AD167" s="145" t="s">
        <v>18</v>
      </c>
      <c r="AE167" s="145" t="s">
        <v>18</v>
      </c>
      <c r="AF167" s="150"/>
      <c r="AG167" s="155" t="s">
        <v>17</v>
      </c>
      <c r="AH167" s="294"/>
      <c r="AI167" s="300" t="s">
        <v>1807</v>
      </c>
      <c r="AJ167" s="195">
        <f>SUMIF('TK 15661.Bản quyền phim '!F:F,'KK1. Movies'!D167,'TK 15661.Bản quyền phim '!X:X)</f>
        <v>46627350</v>
      </c>
      <c r="AK167" s="195">
        <f>SUMIF('TK 15661.Bản quyền phim '!F:F,'KK1. Movies'!AI167,'TK 15661.Bản quyền phim '!X:X)</f>
        <v>46627350</v>
      </c>
      <c r="AL167" s="295">
        <f>COUNTIF('242.BQ Phim hợp tác'!$C:$C,'KK1. Movies'!AI167)</f>
        <v>0</v>
      </c>
      <c r="AM167" s="295">
        <f>COUNTIF('TK 15661.Bản quyền phim '!F:F,'KK1. Movies'!AI167)</f>
        <v>1</v>
      </c>
      <c r="AN167" s="296">
        <f t="shared" si="2"/>
        <v>1</v>
      </c>
      <c r="AO167" s="295"/>
      <c r="AP167" s="295"/>
      <c r="AQ167" s="295"/>
      <c r="AR167" s="295"/>
      <c r="AS167" s="295"/>
    </row>
    <row r="168" spans="1:45" s="296" customFormat="1" ht="26.4" x14ac:dyDescent="0.3">
      <c r="A168" s="292">
        <f>_xlfn.AGGREGATE(3,3,$D$7:D168)</f>
        <v>162</v>
      </c>
      <c r="B168" s="143" t="s">
        <v>1422</v>
      </c>
      <c r="C168" s="144" t="s">
        <v>1806</v>
      </c>
      <c r="D168" s="307" t="s">
        <v>1805</v>
      </c>
      <c r="E168" s="144" t="s">
        <v>1804</v>
      </c>
      <c r="F168" s="144" t="s">
        <v>385</v>
      </c>
      <c r="G168" s="143" t="s">
        <v>1324</v>
      </c>
      <c r="H168" s="144" t="s">
        <v>1418</v>
      </c>
      <c r="I168" s="297">
        <v>2022</v>
      </c>
      <c r="J168" s="150" t="s">
        <v>133</v>
      </c>
      <c r="K168" s="297">
        <v>113</v>
      </c>
      <c r="L168" s="148">
        <v>44948</v>
      </c>
      <c r="M168" s="153">
        <v>46043</v>
      </c>
      <c r="N168" s="152">
        <v>44948</v>
      </c>
      <c r="O168" s="309" t="s">
        <v>584</v>
      </c>
      <c r="P168" s="141">
        <v>12</v>
      </c>
      <c r="Q168" s="145" t="s">
        <v>20</v>
      </c>
      <c r="R168" s="145" t="s">
        <v>18</v>
      </c>
      <c r="S168" s="145" t="s">
        <v>18</v>
      </c>
      <c r="T168" s="145" t="s">
        <v>18</v>
      </c>
      <c r="U168" s="145" t="s">
        <v>18</v>
      </c>
      <c r="V168" s="145" t="s">
        <v>18</v>
      </c>
      <c r="W168" s="145" t="s">
        <v>18</v>
      </c>
      <c r="X168" s="159" t="s">
        <v>20</v>
      </c>
      <c r="Y168" s="145" t="s">
        <v>18</v>
      </c>
      <c r="Z168" s="153">
        <v>45099</v>
      </c>
      <c r="AA168" s="308">
        <v>46194</v>
      </c>
      <c r="AB168" s="141" t="s">
        <v>1394</v>
      </c>
      <c r="AC168" s="293">
        <v>39</v>
      </c>
      <c r="AD168" s="145" t="s">
        <v>18</v>
      </c>
      <c r="AE168" s="145" t="s">
        <v>18</v>
      </c>
      <c r="AF168" s="150"/>
      <c r="AG168" s="155" t="s">
        <v>17</v>
      </c>
      <c r="AH168" s="294"/>
      <c r="AI168" s="300" t="s">
        <v>1803</v>
      </c>
      <c r="AJ168" s="195">
        <f>SUMIF('TK 15661.Bản quyền phim '!F:F,'KK1. Movies'!D168,'TK 15661.Bản quyền phim '!X:X)</f>
        <v>0</v>
      </c>
      <c r="AK168" s="195">
        <f>SUMIF('TK 15661.Bản quyền phim '!F:F,'KK1. Movies'!AI168,'TK 15661.Bản quyền phim '!X:X)</f>
        <v>0</v>
      </c>
      <c r="AL168" s="295">
        <f>COUNTIF('242.BQ Phim hợp tác'!$C:$C,'KK1. Movies'!AI168)</f>
        <v>0</v>
      </c>
      <c r="AM168" s="295">
        <f>COUNTIF('TK 15661.Bản quyền phim '!F:F,'KK1. Movies'!AI168)</f>
        <v>1</v>
      </c>
      <c r="AN168" s="296">
        <f t="shared" si="2"/>
        <v>1</v>
      </c>
      <c r="AO168" s="295"/>
      <c r="AP168" s="295"/>
      <c r="AQ168" s="295"/>
      <c r="AR168" s="295"/>
      <c r="AS168" s="295"/>
    </row>
    <row r="169" spans="1:45" s="296" customFormat="1" ht="26.4" x14ac:dyDescent="0.3">
      <c r="A169" s="292">
        <f>_xlfn.AGGREGATE(3,3,$D$7:D169)</f>
        <v>163</v>
      </c>
      <c r="B169" s="143" t="s">
        <v>1402</v>
      </c>
      <c r="C169" s="144" t="s">
        <v>1802</v>
      </c>
      <c r="D169" s="160" t="s">
        <v>1801</v>
      </c>
      <c r="E169" s="166" t="s">
        <v>1801</v>
      </c>
      <c r="F169" s="144" t="s">
        <v>511</v>
      </c>
      <c r="G169" s="158" t="s">
        <v>1324</v>
      </c>
      <c r="H169" s="144" t="s">
        <v>1449</v>
      </c>
      <c r="I169" s="159">
        <v>2023</v>
      </c>
      <c r="J169" s="150" t="s">
        <v>133</v>
      </c>
      <c r="K169" s="159">
        <v>90</v>
      </c>
      <c r="L169" s="148">
        <v>45379</v>
      </c>
      <c r="M169" s="161">
        <v>46473</v>
      </c>
      <c r="N169" s="157">
        <v>45379</v>
      </c>
      <c r="O169" s="145" t="s">
        <v>553</v>
      </c>
      <c r="P169" s="151">
        <v>12</v>
      </c>
      <c r="Q169" s="159" t="s">
        <v>20</v>
      </c>
      <c r="R169" s="145" t="s">
        <v>18</v>
      </c>
      <c r="S169" s="145" t="s">
        <v>18</v>
      </c>
      <c r="T169" s="145" t="s">
        <v>18</v>
      </c>
      <c r="U169" s="145" t="s">
        <v>18</v>
      </c>
      <c r="V169" s="145" t="s">
        <v>18</v>
      </c>
      <c r="W169" s="145" t="s">
        <v>18</v>
      </c>
      <c r="X169" s="159" t="s">
        <v>20</v>
      </c>
      <c r="Y169" s="145" t="s">
        <v>18</v>
      </c>
      <c r="Z169" s="148">
        <v>45379</v>
      </c>
      <c r="AA169" s="161">
        <v>46473</v>
      </c>
      <c r="AB169" s="145" t="s">
        <v>218</v>
      </c>
      <c r="AC169" s="293">
        <v>24</v>
      </c>
      <c r="AD169" s="145" t="s">
        <v>18</v>
      </c>
      <c r="AE169" s="145" t="s">
        <v>18</v>
      </c>
      <c r="AF169" s="150"/>
      <c r="AG169" s="155" t="s">
        <v>17</v>
      </c>
      <c r="AH169" s="294"/>
      <c r="AI169" s="300" t="s">
        <v>1800</v>
      </c>
      <c r="AJ169" s="195">
        <f>SUMIF('TK 15661.Bản quyền phim '!F:F,'KK1. Movies'!D169,'TK 15661.Bản quyền phim '!X:X)</f>
        <v>0</v>
      </c>
      <c r="AK169" s="195">
        <f>SUMIF('TK 15661.Bản quyền phim '!F:F,'KK1. Movies'!AI169,'TK 15661.Bản quyền phim '!X:X)</f>
        <v>25396825.33333334</v>
      </c>
      <c r="AL169" s="295">
        <f>COUNTIF('242.BQ Phim hợp tác'!$C:$C,'KK1. Movies'!AI169)</f>
        <v>0</v>
      </c>
      <c r="AM169" s="295">
        <f>COUNTIF('TK 15661.Bản quyền phim '!F:F,'KK1. Movies'!AI169)</f>
        <v>1</v>
      </c>
      <c r="AN169" s="296">
        <f t="shared" si="2"/>
        <v>1</v>
      </c>
      <c r="AO169" s="295"/>
      <c r="AP169" s="295"/>
      <c r="AQ169" s="295"/>
      <c r="AR169" s="295"/>
      <c r="AS169" s="295"/>
    </row>
    <row r="170" spans="1:45" s="296" customFormat="1" ht="26.4" x14ac:dyDescent="0.3">
      <c r="A170" s="292">
        <f>_xlfn.AGGREGATE(3,3,$D$7:D170)</f>
        <v>164</v>
      </c>
      <c r="B170" s="156" t="s">
        <v>1145</v>
      </c>
      <c r="C170" s="144" t="s">
        <v>1797</v>
      </c>
      <c r="D170" s="160" t="s">
        <v>1796</v>
      </c>
      <c r="E170" s="144" t="s">
        <v>1799</v>
      </c>
      <c r="F170" s="158" t="s">
        <v>1798</v>
      </c>
      <c r="G170" s="158" t="s">
        <v>1351</v>
      </c>
      <c r="H170" s="144" t="s">
        <v>1350</v>
      </c>
      <c r="I170" s="159">
        <v>2022</v>
      </c>
      <c r="J170" s="159" t="s">
        <v>178</v>
      </c>
      <c r="K170" s="159">
        <v>96</v>
      </c>
      <c r="L170" s="163">
        <v>45765</v>
      </c>
      <c r="M170" s="148">
        <v>46860</v>
      </c>
      <c r="N170" s="157" t="s">
        <v>1145</v>
      </c>
      <c r="O170" s="145"/>
      <c r="P170" s="159">
        <v>12</v>
      </c>
      <c r="Q170" s="159" t="s">
        <v>20</v>
      </c>
      <c r="R170" s="145" t="s">
        <v>18</v>
      </c>
      <c r="S170" s="162" t="s">
        <v>18</v>
      </c>
      <c r="T170" s="145" t="s">
        <v>18</v>
      </c>
      <c r="U170" s="162" t="s">
        <v>18</v>
      </c>
      <c r="V170" s="162" t="s">
        <v>18</v>
      </c>
      <c r="W170" s="162" t="s">
        <v>18</v>
      </c>
      <c r="X170" s="162" t="s">
        <v>18</v>
      </c>
      <c r="Y170" s="159" t="s">
        <v>18</v>
      </c>
      <c r="Z170" s="169">
        <v>45778</v>
      </c>
      <c r="AA170" s="344">
        <v>46873</v>
      </c>
      <c r="AB170" s="159">
        <v>24</v>
      </c>
      <c r="AC170" s="293">
        <v>4</v>
      </c>
      <c r="AD170" s="145" t="s">
        <v>18</v>
      </c>
      <c r="AE170" s="145" t="s">
        <v>18</v>
      </c>
      <c r="AF170" s="150"/>
      <c r="AG170" s="155" t="s">
        <v>17</v>
      </c>
      <c r="AH170" s="294" t="s">
        <v>1797</v>
      </c>
      <c r="AI170" s="300" t="s">
        <v>1796</v>
      </c>
      <c r="AJ170" s="195">
        <f>SUMIF('TK 15661.Bản quyền phim '!F:F,'KK1. Movies'!D170,'TK 15661.Bản quyền phim '!X:X)</f>
        <v>58057142.666666672</v>
      </c>
      <c r="AK170" s="195">
        <f>SUMIF('TK 15661.Bản quyền phim '!F:F,'KK1. Movies'!AI170,'TK 15661.Bản quyền phim '!X:X)</f>
        <v>58057142.666666672</v>
      </c>
      <c r="AL170" s="295">
        <f>COUNTIF('242.BQ Phim hợp tác'!$C:$C,'KK1. Movies'!AI170)</f>
        <v>0</v>
      </c>
      <c r="AM170" s="295">
        <f>COUNTIF('TK 15661.Bản quyền phim '!F:F,'KK1. Movies'!AI170)</f>
        <v>1</v>
      </c>
      <c r="AN170" s="296">
        <f t="shared" si="2"/>
        <v>1</v>
      </c>
      <c r="AO170" s="295"/>
      <c r="AP170" s="295"/>
      <c r="AQ170" s="295"/>
      <c r="AR170" s="295"/>
      <c r="AS170" s="295"/>
    </row>
    <row r="171" spans="1:45" s="296" customFormat="1" ht="26.4" x14ac:dyDescent="0.3">
      <c r="A171" s="292">
        <f>_xlfn.AGGREGATE(3,3,$D$7:D171)</f>
        <v>165</v>
      </c>
      <c r="B171" s="144" t="s">
        <v>1402</v>
      </c>
      <c r="C171" s="144" t="s">
        <v>1795</v>
      </c>
      <c r="D171" s="144" t="s">
        <v>1793</v>
      </c>
      <c r="E171" s="144" t="s">
        <v>1794</v>
      </c>
      <c r="F171" s="144" t="s">
        <v>511</v>
      </c>
      <c r="G171" s="144" t="s">
        <v>1372</v>
      </c>
      <c r="H171" s="144" t="s">
        <v>1640</v>
      </c>
      <c r="I171" s="297">
        <v>2021</v>
      </c>
      <c r="J171" s="150" t="s">
        <v>1606</v>
      </c>
      <c r="K171" s="297">
        <v>101</v>
      </c>
      <c r="L171" s="148">
        <v>44748</v>
      </c>
      <c r="M171" s="301">
        <v>46209</v>
      </c>
      <c r="N171" s="302">
        <v>44748</v>
      </c>
      <c r="O171" s="145" t="s">
        <v>584</v>
      </c>
      <c r="P171" s="154" t="s">
        <v>1639</v>
      </c>
      <c r="Q171" s="150" t="s">
        <v>20</v>
      </c>
      <c r="R171" s="145" t="s">
        <v>18</v>
      </c>
      <c r="S171" s="145" t="s">
        <v>18</v>
      </c>
      <c r="T171" s="145" t="s">
        <v>18</v>
      </c>
      <c r="U171" s="145" t="s">
        <v>18</v>
      </c>
      <c r="V171" s="145" t="s">
        <v>18</v>
      </c>
      <c r="W171" s="145" t="s">
        <v>18</v>
      </c>
      <c r="X171" s="145" t="s">
        <v>18</v>
      </c>
      <c r="Y171" s="145" t="s">
        <v>18</v>
      </c>
      <c r="Z171" s="148">
        <v>44748</v>
      </c>
      <c r="AA171" s="301">
        <v>46209</v>
      </c>
      <c r="AB171" s="141" t="s">
        <v>1394</v>
      </c>
      <c r="AC171" s="293">
        <v>34</v>
      </c>
      <c r="AD171" s="145" t="s">
        <v>18</v>
      </c>
      <c r="AE171" s="145" t="s">
        <v>18</v>
      </c>
      <c r="AF171" s="150"/>
      <c r="AG171" s="155" t="s">
        <v>17</v>
      </c>
      <c r="AH171" s="294"/>
      <c r="AI171" s="299" t="s">
        <v>1793</v>
      </c>
      <c r="AJ171" s="195">
        <f>SUMIF('TK 15661.Bản quyền phim '!F:F,'KK1. Movies'!D171,'TK 15661.Bản quyền phim '!X:X)</f>
        <v>0</v>
      </c>
      <c r="AK171" s="195">
        <f>SUMIF('TK 15661.Bản quyền phim '!F:F,'KK1. Movies'!AI171,'TK 15661.Bản quyền phim '!X:X)</f>
        <v>0</v>
      </c>
      <c r="AL171" s="295">
        <f>COUNTIF('242.BQ Phim hợp tác'!$C:$C,'KK1. Movies'!AI171)</f>
        <v>0</v>
      </c>
      <c r="AM171" s="295">
        <f>COUNTIF('TK 15661.Bản quyền phim '!F:F,'KK1. Movies'!AI171)</f>
        <v>1</v>
      </c>
      <c r="AN171" s="296">
        <f t="shared" si="2"/>
        <v>1</v>
      </c>
      <c r="AO171" s="295"/>
      <c r="AP171" s="295"/>
      <c r="AQ171" s="295"/>
      <c r="AR171" s="295"/>
      <c r="AS171" s="295"/>
    </row>
    <row r="172" spans="1:45" s="296" customFormat="1" ht="26.4" x14ac:dyDescent="0.3">
      <c r="A172" s="292">
        <f>_xlfn.AGGREGATE(3,3,$D$7:D172)</f>
        <v>166</v>
      </c>
      <c r="B172" s="143" t="s">
        <v>1402</v>
      </c>
      <c r="C172" s="341" t="s">
        <v>1792</v>
      </c>
      <c r="D172" s="160" t="s">
        <v>1790</v>
      </c>
      <c r="E172" s="166" t="s">
        <v>1791</v>
      </c>
      <c r="F172" s="164" t="s">
        <v>824</v>
      </c>
      <c r="G172" s="164" t="s">
        <v>198</v>
      </c>
      <c r="H172" s="164" t="s">
        <v>197</v>
      </c>
      <c r="I172" s="159">
        <v>2016</v>
      </c>
      <c r="J172" s="162" t="s">
        <v>196</v>
      </c>
      <c r="K172" s="159">
        <v>104</v>
      </c>
      <c r="L172" s="148">
        <v>45533</v>
      </c>
      <c r="M172" s="165">
        <v>46262</v>
      </c>
      <c r="N172" s="157">
        <v>45533</v>
      </c>
      <c r="O172" s="159" t="s">
        <v>553</v>
      </c>
      <c r="P172" s="159" t="s">
        <v>1513</v>
      </c>
      <c r="Q172" s="159" t="s">
        <v>20</v>
      </c>
      <c r="R172" s="145" t="s">
        <v>18</v>
      </c>
      <c r="S172" s="159" t="s">
        <v>18</v>
      </c>
      <c r="T172" s="145" t="s">
        <v>18</v>
      </c>
      <c r="U172" s="159" t="s">
        <v>20</v>
      </c>
      <c r="V172" s="159" t="s">
        <v>20</v>
      </c>
      <c r="W172" s="159" t="s">
        <v>20</v>
      </c>
      <c r="X172" s="159" t="s">
        <v>20</v>
      </c>
      <c r="Y172" s="159" t="s">
        <v>18</v>
      </c>
      <c r="Z172" s="148">
        <v>45533</v>
      </c>
      <c r="AA172" s="165">
        <v>46262</v>
      </c>
      <c r="AB172" s="162">
        <v>6</v>
      </c>
      <c r="AC172" s="162">
        <v>3</v>
      </c>
      <c r="AD172" s="145" t="s">
        <v>18</v>
      </c>
      <c r="AE172" s="145" t="s">
        <v>18</v>
      </c>
      <c r="AF172" s="150"/>
      <c r="AG172" s="155" t="s">
        <v>17</v>
      </c>
      <c r="AH172" s="294"/>
      <c r="AI172" s="299" t="s">
        <v>1790</v>
      </c>
      <c r="AJ172" s="195">
        <f>SUMIF('TK 15661.Bản quyền phim '!F:F,'KK1. Movies'!D172,'TK 15661.Bản quyền phim '!X:X)</f>
        <v>0</v>
      </c>
      <c r="AK172" s="195">
        <f>SUMIF('TK 15661.Bản quyền phim '!F:F,'KK1. Movies'!AI172,'TK 15661.Bản quyền phim '!X:X)</f>
        <v>0</v>
      </c>
      <c r="AL172" s="295">
        <f>COUNTIF('242.BQ Phim hợp tác'!$C:$C,'KK1. Movies'!AI172)</f>
        <v>0</v>
      </c>
      <c r="AM172" s="295">
        <f>COUNTIF('TK 15661.Bản quyền phim '!F:F,'KK1. Movies'!AI172)</f>
        <v>1</v>
      </c>
      <c r="AN172" s="296">
        <f t="shared" si="2"/>
        <v>1</v>
      </c>
      <c r="AO172" s="295"/>
      <c r="AP172" s="295"/>
      <c r="AQ172" s="295"/>
      <c r="AR172" s="295"/>
      <c r="AS172" s="295"/>
    </row>
    <row r="173" spans="1:45" s="296" customFormat="1" ht="26.4" x14ac:dyDescent="0.3">
      <c r="A173" s="292">
        <f>_xlfn.AGGREGATE(3,3,$D$7:D173)</f>
        <v>167</v>
      </c>
      <c r="B173" s="143" t="s">
        <v>1402</v>
      </c>
      <c r="C173" s="144" t="s">
        <v>1789</v>
      </c>
      <c r="D173" s="160" t="s">
        <v>1786</v>
      </c>
      <c r="E173" s="144" t="s">
        <v>1788</v>
      </c>
      <c r="F173" s="144" t="s">
        <v>511</v>
      </c>
      <c r="G173" s="164" t="s">
        <v>1372</v>
      </c>
      <c r="H173" s="144" t="s">
        <v>1530</v>
      </c>
      <c r="I173" s="162">
        <v>2019</v>
      </c>
      <c r="J173" s="162" t="s">
        <v>1787</v>
      </c>
      <c r="K173" s="162">
        <v>100</v>
      </c>
      <c r="L173" s="148">
        <v>45323</v>
      </c>
      <c r="M173" s="148">
        <v>46418</v>
      </c>
      <c r="N173" s="157">
        <v>45513</v>
      </c>
      <c r="O173" s="145" t="s">
        <v>553</v>
      </c>
      <c r="P173" s="159">
        <v>12</v>
      </c>
      <c r="Q173" s="162" t="s">
        <v>20</v>
      </c>
      <c r="R173" s="145" t="s">
        <v>18</v>
      </c>
      <c r="S173" s="145" t="s">
        <v>18</v>
      </c>
      <c r="T173" s="145" t="s">
        <v>18</v>
      </c>
      <c r="U173" s="145" t="s">
        <v>18</v>
      </c>
      <c r="V173" s="145" t="s">
        <v>18</v>
      </c>
      <c r="W173" s="145" t="s">
        <v>18</v>
      </c>
      <c r="X173" s="145" t="s">
        <v>18</v>
      </c>
      <c r="Y173" s="159" t="s">
        <v>20</v>
      </c>
      <c r="Z173" s="148">
        <v>45323</v>
      </c>
      <c r="AA173" s="148">
        <v>46418</v>
      </c>
      <c r="AB173" s="162">
        <v>24</v>
      </c>
      <c r="AC173" s="293">
        <v>16</v>
      </c>
      <c r="AD173" s="145" t="s">
        <v>18</v>
      </c>
      <c r="AE173" s="145" t="s">
        <v>18</v>
      </c>
      <c r="AF173" s="150"/>
      <c r="AG173" s="155" t="s">
        <v>17</v>
      </c>
      <c r="AH173" s="294"/>
      <c r="AI173" s="300" t="s">
        <v>1786</v>
      </c>
      <c r="AJ173" s="195">
        <f>SUMIF('TK 15661.Bản quyền phim '!F:F,'KK1. Movies'!D173,'TK 15661.Bản quyền phim '!X:X)</f>
        <v>33333492</v>
      </c>
      <c r="AK173" s="195">
        <f>SUMIF('TK 15661.Bản quyền phim '!F:F,'KK1. Movies'!AI173,'TK 15661.Bản quyền phim '!X:X)</f>
        <v>33333492</v>
      </c>
      <c r="AL173" s="295">
        <f>COUNTIF('242.BQ Phim hợp tác'!$C:$C,'KK1. Movies'!AI173)</f>
        <v>0</v>
      </c>
      <c r="AM173" s="295">
        <f>COUNTIF('TK 15661.Bản quyền phim '!F:F,'KK1. Movies'!AI173)</f>
        <v>1</v>
      </c>
      <c r="AN173" s="296">
        <f t="shared" si="2"/>
        <v>1</v>
      </c>
      <c r="AO173" s="295"/>
      <c r="AP173" s="295"/>
      <c r="AQ173" s="295"/>
      <c r="AR173" s="295"/>
      <c r="AS173" s="295"/>
    </row>
    <row r="174" spans="1:45" s="296" customFormat="1" ht="26.4" x14ac:dyDescent="0.3">
      <c r="A174" s="292">
        <f>_xlfn.AGGREGATE(3,3,$D$7:D174)</f>
        <v>168</v>
      </c>
      <c r="B174" s="143" t="s">
        <v>1402</v>
      </c>
      <c r="C174" s="144" t="s">
        <v>1785</v>
      </c>
      <c r="D174" s="146" t="s">
        <v>1784</v>
      </c>
      <c r="E174" s="144" t="s">
        <v>1783</v>
      </c>
      <c r="F174" s="143" t="s">
        <v>436</v>
      </c>
      <c r="G174" s="144" t="s">
        <v>1782</v>
      </c>
      <c r="H174" s="144" t="s">
        <v>1781</v>
      </c>
      <c r="I174" s="297">
        <v>2020</v>
      </c>
      <c r="J174" s="145" t="s">
        <v>88</v>
      </c>
      <c r="K174" s="297">
        <v>110</v>
      </c>
      <c r="L174" s="148">
        <v>44407</v>
      </c>
      <c r="M174" s="147">
        <v>46232</v>
      </c>
      <c r="N174" s="302">
        <v>44407</v>
      </c>
      <c r="O174" s="145" t="s">
        <v>584</v>
      </c>
      <c r="P174" s="145" t="s">
        <v>1780</v>
      </c>
      <c r="Q174" s="150" t="s">
        <v>20</v>
      </c>
      <c r="R174" s="145" t="s">
        <v>18</v>
      </c>
      <c r="S174" s="145" t="s">
        <v>18</v>
      </c>
      <c r="T174" s="145" t="s">
        <v>18</v>
      </c>
      <c r="U174" s="145" t="s">
        <v>18</v>
      </c>
      <c r="V174" s="145" t="s">
        <v>18</v>
      </c>
      <c r="W174" s="145" t="s">
        <v>18</v>
      </c>
      <c r="X174" s="145" t="s">
        <v>18</v>
      </c>
      <c r="Y174" s="145" t="s">
        <v>18</v>
      </c>
      <c r="Z174" s="148">
        <v>44407</v>
      </c>
      <c r="AA174" s="147">
        <v>46232</v>
      </c>
      <c r="AB174" s="141" t="s">
        <v>1394</v>
      </c>
      <c r="AC174" s="293">
        <v>37</v>
      </c>
      <c r="AD174" s="145" t="s">
        <v>18</v>
      </c>
      <c r="AE174" s="145" t="s">
        <v>18</v>
      </c>
      <c r="AF174" s="150"/>
      <c r="AG174" s="155" t="s">
        <v>17</v>
      </c>
      <c r="AH174" s="294"/>
      <c r="AI174" s="300" t="s">
        <v>1779</v>
      </c>
      <c r="AJ174" s="195">
        <f>SUMIF('TK 15661.Bản quyền phim '!F:F,'KK1. Movies'!D174,'TK 15661.Bản quyền phim '!X:X)</f>
        <v>0</v>
      </c>
      <c r="AK174" s="195">
        <f>SUMIF('TK 15661.Bản quyền phim '!F:F,'KK1. Movies'!AI174,'TK 15661.Bản quyền phim '!X:X)</f>
        <v>0</v>
      </c>
      <c r="AL174" s="295">
        <f>COUNTIF('242.BQ Phim hợp tác'!$C:$C,'KK1. Movies'!AI174)</f>
        <v>0</v>
      </c>
      <c r="AM174" s="295">
        <f>COUNTIF('TK 15661.Bản quyền phim '!F:F,'KK1. Movies'!AI174)</f>
        <v>1</v>
      </c>
      <c r="AN174" s="296">
        <f t="shared" si="2"/>
        <v>1</v>
      </c>
      <c r="AO174" s="295"/>
      <c r="AP174" s="295"/>
      <c r="AQ174" s="295"/>
      <c r="AR174" s="295"/>
      <c r="AS174" s="295"/>
    </row>
    <row r="175" spans="1:45" s="296" customFormat="1" ht="26.4" x14ac:dyDescent="0.3">
      <c r="A175" s="292">
        <f>_xlfn.AGGREGATE(3,3,$D$7:D175)</f>
        <v>169</v>
      </c>
      <c r="B175" s="156" t="s">
        <v>1145</v>
      </c>
      <c r="C175" s="144" t="s">
        <v>1778</v>
      </c>
      <c r="D175" s="160" t="s">
        <v>1776</v>
      </c>
      <c r="E175" s="142" t="s">
        <v>1777</v>
      </c>
      <c r="F175" s="158" t="s">
        <v>350</v>
      </c>
      <c r="G175" s="158" t="s">
        <v>1341</v>
      </c>
      <c r="H175" s="144" t="s">
        <v>1340</v>
      </c>
      <c r="I175" s="159">
        <v>2016</v>
      </c>
      <c r="J175" s="159" t="s">
        <v>196</v>
      </c>
      <c r="K175" s="159">
        <v>100</v>
      </c>
      <c r="L175" s="163">
        <v>45728</v>
      </c>
      <c r="M175" s="148">
        <v>46823</v>
      </c>
      <c r="N175" s="157" t="s">
        <v>1145</v>
      </c>
      <c r="O175" s="145"/>
      <c r="P175" s="159">
        <v>12</v>
      </c>
      <c r="Q175" s="159" t="s">
        <v>20</v>
      </c>
      <c r="R175" s="145" t="s">
        <v>18</v>
      </c>
      <c r="S175" s="162" t="s">
        <v>18</v>
      </c>
      <c r="T175" s="145" t="s">
        <v>18</v>
      </c>
      <c r="U175" s="162" t="s">
        <v>18</v>
      </c>
      <c r="V175" s="162" t="s">
        <v>18</v>
      </c>
      <c r="W175" s="162" t="s">
        <v>18</v>
      </c>
      <c r="X175" s="162" t="s">
        <v>18</v>
      </c>
      <c r="Y175" s="159" t="s">
        <v>18</v>
      </c>
      <c r="Z175" s="163">
        <v>45728</v>
      </c>
      <c r="AA175" s="148">
        <v>46823</v>
      </c>
      <c r="AB175" s="159">
        <v>24</v>
      </c>
      <c r="AC175" s="293">
        <v>5</v>
      </c>
      <c r="AD175" s="145" t="s">
        <v>18</v>
      </c>
      <c r="AE175" s="145" t="s">
        <v>18</v>
      </c>
      <c r="AF175" s="150"/>
      <c r="AG175" s="155" t="s">
        <v>17</v>
      </c>
      <c r="AH175" s="294"/>
      <c r="AI175" s="300" t="s">
        <v>1776</v>
      </c>
      <c r="AJ175" s="195">
        <f>SUMIF('TK 15661.Bản quyền phim '!F:F,'KK1. Movies'!D175,'TK 15661.Bản quyền phim '!X:X)</f>
        <v>53650793.333333328</v>
      </c>
      <c r="AK175" s="195">
        <f>SUMIF('TK 15661.Bản quyền phim '!F:F,'KK1. Movies'!AI175,'TK 15661.Bản quyền phim '!X:X)</f>
        <v>53650793.333333328</v>
      </c>
      <c r="AL175" s="295">
        <f>COUNTIF('242.BQ Phim hợp tác'!$C:$C,'KK1. Movies'!AI175)</f>
        <v>0</v>
      </c>
      <c r="AM175" s="295">
        <f>COUNTIF('TK 15661.Bản quyền phim '!F:F,'KK1. Movies'!AI175)</f>
        <v>1</v>
      </c>
      <c r="AN175" s="296">
        <f t="shared" si="2"/>
        <v>1</v>
      </c>
      <c r="AO175" s="295"/>
      <c r="AP175" s="295"/>
      <c r="AQ175" s="295"/>
      <c r="AR175" s="295"/>
      <c r="AS175" s="295"/>
    </row>
    <row r="176" spans="1:45" s="296" customFormat="1" x14ac:dyDescent="0.3">
      <c r="A176" s="292">
        <f>_xlfn.AGGREGATE(3,3,$D$7:D176)</f>
        <v>170</v>
      </c>
      <c r="B176" s="143"/>
      <c r="C176" s="144" t="s">
        <v>1775</v>
      </c>
      <c r="D176" s="160" t="s">
        <v>1773</v>
      </c>
      <c r="E176" s="166" t="s">
        <v>1774</v>
      </c>
      <c r="F176" s="158" t="s">
        <v>350</v>
      </c>
      <c r="G176" s="158" t="s">
        <v>513</v>
      </c>
      <c r="H176" s="144" t="s">
        <v>1135</v>
      </c>
      <c r="I176" s="159">
        <v>2023</v>
      </c>
      <c r="J176" s="159" t="s">
        <v>178</v>
      </c>
      <c r="K176" s="159">
        <v>116</v>
      </c>
      <c r="L176" s="161">
        <v>45805</v>
      </c>
      <c r="M176" s="161">
        <v>46901</v>
      </c>
      <c r="N176" s="157"/>
      <c r="O176" s="145"/>
      <c r="P176" s="159">
        <v>36</v>
      </c>
      <c r="Q176" s="159" t="s">
        <v>20</v>
      </c>
      <c r="R176" s="145" t="s">
        <v>18</v>
      </c>
      <c r="S176" s="159" t="s">
        <v>18</v>
      </c>
      <c r="T176" s="145" t="s">
        <v>18</v>
      </c>
      <c r="U176" s="159" t="s">
        <v>18</v>
      </c>
      <c r="V176" s="159" t="s">
        <v>20</v>
      </c>
      <c r="W176" s="159" t="s">
        <v>18</v>
      </c>
      <c r="X176" s="159" t="s">
        <v>18</v>
      </c>
      <c r="Y176" s="159" t="s">
        <v>18</v>
      </c>
      <c r="Z176" s="161">
        <v>45805</v>
      </c>
      <c r="AA176" s="188">
        <v>46901</v>
      </c>
      <c r="AB176" s="159" t="s">
        <v>218</v>
      </c>
      <c r="AC176" s="293">
        <v>6</v>
      </c>
      <c r="AD176" s="145" t="s">
        <v>18</v>
      </c>
      <c r="AE176" s="145" t="s">
        <v>18</v>
      </c>
      <c r="AF176" s="150"/>
      <c r="AG176" s="155" t="s">
        <v>17</v>
      </c>
      <c r="AH176" s="294"/>
      <c r="AI176" s="300" t="s">
        <v>1773</v>
      </c>
      <c r="AJ176" s="195">
        <f>SUMIF('TK 15661.Bản quyền phim '!F:F,'KK1. Movies'!D176,'TK 15661.Bản quyền phim '!X:X)</f>
        <v>47059320</v>
      </c>
      <c r="AK176" s="195">
        <f>SUMIF('TK 15661.Bản quyền phim '!F:F,'KK1. Movies'!AI176,'TK 15661.Bản quyền phim '!X:X)</f>
        <v>47059320</v>
      </c>
      <c r="AL176" s="295">
        <f>COUNTIF('242.BQ Phim hợp tác'!$C:$C,'KK1. Movies'!AI176)</f>
        <v>0</v>
      </c>
      <c r="AM176" s="295">
        <f>COUNTIF('TK 15661.Bản quyền phim '!F:F,'KK1. Movies'!AI176)</f>
        <v>1</v>
      </c>
      <c r="AN176" s="296">
        <f t="shared" si="2"/>
        <v>1</v>
      </c>
      <c r="AO176" s="295"/>
      <c r="AP176" s="295"/>
      <c r="AQ176" s="295"/>
      <c r="AR176" s="295"/>
      <c r="AS176" s="295"/>
    </row>
    <row r="177" spans="1:45" s="296" customFormat="1" ht="26.4" x14ac:dyDescent="0.3">
      <c r="A177" s="292">
        <f>_xlfn.AGGREGATE(3,3,$D$7:D177)</f>
        <v>171</v>
      </c>
      <c r="B177" s="143" t="s">
        <v>1402</v>
      </c>
      <c r="C177" s="341" t="s">
        <v>1772</v>
      </c>
      <c r="D177" s="160" t="s">
        <v>1770</v>
      </c>
      <c r="E177" s="166" t="s">
        <v>1771</v>
      </c>
      <c r="F177" s="144" t="s">
        <v>1013</v>
      </c>
      <c r="G177" s="158" t="s">
        <v>1324</v>
      </c>
      <c r="H177" s="144" t="s">
        <v>1323</v>
      </c>
      <c r="I177" s="159">
        <v>2023</v>
      </c>
      <c r="J177" s="159" t="s">
        <v>133</v>
      </c>
      <c r="K177" s="159">
        <v>113</v>
      </c>
      <c r="L177" s="163">
        <v>45684</v>
      </c>
      <c r="M177" s="161">
        <v>46778</v>
      </c>
      <c r="N177" s="163"/>
      <c r="O177" s="145"/>
      <c r="P177" s="159">
        <v>12</v>
      </c>
      <c r="Q177" s="159" t="s">
        <v>20</v>
      </c>
      <c r="R177" s="159" t="s">
        <v>18</v>
      </c>
      <c r="S177" s="159" t="s">
        <v>18</v>
      </c>
      <c r="T177" s="145" t="s">
        <v>18</v>
      </c>
      <c r="U177" s="159" t="s">
        <v>18</v>
      </c>
      <c r="V177" s="159" t="s">
        <v>18</v>
      </c>
      <c r="W177" s="159" t="s">
        <v>18</v>
      </c>
      <c r="X177" s="159" t="s">
        <v>18</v>
      </c>
      <c r="Y177" s="159" t="s">
        <v>18</v>
      </c>
      <c r="Z177" s="161">
        <v>45765</v>
      </c>
      <c r="AA177" s="188">
        <v>46860</v>
      </c>
      <c r="AB177" s="159" t="s">
        <v>1322</v>
      </c>
      <c r="AC177" s="293">
        <v>10</v>
      </c>
      <c r="AD177" s="145" t="s">
        <v>18</v>
      </c>
      <c r="AE177" s="145" t="s">
        <v>18</v>
      </c>
      <c r="AF177" s="150"/>
      <c r="AG177" s="155" t="s">
        <v>17</v>
      </c>
      <c r="AH177" s="294"/>
      <c r="AI177" s="158" t="s">
        <v>1770</v>
      </c>
      <c r="AJ177" s="195">
        <f>SUMIF('TK 15661.Bản quyền phim '!F:F,'KK1. Movies'!D177,'TK 15661.Bản quyền phim '!X:X)</f>
        <v>82539682.666666657</v>
      </c>
      <c r="AK177" s="195">
        <f>SUMIF('TK 15661.Bản quyền phim '!F:F,'KK1. Movies'!AI177,'TK 15661.Bản quyền phim '!X:X)</f>
        <v>82539682.666666657</v>
      </c>
      <c r="AL177" s="295">
        <f>COUNTIF('242.BQ Phim hợp tác'!$C:$C,'KK1. Movies'!AI177)</f>
        <v>0</v>
      </c>
      <c r="AM177" s="295">
        <f>COUNTIF('TK 15661.Bản quyền phim '!F:F,'KK1. Movies'!AI177)</f>
        <v>1</v>
      </c>
      <c r="AN177" s="296">
        <f t="shared" si="2"/>
        <v>1</v>
      </c>
      <c r="AO177" s="295"/>
      <c r="AP177" s="295"/>
      <c r="AQ177" s="295"/>
      <c r="AR177" s="295"/>
      <c r="AS177" s="295"/>
    </row>
    <row r="178" spans="1:45" s="296" customFormat="1" ht="26.4" x14ac:dyDescent="0.3">
      <c r="A178" s="292">
        <f>_xlfn.AGGREGATE(3,3,$D$7:D178)</f>
        <v>172</v>
      </c>
      <c r="B178" s="156" t="s">
        <v>1145</v>
      </c>
      <c r="C178" s="144" t="s">
        <v>1769</v>
      </c>
      <c r="D178" s="160" t="s">
        <v>1766</v>
      </c>
      <c r="E178" s="144" t="s">
        <v>1768</v>
      </c>
      <c r="F178" s="158" t="s">
        <v>1767</v>
      </c>
      <c r="G178" s="158" t="s">
        <v>1351</v>
      </c>
      <c r="H178" s="144" t="s">
        <v>1350</v>
      </c>
      <c r="I178" s="159">
        <v>2023</v>
      </c>
      <c r="J178" s="159" t="s">
        <v>178</v>
      </c>
      <c r="K178" s="159">
        <v>100</v>
      </c>
      <c r="L178" s="163">
        <v>45813</v>
      </c>
      <c r="M178" s="148">
        <v>46908</v>
      </c>
      <c r="N178" s="157" t="s">
        <v>1145</v>
      </c>
      <c r="O178" s="145"/>
      <c r="P178" s="159">
        <v>12</v>
      </c>
      <c r="Q178" s="159" t="s">
        <v>20</v>
      </c>
      <c r="R178" s="145" t="s">
        <v>18</v>
      </c>
      <c r="S178" s="162" t="s">
        <v>18</v>
      </c>
      <c r="T178" s="145" t="s">
        <v>18</v>
      </c>
      <c r="U178" s="162" t="s">
        <v>18</v>
      </c>
      <c r="V178" s="162" t="s">
        <v>18</v>
      </c>
      <c r="W178" s="162" t="s">
        <v>18</v>
      </c>
      <c r="X178" s="162" t="s">
        <v>18</v>
      </c>
      <c r="Y178" s="159" t="s">
        <v>18</v>
      </c>
      <c r="Z178" s="169">
        <v>45813</v>
      </c>
      <c r="AA178" s="344">
        <v>46908</v>
      </c>
      <c r="AB178" s="159">
        <v>24</v>
      </c>
      <c r="AC178" s="293">
        <v>3</v>
      </c>
      <c r="AD178" s="145" t="s">
        <v>18</v>
      </c>
      <c r="AE178" s="145" t="s">
        <v>18</v>
      </c>
      <c r="AF178" s="150"/>
      <c r="AG178" s="155" t="s">
        <v>17</v>
      </c>
      <c r="AH178" s="294"/>
      <c r="AI178" s="300" t="s">
        <v>1766</v>
      </c>
      <c r="AJ178" s="195">
        <f>SUMIF('TK 15661.Bản quyền phim '!F:F,'KK1. Movies'!D178,'TK 15661.Bản quyền phim '!X:X)</f>
        <v>56444444.666666672</v>
      </c>
      <c r="AK178" s="195">
        <f>SUMIF('TK 15661.Bản quyền phim '!F:F,'KK1. Movies'!AI178,'TK 15661.Bản quyền phim '!X:X)</f>
        <v>56444444.666666672</v>
      </c>
      <c r="AL178" s="295">
        <f>COUNTIF('242.BQ Phim hợp tác'!$C:$C,'KK1. Movies'!AI178)</f>
        <v>0</v>
      </c>
      <c r="AM178" s="295">
        <f>COUNTIF('TK 15661.Bản quyền phim '!F:F,'KK1. Movies'!AI178)</f>
        <v>1</v>
      </c>
      <c r="AN178" s="296">
        <f t="shared" si="2"/>
        <v>1</v>
      </c>
      <c r="AO178" s="295"/>
      <c r="AP178" s="295"/>
      <c r="AQ178" s="295"/>
      <c r="AR178" s="295"/>
      <c r="AS178" s="295"/>
    </row>
    <row r="179" spans="1:45" s="296" customFormat="1" ht="52.8" x14ac:dyDescent="0.3">
      <c r="A179" s="292">
        <f>_xlfn.AGGREGATE(3,3,$D$7:D179)</f>
        <v>173</v>
      </c>
      <c r="B179" s="156" t="s">
        <v>1145</v>
      </c>
      <c r="C179" s="144" t="s">
        <v>1765</v>
      </c>
      <c r="D179" s="160" t="s">
        <v>1763</v>
      </c>
      <c r="E179" s="166" t="s">
        <v>1764</v>
      </c>
      <c r="F179" s="144" t="s">
        <v>1013</v>
      </c>
      <c r="G179" s="158" t="s">
        <v>1141</v>
      </c>
      <c r="H179" s="144" t="s">
        <v>1140</v>
      </c>
      <c r="I179" s="159">
        <v>2024</v>
      </c>
      <c r="J179" s="159" t="s">
        <v>133</v>
      </c>
      <c r="K179" s="159">
        <v>100</v>
      </c>
      <c r="L179" s="163">
        <v>45736</v>
      </c>
      <c r="M179" s="161">
        <v>46041</v>
      </c>
      <c r="N179" s="157"/>
      <c r="O179" s="145"/>
      <c r="P179" s="145"/>
      <c r="Q179" s="159" t="s">
        <v>20</v>
      </c>
      <c r="R179" s="159" t="s">
        <v>18</v>
      </c>
      <c r="S179" s="159" t="s">
        <v>18</v>
      </c>
      <c r="T179" s="145" t="s">
        <v>18</v>
      </c>
      <c r="U179" s="159" t="s">
        <v>20</v>
      </c>
      <c r="V179" s="159" t="s">
        <v>20</v>
      </c>
      <c r="W179" s="159" t="s">
        <v>20</v>
      </c>
      <c r="X179" s="159" t="s">
        <v>18</v>
      </c>
      <c r="Y179" s="159" t="s">
        <v>20</v>
      </c>
      <c r="Z179" s="161">
        <v>45736</v>
      </c>
      <c r="AA179" s="188">
        <v>46041</v>
      </c>
      <c r="AB179" s="159">
        <v>6</v>
      </c>
      <c r="AC179" s="293">
        <v>2</v>
      </c>
      <c r="AD179" s="145" t="s">
        <v>18</v>
      </c>
      <c r="AE179" s="145" t="s">
        <v>18</v>
      </c>
      <c r="AF179" s="150"/>
      <c r="AG179" s="155" t="s">
        <v>17</v>
      </c>
      <c r="AH179" s="294"/>
      <c r="AI179" s="299" t="s">
        <v>1763</v>
      </c>
      <c r="AJ179" s="195">
        <f>SUMIF('TK 15661.Bản quyền phim '!F:F,'KK1. Movies'!D179,'TK 15661.Bản quyền phim '!X:X)</f>
        <v>0</v>
      </c>
      <c r="AK179" s="195">
        <f>SUMIF('TK 15661.Bản quyền phim '!F:F,'KK1. Movies'!AI179,'TK 15661.Bản quyền phim '!X:X)</f>
        <v>0</v>
      </c>
      <c r="AL179" s="295">
        <f>COUNTIF('242.BQ Phim hợp tác'!$C:$C,'KK1. Movies'!AI179)</f>
        <v>0</v>
      </c>
      <c r="AM179" s="295">
        <f>COUNTIF('TK 15661.Bản quyền phim '!F:F,'KK1. Movies'!AI179)</f>
        <v>1</v>
      </c>
      <c r="AN179" s="296">
        <f t="shared" si="2"/>
        <v>1</v>
      </c>
      <c r="AO179" s="295"/>
      <c r="AP179" s="295"/>
      <c r="AQ179" s="295"/>
      <c r="AR179" s="295"/>
      <c r="AS179" s="295"/>
    </row>
    <row r="180" spans="1:45" s="296" customFormat="1" ht="26.4" x14ac:dyDescent="0.3">
      <c r="A180" s="292">
        <f>_xlfn.AGGREGATE(3,3,$D$7:D180)</f>
        <v>174</v>
      </c>
      <c r="B180" s="156" t="s">
        <v>1145</v>
      </c>
      <c r="C180" s="341" t="s">
        <v>1762</v>
      </c>
      <c r="D180" s="160" t="s">
        <v>1759</v>
      </c>
      <c r="E180" s="160" t="s">
        <v>1761</v>
      </c>
      <c r="F180" s="164" t="s">
        <v>1760</v>
      </c>
      <c r="G180" s="164" t="s">
        <v>1372</v>
      </c>
      <c r="H180" s="144" t="s">
        <v>1371</v>
      </c>
      <c r="I180" s="162">
        <v>2023</v>
      </c>
      <c r="J180" s="162" t="s">
        <v>178</v>
      </c>
      <c r="K180" s="162">
        <v>90</v>
      </c>
      <c r="L180" s="163">
        <v>45870</v>
      </c>
      <c r="M180" s="148">
        <v>46965</v>
      </c>
      <c r="N180" s="157" t="s">
        <v>1145</v>
      </c>
      <c r="O180" s="145"/>
      <c r="P180" s="159">
        <v>12</v>
      </c>
      <c r="Q180" s="162" t="s">
        <v>20</v>
      </c>
      <c r="R180" s="145" t="s">
        <v>18</v>
      </c>
      <c r="S180" s="159" t="s">
        <v>18</v>
      </c>
      <c r="T180" s="145" t="s">
        <v>18</v>
      </c>
      <c r="U180" s="159" t="s">
        <v>18</v>
      </c>
      <c r="V180" s="159" t="s">
        <v>18</v>
      </c>
      <c r="W180" s="159" t="s">
        <v>18</v>
      </c>
      <c r="X180" s="159" t="s">
        <v>18</v>
      </c>
      <c r="Y180" s="159" t="s">
        <v>20</v>
      </c>
      <c r="Z180" s="165">
        <v>45870</v>
      </c>
      <c r="AA180" s="189">
        <v>46965</v>
      </c>
      <c r="AB180" s="162">
        <v>24</v>
      </c>
      <c r="AC180" s="293">
        <v>3</v>
      </c>
      <c r="AD180" s="145" t="s">
        <v>18</v>
      </c>
      <c r="AE180" s="145" t="s">
        <v>18</v>
      </c>
      <c r="AF180" s="150"/>
      <c r="AG180" s="155" t="s">
        <v>17</v>
      </c>
      <c r="AH180" s="294"/>
      <c r="AI180" s="300" t="s">
        <v>1759</v>
      </c>
      <c r="AJ180" s="195">
        <f>SUMIF('TK 15661.Bản quyền phim '!F:F,'KK1. Movies'!D180,'TK 15661.Bản quyền phim '!X:X)</f>
        <v>59932952.666666672</v>
      </c>
      <c r="AK180" s="195">
        <f>SUMIF('TK 15661.Bản quyền phim '!F:F,'KK1. Movies'!AI180,'TK 15661.Bản quyền phim '!X:X)</f>
        <v>59932952.666666672</v>
      </c>
      <c r="AL180" s="295">
        <f>COUNTIF('242.BQ Phim hợp tác'!$C:$C,'KK1. Movies'!AI180)</f>
        <v>0</v>
      </c>
      <c r="AM180" s="295">
        <f>COUNTIF('TK 15661.Bản quyền phim '!F:F,'KK1. Movies'!AI180)</f>
        <v>1</v>
      </c>
      <c r="AN180" s="296">
        <f t="shared" si="2"/>
        <v>1</v>
      </c>
      <c r="AO180" s="295"/>
      <c r="AP180" s="295"/>
      <c r="AQ180" s="295"/>
      <c r="AR180" s="295"/>
      <c r="AS180" s="295"/>
    </row>
    <row r="181" spans="1:45" s="296" customFormat="1" ht="26.4" x14ac:dyDescent="0.3">
      <c r="A181" s="292">
        <f>_xlfn.AGGREGATE(3,3,$D$7:D181)</f>
        <v>175</v>
      </c>
      <c r="B181" s="143" t="s">
        <v>1402</v>
      </c>
      <c r="C181" s="144" t="s">
        <v>1758</v>
      </c>
      <c r="D181" s="160" t="s">
        <v>1757</v>
      </c>
      <c r="E181" s="166" t="s">
        <v>1756</v>
      </c>
      <c r="F181" s="144" t="s">
        <v>511</v>
      </c>
      <c r="G181" s="158" t="s">
        <v>1324</v>
      </c>
      <c r="H181" s="144" t="s">
        <v>1449</v>
      </c>
      <c r="I181" s="159">
        <v>2023</v>
      </c>
      <c r="J181" s="150" t="s">
        <v>133</v>
      </c>
      <c r="K181" s="159">
        <v>132</v>
      </c>
      <c r="L181" s="148">
        <v>45333</v>
      </c>
      <c r="M181" s="161">
        <v>46428</v>
      </c>
      <c r="N181" s="157">
        <v>45333</v>
      </c>
      <c r="O181" s="145" t="s">
        <v>584</v>
      </c>
      <c r="P181" s="151">
        <v>12</v>
      </c>
      <c r="Q181" s="159" t="s">
        <v>20</v>
      </c>
      <c r="R181" s="145" t="s">
        <v>18</v>
      </c>
      <c r="S181" s="145" t="s">
        <v>18</v>
      </c>
      <c r="T181" s="145" t="s">
        <v>18</v>
      </c>
      <c r="U181" s="145" t="s">
        <v>18</v>
      </c>
      <c r="V181" s="145" t="s">
        <v>18</v>
      </c>
      <c r="W181" s="145" t="s">
        <v>18</v>
      </c>
      <c r="X181" s="159" t="s">
        <v>20</v>
      </c>
      <c r="Y181" s="145" t="s">
        <v>18</v>
      </c>
      <c r="Z181" s="161">
        <v>45359</v>
      </c>
      <c r="AA181" s="188">
        <v>46449</v>
      </c>
      <c r="AB181" s="145" t="s">
        <v>218</v>
      </c>
      <c r="AC181" s="293">
        <v>28</v>
      </c>
      <c r="AD181" s="145" t="s">
        <v>18</v>
      </c>
      <c r="AE181" s="145" t="s">
        <v>18</v>
      </c>
      <c r="AF181" s="150"/>
      <c r="AG181" s="155" t="s">
        <v>17</v>
      </c>
      <c r="AH181" s="294"/>
      <c r="AI181" s="300" t="s">
        <v>1755</v>
      </c>
      <c r="AJ181" s="195">
        <f>SUMIF('TK 15661.Bản quyền phim '!F:F,'KK1. Movies'!D181,'TK 15661.Bản quyền phim '!X:X)</f>
        <v>0</v>
      </c>
      <c r="AK181" s="195">
        <f>SUMIF('TK 15661.Bản quyền phim '!F:F,'KK1. Movies'!AI181,'TK 15661.Bản quyền phim '!X:X)</f>
        <v>50793650.666666679</v>
      </c>
      <c r="AL181" s="295">
        <f>COUNTIF('242.BQ Phim hợp tác'!$C:$C,'KK1. Movies'!AI181)</f>
        <v>0</v>
      </c>
      <c r="AM181" s="295">
        <f>COUNTIF('TK 15661.Bản quyền phim '!F:F,'KK1. Movies'!AI181)</f>
        <v>1</v>
      </c>
      <c r="AN181" s="296">
        <f t="shared" si="2"/>
        <v>1</v>
      </c>
      <c r="AO181" s="295"/>
      <c r="AP181" s="295"/>
      <c r="AQ181" s="295"/>
      <c r="AR181" s="295"/>
      <c r="AS181" s="295"/>
    </row>
    <row r="182" spans="1:45" s="296" customFormat="1" ht="52.8" x14ac:dyDescent="0.3">
      <c r="A182" s="292">
        <f>_xlfn.AGGREGATE(3,3,$D$7:D182)</f>
        <v>176</v>
      </c>
      <c r="B182" s="143" t="s">
        <v>1402</v>
      </c>
      <c r="C182" s="341" t="s">
        <v>1754</v>
      </c>
      <c r="D182" s="160" t="s">
        <v>1752</v>
      </c>
      <c r="E182" s="166" t="s">
        <v>1753</v>
      </c>
      <c r="F182" s="144" t="s">
        <v>350</v>
      </c>
      <c r="G182" s="158" t="s">
        <v>1592</v>
      </c>
      <c r="H182" s="144" t="s">
        <v>1591</v>
      </c>
      <c r="I182" s="159">
        <v>2019</v>
      </c>
      <c r="J182" s="150" t="s">
        <v>196</v>
      </c>
      <c r="K182" s="159">
        <v>132</v>
      </c>
      <c r="L182" s="148">
        <v>45382</v>
      </c>
      <c r="M182" s="161">
        <v>46111</v>
      </c>
      <c r="N182" s="157">
        <v>45420</v>
      </c>
      <c r="O182" s="145" t="s">
        <v>584</v>
      </c>
      <c r="P182" s="145"/>
      <c r="Q182" s="159" t="s">
        <v>20</v>
      </c>
      <c r="R182" s="145" t="s">
        <v>18</v>
      </c>
      <c r="S182" s="145" t="s">
        <v>18</v>
      </c>
      <c r="T182" s="145" t="s">
        <v>18</v>
      </c>
      <c r="U182" s="159" t="s">
        <v>20</v>
      </c>
      <c r="V182" s="159" t="s">
        <v>20</v>
      </c>
      <c r="W182" s="159" t="s">
        <v>20</v>
      </c>
      <c r="X182" s="159" t="s">
        <v>20</v>
      </c>
      <c r="Y182" s="159" t="s">
        <v>20</v>
      </c>
      <c r="Z182" s="148">
        <v>45382</v>
      </c>
      <c r="AA182" s="188">
        <v>46111</v>
      </c>
      <c r="AB182" s="162">
        <v>7</v>
      </c>
      <c r="AC182" s="293">
        <v>7</v>
      </c>
      <c r="AD182" s="145" t="s">
        <v>18</v>
      </c>
      <c r="AE182" s="145" t="s">
        <v>18</v>
      </c>
      <c r="AF182" s="150"/>
      <c r="AG182" s="155" t="s">
        <v>17</v>
      </c>
      <c r="AH182" s="294"/>
      <c r="AI182" s="298" t="s">
        <v>1752</v>
      </c>
      <c r="AJ182" s="195">
        <f>SUMIF('TK 15661.Bản quyền phim '!F:F,'KK1. Movies'!D182,'TK 15661.Bản quyền phim '!X:X)</f>
        <v>0</v>
      </c>
      <c r="AK182" s="195">
        <f>SUMIF('TK 15661.Bản quyền phim '!F:F,'KK1. Movies'!AI182,'TK 15661.Bản quyền phim '!X:X)</f>
        <v>0</v>
      </c>
      <c r="AL182" s="295">
        <f>COUNTIF('242.BQ Phim hợp tác'!$C:$C,'KK1. Movies'!AI182)</f>
        <v>0</v>
      </c>
      <c r="AM182" s="295">
        <f>COUNTIF('TK 15661.Bản quyền phim '!F:F,'KK1. Movies'!AI182)</f>
        <v>1</v>
      </c>
      <c r="AN182" s="296">
        <f t="shared" si="2"/>
        <v>1</v>
      </c>
      <c r="AO182" s="295"/>
      <c r="AP182" s="295"/>
      <c r="AQ182" s="295"/>
      <c r="AR182" s="295"/>
      <c r="AS182" s="295"/>
    </row>
    <row r="183" spans="1:45" s="296" customFormat="1" ht="26.4" x14ac:dyDescent="0.3">
      <c r="A183" s="292">
        <f>_xlfn.AGGREGATE(3,3,$D$7:D183)</f>
        <v>177</v>
      </c>
      <c r="B183" s="143" t="s">
        <v>1392</v>
      </c>
      <c r="C183" s="341" t="s">
        <v>1751</v>
      </c>
      <c r="D183" s="160" t="s">
        <v>1750</v>
      </c>
      <c r="E183" s="144" t="s">
        <v>1749</v>
      </c>
      <c r="F183" s="164" t="s">
        <v>1748</v>
      </c>
      <c r="G183" s="164" t="s">
        <v>1515</v>
      </c>
      <c r="H183" s="164" t="s">
        <v>1514</v>
      </c>
      <c r="I183" s="162">
        <v>2011</v>
      </c>
      <c r="J183" s="150" t="s">
        <v>703</v>
      </c>
      <c r="K183" s="162">
        <v>100</v>
      </c>
      <c r="L183" s="148">
        <v>45560</v>
      </c>
      <c r="M183" s="165">
        <v>46654</v>
      </c>
      <c r="N183" s="157">
        <v>45560</v>
      </c>
      <c r="O183" s="145" t="s">
        <v>584</v>
      </c>
      <c r="P183" s="159" t="s">
        <v>1513</v>
      </c>
      <c r="Q183" s="159" t="s">
        <v>20</v>
      </c>
      <c r="R183" s="145" t="s">
        <v>18</v>
      </c>
      <c r="S183" s="159" t="s">
        <v>18</v>
      </c>
      <c r="T183" s="145" t="s">
        <v>18</v>
      </c>
      <c r="U183" s="159" t="s">
        <v>18</v>
      </c>
      <c r="V183" s="159" t="s">
        <v>18</v>
      </c>
      <c r="W183" s="159" t="s">
        <v>18</v>
      </c>
      <c r="X183" s="159" t="s">
        <v>20</v>
      </c>
      <c r="Y183" s="159" t="s">
        <v>20</v>
      </c>
      <c r="Z183" s="148">
        <v>45560</v>
      </c>
      <c r="AA183" s="165">
        <v>46654</v>
      </c>
      <c r="AB183" s="162" t="s">
        <v>130</v>
      </c>
      <c r="AC183" s="160">
        <v>11</v>
      </c>
      <c r="AD183" s="145" t="s">
        <v>18</v>
      </c>
      <c r="AE183" s="145" t="s">
        <v>18</v>
      </c>
      <c r="AF183" s="150"/>
      <c r="AG183" s="155" t="s">
        <v>17</v>
      </c>
      <c r="AH183" s="294"/>
      <c r="AI183" s="300" t="s">
        <v>1747</v>
      </c>
      <c r="AJ183" s="195">
        <f>SUMIF('TK 15661.Bản quyền phim '!F:F,'KK1. Movies'!D183,'TK 15661.Bản quyền phim '!X:X)</f>
        <v>0</v>
      </c>
      <c r="AK183" s="195">
        <f>SUMIF('TK 15661.Bản quyền phim '!F:F,'KK1. Movies'!AI183,'TK 15661.Bản quyền phim '!X:X)</f>
        <v>33737936.666666679</v>
      </c>
      <c r="AL183" s="295">
        <f>COUNTIF('242.BQ Phim hợp tác'!$C:$C,'KK1. Movies'!AI183)</f>
        <v>0</v>
      </c>
      <c r="AM183" s="295">
        <f>COUNTIF('TK 15661.Bản quyền phim '!F:F,'KK1. Movies'!AI183)</f>
        <v>1</v>
      </c>
      <c r="AN183" s="296">
        <f t="shared" si="2"/>
        <v>1</v>
      </c>
      <c r="AO183" s="295"/>
      <c r="AP183" s="295"/>
      <c r="AQ183" s="295"/>
      <c r="AR183" s="295"/>
      <c r="AS183" s="295"/>
    </row>
    <row r="184" spans="1:45" s="296" customFormat="1" x14ac:dyDescent="0.3">
      <c r="A184" s="292">
        <f>_xlfn.AGGREGATE(3,3,$D$7:D184)</f>
        <v>178</v>
      </c>
      <c r="B184" s="143" t="s">
        <v>1392</v>
      </c>
      <c r="C184" s="341" t="s">
        <v>1746</v>
      </c>
      <c r="D184" s="160" t="s">
        <v>1744</v>
      </c>
      <c r="E184" s="166" t="s">
        <v>1745</v>
      </c>
      <c r="F184" s="164" t="s">
        <v>1013</v>
      </c>
      <c r="G184" s="164" t="s">
        <v>198</v>
      </c>
      <c r="H184" s="164" t="s">
        <v>197</v>
      </c>
      <c r="I184" s="159">
        <v>2015</v>
      </c>
      <c r="J184" s="162" t="s">
        <v>196</v>
      </c>
      <c r="K184" s="159">
        <v>121</v>
      </c>
      <c r="L184" s="148">
        <v>45651</v>
      </c>
      <c r="M184" s="148">
        <v>46380</v>
      </c>
      <c r="N184" s="157">
        <v>45651</v>
      </c>
      <c r="O184" s="145" t="s">
        <v>584</v>
      </c>
      <c r="P184" s="159" t="s">
        <v>1513</v>
      </c>
      <c r="Q184" s="159" t="s">
        <v>20</v>
      </c>
      <c r="R184" s="145" t="s">
        <v>18</v>
      </c>
      <c r="S184" s="159" t="s">
        <v>18</v>
      </c>
      <c r="T184" s="145" t="s">
        <v>18</v>
      </c>
      <c r="U184" s="159" t="s">
        <v>20</v>
      </c>
      <c r="V184" s="159" t="s">
        <v>20</v>
      </c>
      <c r="W184" s="159" t="s">
        <v>20</v>
      </c>
      <c r="X184" s="159" t="s">
        <v>20</v>
      </c>
      <c r="Y184" s="159" t="s">
        <v>18</v>
      </c>
      <c r="Z184" s="148">
        <v>45651</v>
      </c>
      <c r="AA184" s="148">
        <v>46380</v>
      </c>
      <c r="AB184" s="162">
        <v>6</v>
      </c>
      <c r="AC184" s="162">
        <v>2</v>
      </c>
      <c r="AD184" s="145" t="s">
        <v>18</v>
      </c>
      <c r="AE184" s="145" t="s">
        <v>18</v>
      </c>
      <c r="AF184" s="150"/>
      <c r="AG184" s="155" t="s">
        <v>17</v>
      </c>
      <c r="AH184" s="294"/>
      <c r="AI184" s="299" t="s">
        <v>1744</v>
      </c>
      <c r="AJ184" s="195">
        <f>SUMIF('TK 15661.Bản quyền phim '!F:F,'KK1. Movies'!D184,'TK 15661.Bản quyền phim '!X:X)</f>
        <v>0</v>
      </c>
      <c r="AK184" s="195">
        <f>SUMIF('TK 15661.Bản quyền phim '!F:F,'KK1. Movies'!AI184,'TK 15661.Bản quyền phim '!X:X)</f>
        <v>0</v>
      </c>
      <c r="AL184" s="295">
        <f>COUNTIF('242.BQ Phim hợp tác'!$C:$C,'KK1. Movies'!AI184)</f>
        <v>0</v>
      </c>
      <c r="AM184" s="295">
        <f>COUNTIF('TK 15661.Bản quyền phim '!F:F,'KK1. Movies'!AI184)</f>
        <v>1</v>
      </c>
      <c r="AN184" s="296">
        <f t="shared" si="2"/>
        <v>1</v>
      </c>
      <c r="AO184" s="295"/>
      <c r="AP184" s="295"/>
      <c r="AQ184" s="295"/>
      <c r="AR184" s="295"/>
      <c r="AS184" s="295"/>
    </row>
    <row r="185" spans="1:45" s="296" customFormat="1" ht="26.4" x14ac:dyDescent="0.3">
      <c r="A185" s="292">
        <f>_xlfn.AGGREGATE(3,3,$D$7:D185)</f>
        <v>179</v>
      </c>
      <c r="B185" s="156" t="s">
        <v>1145</v>
      </c>
      <c r="C185" s="144" t="s">
        <v>1743</v>
      </c>
      <c r="D185" s="160" t="s">
        <v>1741</v>
      </c>
      <c r="E185" s="142" t="s">
        <v>1742</v>
      </c>
      <c r="F185" s="158" t="s">
        <v>385</v>
      </c>
      <c r="G185" s="158" t="s">
        <v>198</v>
      </c>
      <c r="H185" s="164" t="s">
        <v>1208</v>
      </c>
      <c r="I185" s="159">
        <v>2022</v>
      </c>
      <c r="J185" s="159" t="s">
        <v>196</v>
      </c>
      <c r="K185" s="159">
        <v>115</v>
      </c>
      <c r="L185" s="163">
        <v>45710</v>
      </c>
      <c r="M185" s="148">
        <v>46439</v>
      </c>
      <c r="N185" s="157" t="s">
        <v>1145</v>
      </c>
      <c r="O185" s="145"/>
      <c r="P185" s="159"/>
      <c r="Q185" s="162" t="s">
        <v>20</v>
      </c>
      <c r="R185" s="145" t="s">
        <v>18</v>
      </c>
      <c r="S185" s="162" t="s">
        <v>18</v>
      </c>
      <c r="T185" s="145" t="s">
        <v>18</v>
      </c>
      <c r="U185" s="159" t="s">
        <v>20</v>
      </c>
      <c r="V185" s="159" t="s">
        <v>20</v>
      </c>
      <c r="W185" s="159" t="s">
        <v>20</v>
      </c>
      <c r="X185" s="162" t="s">
        <v>18</v>
      </c>
      <c r="Y185" s="159" t="s">
        <v>20</v>
      </c>
      <c r="Z185" s="165">
        <v>45710</v>
      </c>
      <c r="AA185" s="188">
        <v>46439</v>
      </c>
      <c r="AB185" s="159">
        <v>6</v>
      </c>
      <c r="AC185" s="293">
        <v>3</v>
      </c>
      <c r="AD185" s="145" t="s">
        <v>18</v>
      </c>
      <c r="AE185" s="145" t="s">
        <v>18</v>
      </c>
      <c r="AF185" s="150"/>
      <c r="AG185" s="155" t="s">
        <v>17</v>
      </c>
      <c r="AH185" s="294"/>
      <c r="AI185" s="300" t="s">
        <v>1741</v>
      </c>
      <c r="AJ185" s="195">
        <f>SUMIF('TK 15661.Bản quyền phim '!F:F,'KK1. Movies'!D185,'TK 15661.Bản quyền phim '!X:X)</f>
        <v>50311800</v>
      </c>
      <c r="AK185" s="195">
        <f>SUMIF('TK 15661.Bản quyền phim '!F:F,'KK1. Movies'!AI185,'TK 15661.Bản quyền phim '!X:X)</f>
        <v>50311800</v>
      </c>
      <c r="AL185" s="295">
        <f>COUNTIF('242.BQ Phim hợp tác'!$C:$C,'KK1. Movies'!AI185)</f>
        <v>0</v>
      </c>
      <c r="AM185" s="295">
        <f>COUNTIF('TK 15661.Bản quyền phim '!F:F,'KK1. Movies'!AI185)</f>
        <v>1</v>
      </c>
      <c r="AN185" s="296">
        <f t="shared" si="2"/>
        <v>1</v>
      </c>
      <c r="AO185" s="295"/>
      <c r="AP185" s="295"/>
      <c r="AQ185" s="295"/>
      <c r="AR185" s="295"/>
      <c r="AS185" s="295"/>
    </row>
    <row r="186" spans="1:45" s="296" customFormat="1" ht="39.6" x14ac:dyDescent="0.3">
      <c r="A186" s="292">
        <f>_xlfn.AGGREGATE(3,3,$D$7:D186)</f>
        <v>180</v>
      </c>
      <c r="B186" s="143" t="s">
        <v>1402</v>
      </c>
      <c r="C186" s="144" t="s">
        <v>1740</v>
      </c>
      <c r="D186" s="144" t="s">
        <v>1739</v>
      </c>
      <c r="E186" s="144" t="s">
        <v>1738</v>
      </c>
      <c r="F186" s="144" t="s">
        <v>1013</v>
      </c>
      <c r="G186" s="144" t="s">
        <v>1697</v>
      </c>
      <c r="H186" s="170">
        <v>202104013</v>
      </c>
      <c r="I186" s="141">
        <v>2015</v>
      </c>
      <c r="J186" s="150" t="s">
        <v>219</v>
      </c>
      <c r="K186" s="141">
        <v>120</v>
      </c>
      <c r="L186" s="148">
        <v>44284</v>
      </c>
      <c r="M186" s="301">
        <v>46109</v>
      </c>
      <c r="N186" s="302">
        <v>44328</v>
      </c>
      <c r="O186" s="145" t="s">
        <v>584</v>
      </c>
      <c r="P186" s="145"/>
      <c r="Q186" s="145" t="s">
        <v>20</v>
      </c>
      <c r="R186" s="145" t="s">
        <v>18</v>
      </c>
      <c r="S186" s="145" t="s">
        <v>18</v>
      </c>
      <c r="T186" s="145" t="s">
        <v>18</v>
      </c>
      <c r="U186" s="145" t="s">
        <v>18</v>
      </c>
      <c r="V186" s="145" t="s">
        <v>18</v>
      </c>
      <c r="W186" s="145" t="s">
        <v>18</v>
      </c>
      <c r="X186" s="145" t="s">
        <v>18</v>
      </c>
      <c r="Y186" s="145" t="s">
        <v>18</v>
      </c>
      <c r="Z186" s="148">
        <v>44284</v>
      </c>
      <c r="AA186" s="301">
        <v>46109</v>
      </c>
      <c r="AB186" s="293">
        <v>50</v>
      </c>
      <c r="AC186" s="151">
        <v>28</v>
      </c>
      <c r="AD186" s="145" t="s">
        <v>18</v>
      </c>
      <c r="AE186" s="145" t="s">
        <v>18</v>
      </c>
      <c r="AF186" s="150"/>
      <c r="AG186" s="155" t="s">
        <v>17</v>
      </c>
      <c r="AH186" s="294"/>
      <c r="AI186" s="300" t="s">
        <v>1737</v>
      </c>
      <c r="AJ186" s="195">
        <f>SUMIF('TK 15661.Bản quyền phim '!F:F,'KK1. Movies'!D186,'TK 15661.Bản quyền phim '!X:X)</f>
        <v>0</v>
      </c>
      <c r="AK186" s="195">
        <f>SUMIF('TK 15661.Bản quyền phim '!F:F,'KK1. Movies'!AI186,'TK 15661.Bản quyền phim '!X:X)</f>
        <v>0</v>
      </c>
      <c r="AL186" s="295">
        <f>COUNTIF('242.BQ Phim hợp tác'!$C:$C,'KK1. Movies'!AI186)</f>
        <v>0</v>
      </c>
      <c r="AM186" s="295">
        <f>COUNTIF('TK 15661.Bản quyền phim '!F:F,'KK1. Movies'!AI186)</f>
        <v>1</v>
      </c>
      <c r="AN186" s="296">
        <f t="shared" si="2"/>
        <v>1</v>
      </c>
      <c r="AO186" s="295"/>
      <c r="AP186" s="295"/>
      <c r="AQ186" s="295"/>
      <c r="AR186" s="295"/>
      <c r="AS186" s="295"/>
    </row>
    <row r="187" spans="1:45" s="296" customFormat="1" ht="26.4" x14ac:dyDescent="0.3">
      <c r="A187" s="292">
        <f>_xlfn.AGGREGATE(3,3,$D$7:D187)</f>
        <v>181</v>
      </c>
      <c r="B187" s="143" t="s">
        <v>1402</v>
      </c>
      <c r="C187" s="144" t="s">
        <v>1736</v>
      </c>
      <c r="D187" s="160" t="s">
        <v>1735</v>
      </c>
      <c r="E187" s="166" t="s">
        <v>1734</v>
      </c>
      <c r="F187" s="144" t="s">
        <v>511</v>
      </c>
      <c r="G187" s="158" t="s">
        <v>1324</v>
      </c>
      <c r="H187" s="144" t="s">
        <v>1449</v>
      </c>
      <c r="I187" s="159">
        <v>2023</v>
      </c>
      <c r="J187" s="150" t="s">
        <v>133</v>
      </c>
      <c r="K187" s="159">
        <v>102</v>
      </c>
      <c r="L187" s="148">
        <v>45344</v>
      </c>
      <c r="M187" s="161">
        <v>46439</v>
      </c>
      <c r="N187" s="157">
        <v>45344</v>
      </c>
      <c r="O187" s="145" t="s">
        <v>553</v>
      </c>
      <c r="P187" s="151">
        <v>12</v>
      </c>
      <c r="Q187" s="159" t="s">
        <v>20</v>
      </c>
      <c r="R187" s="145" t="s">
        <v>18</v>
      </c>
      <c r="S187" s="145" t="s">
        <v>18</v>
      </c>
      <c r="T187" s="145" t="s">
        <v>18</v>
      </c>
      <c r="U187" s="145" t="s">
        <v>18</v>
      </c>
      <c r="V187" s="145" t="s">
        <v>18</v>
      </c>
      <c r="W187" s="145" t="s">
        <v>18</v>
      </c>
      <c r="X187" s="159" t="s">
        <v>20</v>
      </c>
      <c r="Y187" s="145" t="s">
        <v>18</v>
      </c>
      <c r="Z187" s="148">
        <v>45344</v>
      </c>
      <c r="AA187" s="161">
        <v>46439</v>
      </c>
      <c r="AB187" s="145" t="s">
        <v>218</v>
      </c>
      <c r="AC187" s="293">
        <v>21</v>
      </c>
      <c r="AD187" s="145" t="s">
        <v>18</v>
      </c>
      <c r="AE187" s="145" t="s">
        <v>18</v>
      </c>
      <c r="AF187" s="150"/>
      <c r="AG187" s="155" t="s">
        <v>17</v>
      </c>
      <c r="AH187" s="294"/>
      <c r="AI187" s="300" t="s">
        <v>1733</v>
      </c>
      <c r="AJ187" s="195">
        <f>SUMIF('TK 15661.Bản quyền phim '!F:F,'KK1. Movies'!D187,'TK 15661.Bản quyền phim '!X:X)</f>
        <v>0</v>
      </c>
      <c r="AK187" s="195">
        <f>SUMIF('TK 15661.Bản quyền phim '!F:F,'KK1. Movies'!AI187,'TK 15661.Bản quyền phim '!X:X)</f>
        <v>27936508</v>
      </c>
      <c r="AL187" s="295">
        <f>COUNTIF('242.BQ Phim hợp tác'!$C:$C,'KK1. Movies'!AI187)</f>
        <v>0</v>
      </c>
      <c r="AM187" s="295">
        <f>COUNTIF('TK 15661.Bản quyền phim '!F:F,'KK1. Movies'!AI187)</f>
        <v>1</v>
      </c>
      <c r="AN187" s="296">
        <f t="shared" si="2"/>
        <v>1</v>
      </c>
      <c r="AO187" s="295"/>
      <c r="AP187" s="295"/>
      <c r="AQ187" s="295"/>
      <c r="AR187" s="295"/>
      <c r="AS187" s="295"/>
    </row>
    <row r="188" spans="1:45" s="296" customFormat="1" ht="39.6" x14ac:dyDescent="0.3">
      <c r="A188" s="292">
        <f>_xlfn.AGGREGATE(3,3,$D$7:D188)</f>
        <v>182</v>
      </c>
      <c r="B188" s="143" t="s">
        <v>1402</v>
      </c>
      <c r="C188" s="144" t="s">
        <v>1732</v>
      </c>
      <c r="D188" s="160" t="s">
        <v>1728</v>
      </c>
      <c r="E188" s="160" t="s">
        <v>1731</v>
      </c>
      <c r="F188" s="164" t="s">
        <v>1730</v>
      </c>
      <c r="G188" s="164" t="s">
        <v>1372</v>
      </c>
      <c r="H188" s="144" t="s">
        <v>1371</v>
      </c>
      <c r="I188" s="162">
        <v>2018</v>
      </c>
      <c r="J188" s="162" t="s">
        <v>1729</v>
      </c>
      <c r="K188" s="162">
        <v>133</v>
      </c>
      <c r="L188" s="163">
        <v>45701</v>
      </c>
      <c r="M188" s="148">
        <v>46473</v>
      </c>
      <c r="N188" s="157" t="s">
        <v>1145</v>
      </c>
      <c r="O188" s="145"/>
      <c r="P188" s="159">
        <v>12</v>
      </c>
      <c r="Q188" s="162" t="s">
        <v>20</v>
      </c>
      <c r="R188" s="145" t="s">
        <v>18</v>
      </c>
      <c r="S188" s="159" t="s">
        <v>18</v>
      </c>
      <c r="T188" s="145" t="s">
        <v>18</v>
      </c>
      <c r="U188" s="159" t="s">
        <v>18</v>
      </c>
      <c r="V188" s="159" t="s">
        <v>18</v>
      </c>
      <c r="W188" s="159" t="s">
        <v>18</v>
      </c>
      <c r="X188" s="159" t="s">
        <v>18</v>
      </c>
      <c r="Y188" s="159" t="s">
        <v>20</v>
      </c>
      <c r="Z188" s="165">
        <v>45701</v>
      </c>
      <c r="AA188" s="148">
        <v>46473</v>
      </c>
      <c r="AB188" s="162">
        <v>24</v>
      </c>
      <c r="AC188" s="293">
        <v>7</v>
      </c>
      <c r="AD188" s="145" t="s">
        <v>18</v>
      </c>
      <c r="AE188" s="145" t="s">
        <v>18</v>
      </c>
      <c r="AF188" s="150"/>
      <c r="AG188" s="155" t="s">
        <v>17</v>
      </c>
      <c r="AH188" s="294"/>
      <c r="AI188" s="300" t="s">
        <v>1728</v>
      </c>
      <c r="AJ188" s="195">
        <f>SUMIF('TK 15661.Bản quyền phim '!F:F,'KK1. Movies'!D188,'TK 15661.Bản quyền phim '!X:X)</f>
        <v>59932952.666666672</v>
      </c>
      <c r="AK188" s="195">
        <f>SUMIF('TK 15661.Bản quyền phim '!F:F,'KK1. Movies'!AI188,'TK 15661.Bản quyền phim '!X:X)</f>
        <v>59932952.666666672</v>
      </c>
      <c r="AL188" s="295">
        <f>COUNTIF('242.BQ Phim hợp tác'!$C:$C,'KK1. Movies'!AI188)</f>
        <v>0</v>
      </c>
      <c r="AM188" s="295">
        <f>COUNTIF('TK 15661.Bản quyền phim '!F:F,'KK1. Movies'!AI188)</f>
        <v>1</v>
      </c>
      <c r="AN188" s="296">
        <f t="shared" si="2"/>
        <v>1</v>
      </c>
      <c r="AO188" s="295"/>
      <c r="AP188" s="295"/>
      <c r="AQ188" s="295"/>
      <c r="AR188" s="295"/>
      <c r="AS188" s="295"/>
    </row>
    <row r="189" spans="1:45" s="296" customFormat="1" ht="26.4" x14ac:dyDescent="0.3">
      <c r="A189" s="292">
        <f>_xlfn.AGGREGATE(3,3,$D$7:D189)</f>
        <v>183</v>
      </c>
      <c r="B189" s="143" t="s">
        <v>1392</v>
      </c>
      <c r="C189" s="144" t="s">
        <v>1727</v>
      </c>
      <c r="D189" s="160" t="s">
        <v>1724</v>
      </c>
      <c r="E189" s="160" t="s">
        <v>1726</v>
      </c>
      <c r="F189" s="164" t="s">
        <v>1725</v>
      </c>
      <c r="G189" s="164" t="s">
        <v>1372</v>
      </c>
      <c r="H189" s="144" t="s">
        <v>1371</v>
      </c>
      <c r="I189" s="162">
        <v>2023</v>
      </c>
      <c r="J189" s="162" t="s">
        <v>133</v>
      </c>
      <c r="K189" s="162">
        <v>103</v>
      </c>
      <c r="L189" s="163">
        <v>45700</v>
      </c>
      <c r="M189" s="148">
        <v>47164</v>
      </c>
      <c r="N189" s="157" t="s">
        <v>1145</v>
      </c>
      <c r="O189" s="145"/>
      <c r="P189" s="159">
        <v>12</v>
      </c>
      <c r="Q189" s="162" t="s">
        <v>20</v>
      </c>
      <c r="R189" s="145" t="s">
        <v>18</v>
      </c>
      <c r="S189" s="159" t="s">
        <v>18</v>
      </c>
      <c r="T189" s="145" t="s">
        <v>18</v>
      </c>
      <c r="U189" s="159" t="s">
        <v>18</v>
      </c>
      <c r="V189" s="159" t="s">
        <v>18</v>
      </c>
      <c r="W189" s="159" t="s">
        <v>18</v>
      </c>
      <c r="X189" s="159" t="s">
        <v>18</v>
      </c>
      <c r="Y189" s="159" t="s">
        <v>20</v>
      </c>
      <c r="Z189" s="165">
        <v>45700</v>
      </c>
      <c r="AA189" s="148">
        <v>47164</v>
      </c>
      <c r="AB189" s="162">
        <v>24</v>
      </c>
      <c r="AC189" s="293">
        <v>5</v>
      </c>
      <c r="AD189" s="145" t="s">
        <v>18</v>
      </c>
      <c r="AE189" s="145" t="s">
        <v>18</v>
      </c>
      <c r="AF189" s="150"/>
      <c r="AG189" s="155" t="s">
        <v>17</v>
      </c>
      <c r="AH189" s="294"/>
      <c r="AI189" s="300" t="s">
        <v>1724</v>
      </c>
      <c r="AJ189" s="195">
        <f>SUMIF('TK 15661.Bản quyền phim '!F:F,'KK1. Movies'!D189,'TK 15661.Bản quyền phim '!X:X)</f>
        <v>59932952.666666672</v>
      </c>
      <c r="AK189" s="195">
        <f>SUMIF('TK 15661.Bản quyền phim '!F:F,'KK1. Movies'!AI189,'TK 15661.Bản quyền phim '!X:X)</f>
        <v>59932952.666666672</v>
      </c>
      <c r="AL189" s="295">
        <f>COUNTIF('242.BQ Phim hợp tác'!$C:$C,'KK1. Movies'!AI189)</f>
        <v>0</v>
      </c>
      <c r="AM189" s="295">
        <f>COUNTIF('TK 15661.Bản quyền phim '!F:F,'KK1. Movies'!AI189)</f>
        <v>1</v>
      </c>
      <c r="AN189" s="296">
        <f t="shared" si="2"/>
        <v>1</v>
      </c>
      <c r="AO189" s="295"/>
      <c r="AP189" s="295"/>
      <c r="AQ189" s="295"/>
      <c r="AR189" s="295"/>
      <c r="AS189" s="295"/>
    </row>
    <row r="190" spans="1:45" s="296" customFormat="1" ht="26.4" x14ac:dyDescent="0.3">
      <c r="A190" s="292">
        <f>_xlfn.AGGREGATE(3,3,$D$7:D190)</f>
        <v>184</v>
      </c>
      <c r="B190" s="143" t="s">
        <v>1723</v>
      </c>
      <c r="C190" s="144" t="s">
        <v>1722</v>
      </c>
      <c r="D190" s="160" t="s">
        <v>1720</v>
      </c>
      <c r="E190" s="144" t="s">
        <v>1721</v>
      </c>
      <c r="F190" s="158" t="s">
        <v>385</v>
      </c>
      <c r="G190" s="158" t="s">
        <v>1351</v>
      </c>
      <c r="H190" s="144" t="s">
        <v>1350</v>
      </c>
      <c r="I190" s="159">
        <v>2022</v>
      </c>
      <c r="J190" s="159" t="s">
        <v>178</v>
      </c>
      <c r="K190" s="159">
        <v>91</v>
      </c>
      <c r="L190" s="163">
        <v>45679</v>
      </c>
      <c r="M190" s="148">
        <v>46773</v>
      </c>
      <c r="N190" s="163">
        <v>45679</v>
      </c>
      <c r="O190" s="145"/>
      <c r="P190" s="159">
        <v>12</v>
      </c>
      <c r="Q190" s="159" t="s">
        <v>20</v>
      </c>
      <c r="R190" s="145" t="s">
        <v>18</v>
      </c>
      <c r="S190" s="162" t="s">
        <v>18</v>
      </c>
      <c r="T190" s="145" t="s">
        <v>18</v>
      </c>
      <c r="U190" s="162" t="s">
        <v>18</v>
      </c>
      <c r="V190" s="162" t="s">
        <v>18</v>
      </c>
      <c r="W190" s="162" t="s">
        <v>18</v>
      </c>
      <c r="X190" s="162" t="s">
        <v>18</v>
      </c>
      <c r="Y190" s="159" t="s">
        <v>18</v>
      </c>
      <c r="Z190" s="161">
        <v>45778</v>
      </c>
      <c r="AA190" s="344">
        <v>46873</v>
      </c>
      <c r="AB190" s="159">
        <v>24</v>
      </c>
      <c r="AC190" s="293">
        <v>5</v>
      </c>
      <c r="AD190" s="145" t="s">
        <v>18</v>
      </c>
      <c r="AE190" s="145" t="s">
        <v>18</v>
      </c>
      <c r="AF190" s="150"/>
      <c r="AG190" s="155" t="s">
        <v>17</v>
      </c>
      <c r="AH190" s="294"/>
      <c r="AI190" s="300" t="s">
        <v>1720</v>
      </c>
      <c r="AJ190" s="195">
        <f>SUMIF('TK 15661.Bản quyền phim '!F:F,'KK1. Movies'!D190,'TK 15661.Bản quyền phim '!X:X)</f>
        <v>58057142.666666672</v>
      </c>
      <c r="AK190" s="195">
        <f>SUMIF('TK 15661.Bản quyền phim '!F:F,'KK1. Movies'!AI190,'TK 15661.Bản quyền phim '!X:X)</f>
        <v>58057142.666666672</v>
      </c>
      <c r="AL190" s="295">
        <f>COUNTIF('242.BQ Phim hợp tác'!$C:$C,'KK1. Movies'!AI190)</f>
        <v>0</v>
      </c>
      <c r="AM190" s="295">
        <f>COUNTIF('TK 15661.Bản quyền phim '!F:F,'KK1. Movies'!AI190)</f>
        <v>1</v>
      </c>
      <c r="AN190" s="296">
        <f t="shared" si="2"/>
        <v>1</v>
      </c>
      <c r="AO190" s="295"/>
      <c r="AP190" s="295"/>
      <c r="AQ190" s="295"/>
      <c r="AR190" s="295"/>
      <c r="AS190" s="295"/>
    </row>
    <row r="191" spans="1:45" s="296" customFormat="1" ht="26.4" x14ac:dyDescent="0.3">
      <c r="A191" s="292">
        <f>_xlfn.AGGREGATE(3,3,$D$7:D191)</f>
        <v>185</v>
      </c>
      <c r="B191" s="143" t="s">
        <v>1402</v>
      </c>
      <c r="C191" s="144" t="s">
        <v>1719</v>
      </c>
      <c r="D191" s="146" t="s">
        <v>1717</v>
      </c>
      <c r="E191" s="144" t="s">
        <v>1718</v>
      </c>
      <c r="F191" s="144" t="s">
        <v>1013</v>
      </c>
      <c r="G191" s="143" t="s">
        <v>1389</v>
      </c>
      <c r="H191" s="144" t="s">
        <v>1388</v>
      </c>
      <c r="I191" s="297">
        <v>2020</v>
      </c>
      <c r="J191" s="145" t="s">
        <v>196</v>
      </c>
      <c r="K191" s="297">
        <v>110</v>
      </c>
      <c r="L191" s="148">
        <v>45042</v>
      </c>
      <c r="M191" s="153">
        <v>46137</v>
      </c>
      <c r="N191" s="152">
        <v>45042</v>
      </c>
      <c r="O191" s="309" t="s">
        <v>584</v>
      </c>
      <c r="P191" s="145" t="s">
        <v>1387</v>
      </c>
      <c r="Q191" s="145" t="s">
        <v>20</v>
      </c>
      <c r="R191" s="145" t="s">
        <v>18</v>
      </c>
      <c r="S191" s="145" t="s">
        <v>20</v>
      </c>
      <c r="T191" s="145" t="s">
        <v>18</v>
      </c>
      <c r="U191" s="145" t="s">
        <v>18</v>
      </c>
      <c r="V191" s="145" t="s">
        <v>18</v>
      </c>
      <c r="W191" s="145" t="s">
        <v>18</v>
      </c>
      <c r="X191" s="145" t="s">
        <v>18</v>
      </c>
      <c r="Y191" s="145" t="s">
        <v>20</v>
      </c>
      <c r="Z191" s="148">
        <v>45042</v>
      </c>
      <c r="AA191" s="153">
        <v>46137</v>
      </c>
      <c r="AB191" s="293">
        <v>24</v>
      </c>
      <c r="AC191" s="293">
        <v>17</v>
      </c>
      <c r="AD191" s="145" t="s">
        <v>18</v>
      </c>
      <c r="AE191" s="145" t="s">
        <v>18</v>
      </c>
      <c r="AF191" s="146"/>
      <c r="AG191" s="155" t="s">
        <v>17</v>
      </c>
      <c r="AH191" s="294"/>
      <c r="AI191" s="299" t="s">
        <v>1717</v>
      </c>
      <c r="AJ191" s="195">
        <f>SUMIF('TK 15661.Bản quyền phim '!F:F,'KK1. Movies'!D191,'TK 15661.Bản quyền phim '!X:X)</f>
        <v>0</v>
      </c>
      <c r="AK191" s="195">
        <f>SUMIF('TK 15661.Bản quyền phim '!F:F,'KK1. Movies'!AI191,'TK 15661.Bản quyền phim '!X:X)</f>
        <v>0</v>
      </c>
      <c r="AL191" s="295">
        <f>COUNTIF('242.BQ Phim hợp tác'!$C:$C,'KK1. Movies'!AI191)</f>
        <v>0</v>
      </c>
      <c r="AM191" s="295">
        <f>COUNTIF('TK 15661.Bản quyền phim '!F:F,'KK1. Movies'!AI191)</f>
        <v>1</v>
      </c>
      <c r="AN191" s="296">
        <f t="shared" si="2"/>
        <v>1</v>
      </c>
      <c r="AO191" s="295"/>
      <c r="AP191" s="295"/>
      <c r="AQ191" s="295"/>
      <c r="AR191" s="295"/>
      <c r="AS191" s="295"/>
    </row>
    <row r="192" spans="1:45" s="296" customFormat="1" x14ac:dyDescent="0.3">
      <c r="A192" s="292">
        <f>_xlfn.AGGREGATE(3,3,$D$7:D192)</f>
        <v>186</v>
      </c>
      <c r="B192" s="143" t="s">
        <v>1422</v>
      </c>
      <c r="C192" s="341" t="s">
        <v>1716</v>
      </c>
      <c r="D192" s="144" t="s">
        <v>1715</v>
      </c>
      <c r="E192" s="143" t="s">
        <v>1714</v>
      </c>
      <c r="F192" s="143" t="s">
        <v>385</v>
      </c>
      <c r="G192" s="143" t="s">
        <v>1504</v>
      </c>
      <c r="H192" s="143" t="s">
        <v>1503</v>
      </c>
      <c r="I192" s="141">
        <v>2017</v>
      </c>
      <c r="J192" s="145" t="s">
        <v>88</v>
      </c>
      <c r="K192" s="141">
        <v>100</v>
      </c>
      <c r="L192" s="148">
        <v>43189</v>
      </c>
      <c r="M192" s="148" t="s">
        <v>23</v>
      </c>
      <c r="N192" s="163">
        <v>43189</v>
      </c>
      <c r="O192" s="309"/>
      <c r="P192" s="141">
        <v>60</v>
      </c>
      <c r="Q192" s="145" t="s">
        <v>20</v>
      </c>
      <c r="R192" s="145" t="s">
        <v>194</v>
      </c>
      <c r="S192" s="145" t="s">
        <v>194</v>
      </c>
      <c r="T192" s="145" t="s">
        <v>18</v>
      </c>
      <c r="U192" s="145" t="s">
        <v>18</v>
      </c>
      <c r="V192" s="145" t="s">
        <v>18</v>
      </c>
      <c r="W192" s="145" t="s">
        <v>18</v>
      </c>
      <c r="X192" s="145" t="s">
        <v>18</v>
      </c>
      <c r="Y192" s="145" t="s">
        <v>194</v>
      </c>
      <c r="Z192" s="148">
        <v>43189</v>
      </c>
      <c r="AA192" s="157" t="s">
        <v>1502</v>
      </c>
      <c r="AB192" s="141">
        <v>30</v>
      </c>
      <c r="AC192" s="151">
        <v>11</v>
      </c>
      <c r="AD192" s="145" t="s">
        <v>18</v>
      </c>
      <c r="AE192" s="145" t="s">
        <v>18</v>
      </c>
      <c r="AF192" s="150"/>
      <c r="AG192" s="155" t="s">
        <v>17</v>
      </c>
      <c r="AH192" s="294"/>
      <c r="AI192" s="304" t="s">
        <v>3157</v>
      </c>
      <c r="AJ192" s="195">
        <f>SUMIF('TK 15661.Bản quyền phim '!F:F,'KK1. Movies'!D192,'TK 15661.Bản quyền phim '!X:X)</f>
        <v>0</v>
      </c>
      <c r="AK192" s="195">
        <f>SUMIF('TK 15661.Bản quyền phim '!F:F,'KK1. Movies'!AI192,'TK 15661.Bản quyền phim '!X:X)</f>
        <v>0</v>
      </c>
      <c r="AL192" s="295">
        <f>COUNTIF('242.BQ Phim hợp tác'!$C:$C,'KK1. Movies'!AI192)</f>
        <v>1</v>
      </c>
      <c r="AM192" s="295">
        <f>COUNTIF('TK 15661.Bản quyền phim '!F:F,'KK1. Movies'!AI192)</f>
        <v>0</v>
      </c>
      <c r="AN192" s="296">
        <f t="shared" si="2"/>
        <v>1</v>
      </c>
      <c r="AO192" s="295"/>
      <c r="AP192" s="295"/>
      <c r="AQ192" s="295"/>
      <c r="AR192" s="295"/>
      <c r="AS192" s="295"/>
    </row>
    <row r="193" spans="1:45" s="296" customFormat="1" ht="26.4" x14ac:dyDescent="0.3">
      <c r="A193" s="292">
        <f>_xlfn.AGGREGATE(3,3,$D$7:D193)</f>
        <v>187</v>
      </c>
      <c r="B193" s="156" t="s">
        <v>1145</v>
      </c>
      <c r="C193" s="144" t="s">
        <v>1713</v>
      </c>
      <c r="D193" s="160" t="s">
        <v>1710</v>
      </c>
      <c r="E193" s="144" t="s">
        <v>1712</v>
      </c>
      <c r="F193" s="158" t="s">
        <v>1711</v>
      </c>
      <c r="G193" s="158" t="s">
        <v>1351</v>
      </c>
      <c r="H193" s="144" t="s">
        <v>1350</v>
      </c>
      <c r="I193" s="159">
        <v>2022</v>
      </c>
      <c r="J193" s="159" t="s">
        <v>178</v>
      </c>
      <c r="K193" s="159">
        <v>82</v>
      </c>
      <c r="L193" s="163">
        <v>45729</v>
      </c>
      <c r="M193" s="148">
        <v>46824</v>
      </c>
      <c r="N193" s="157" t="s">
        <v>1145</v>
      </c>
      <c r="O193" s="145"/>
      <c r="P193" s="159">
        <v>12</v>
      </c>
      <c r="Q193" s="159" t="s">
        <v>20</v>
      </c>
      <c r="R193" s="145" t="s">
        <v>18</v>
      </c>
      <c r="S193" s="162" t="s">
        <v>18</v>
      </c>
      <c r="T193" s="145" t="s">
        <v>18</v>
      </c>
      <c r="U193" s="162" t="s">
        <v>18</v>
      </c>
      <c r="V193" s="162" t="s">
        <v>18</v>
      </c>
      <c r="W193" s="162" t="s">
        <v>18</v>
      </c>
      <c r="X193" s="162" t="s">
        <v>18</v>
      </c>
      <c r="Y193" s="159" t="s">
        <v>18</v>
      </c>
      <c r="Z193" s="161">
        <v>45778</v>
      </c>
      <c r="AA193" s="344">
        <v>46873</v>
      </c>
      <c r="AB193" s="159">
        <v>24</v>
      </c>
      <c r="AC193" s="293">
        <v>6</v>
      </c>
      <c r="AD193" s="145" t="s">
        <v>18</v>
      </c>
      <c r="AE193" s="145" t="s">
        <v>18</v>
      </c>
      <c r="AF193" s="150"/>
      <c r="AG193" s="155" t="s">
        <v>17</v>
      </c>
      <c r="AH193" s="294"/>
      <c r="AI193" s="300" t="s">
        <v>1710</v>
      </c>
      <c r="AJ193" s="195">
        <f>SUMIF('TK 15661.Bản quyền phim '!F:F,'KK1. Movies'!D193,'TK 15661.Bản quyền phim '!X:X)</f>
        <v>53219047.333333328</v>
      </c>
      <c r="AK193" s="195">
        <f>SUMIF('TK 15661.Bản quyền phim '!F:F,'KK1. Movies'!AI193,'TK 15661.Bản quyền phim '!X:X)</f>
        <v>53219047.333333328</v>
      </c>
      <c r="AL193" s="295">
        <f>COUNTIF('242.BQ Phim hợp tác'!$C:$C,'KK1. Movies'!AI193)</f>
        <v>0</v>
      </c>
      <c r="AM193" s="295">
        <f>COUNTIF('TK 15661.Bản quyền phim '!F:F,'KK1. Movies'!AI193)</f>
        <v>1</v>
      </c>
      <c r="AN193" s="296">
        <f t="shared" si="2"/>
        <v>1</v>
      </c>
      <c r="AO193" s="295"/>
      <c r="AP193" s="295"/>
      <c r="AQ193" s="295"/>
      <c r="AR193" s="295"/>
      <c r="AS193" s="295"/>
    </row>
    <row r="194" spans="1:45" s="296" customFormat="1" x14ac:dyDescent="0.3">
      <c r="A194" s="292">
        <f>_xlfn.AGGREGATE(3,3,$D$7:D194)</f>
        <v>188</v>
      </c>
      <c r="B194" s="143"/>
      <c r="C194" s="144" t="s">
        <v>1709</v>
      </c>
      <c r="D194" s="160" t="s">
        <v>1706</v>
      </c>
      <c r="E194" s="166" t="s">
        <v>1708</v>
      </c>
      <c r="F194" s="158" t="s">
        <v>1707</v>
      </c>
      <c r="G194" s="158" t="s">
        <v>513</v>
      </c>
      <c r="H194" s="144" t="s">
        <v>1135</v>
      </c>
      <c r="I194" s="159">
        <v>2024</v>
      </c>
      <c r="J194" s="159" t="s">
        <v>178</v>
      </c>
      <c r="K194" s="159">
        <v>93</v>
      </c>
      <c r="L194" s="161">
        <v>45841</v>
      </c>
      <c r="M194" s="161">
        <v>46937</v>
      </c>
      <c r="N194" s="157"/>
      <c r="O194" s="145"/>
      <c r="P194" s="159">
        <v>36</v>
      </c>
      <c r="Q194" s="159" t="s">
        <v>20</v>
      </c>
      <c r="R194" s="145" t="s">
        <v>18</v>
      </c>
      <c r="S194" s="159" t="s">
        <v>18</v>
      </c>
      <c r="T194" s="145" t="s">
        <v>18</v>
      </c>
      <c r="U194" s="159" t="s">
        <v>18</v>
      </c>
      <c r="V194" s="159" t="s">
        <v>20</v>
      </c>
      <c r="W194" s="159" t="s">
        <v>18</v>
      </c>
      <c r="X194" s="159" t="s">
        <v>18</v>
      </c>
      <c r="Y194" s="159" t="s">
        <v>18</v>
      </c>
      <c r="Z194" s="161">
        <v>45841</v>
      </c>
      <c r="AA194" s="188">
        <v>46937</v>
      </c>
      <c r="AB194" s="159" t="s">
        <v>218</v>
      </c>
      <c r="AC194" s="293">
        <v>4</v>
      </c>
      <c r="AD194" s="145" t="s">
        <v>18</v>
      </c>
      <c r="AE194" s="145" t="s">
        <v>18</v>
      </c>
      <c r="AF194" s="150"/>
      <c r="AG194" s="155" t="s">
        <v>17</v>
      </c>
      <c r="AH194" s="294"/>
      <c r="AI194" s="300" t="s">
        <v>1706</v>
      </c>
      <c r="AJ194" s="195">
        <f>SUMIF('TK 15661.Bản quyền phim '!F:F,'KK1. Movies'!D194,'TK 15661.Bản quyền phim '!X:X)</f>
        <v>47059320</v>
      </c>
      <c r="AK194" s="195">
        <f>SUMIF('TK 15661.Bản quyền phim '!F:F,'KK1. Movies'!AI194,'TK 15661.Bản quyền phim '!X:X)</f>
        <v>47059320</v>
      </c>
      <c r="AL194" s="295">
        <f>COUNTIF('242.BQ Phim hợp tác'!$C:$C,'KK1. Movies'!AI194)</f>
        <v>0</v>
      </c>
      <c r="AM194" s="295">
        <f>COUNTIF('TK 15661.Bản quyền phim '!F:F,'KK1. Movies'!AI194)</f>
        <v>1</v>
      </c>
      <c r="AN194" s="296">
        <f t="shared" si="2"/>
        <v>1</v>
      </c>
      <c r="AO194" s="295"/>
      <c r="AP194" s="295"/>
      <c r="AQ194" s="295"/>
      <c r="AR194" s="295"/>
      <c r="AS194" s="295"/>
    </row>
    <row r="195" spans="1:45" s="296" customFormat="1" ht="52.8" x14ac:dyDescent="0.3">
      <c r="A195" s="292">
        <f>_xlfn.AGGREGATE(3,3,$D$7:D195)</f>
        <v>189</v>
      </c>
      <c r="B195" s="143" t="s">
        <v>1422</v>
      </c>
      <c r="C195" s="341" t="s">
        <v>1705</v>
      </c>
      <c r="D195" s="160" t="s">
        <v>1703</v>
      </c>
      <c r="E195" s="166" t="s">
        <v>1704</v>
      </c>
      <c r="F195" s="144" t="s">
        <v>350</v>
      </c>
      <c r="G195" s="158" t="s">
        <v>1141</v>
      </c>
      <c r="H195" s="144" t="s">
        <v>1140</v>
      </c>
      <c r="I195" s="159">
        <v>2016</v>
      </c>
      <c r="J195" s="159" t="s">
        <v>1283</v>
      </c>
      <c r="K195" s="159">
        <v>116</v>
      </c>
      <c r="L195" s="163">
        <v>45701</v>
      </c>
      <c r="M195" s="161">
        <v>46430</v>
      </c>
      <c r="N195" s="157"/>
      <c r="O195" s="145"/>
      <c r="P195" s="145"/>
      <c r="Q195" s="159" t="s">
        <v>20</v>
      </c>
      <c r="R195" s="159" t="s">
        <v>18</v>
      </c>
      <c r="S195" s="159" t="s">
        <v>18</v>
      </c>
      <c r="T195" s="145" t="s">
        <v>18</v>
      </c>
      <c r="U195" s="159" t="s">
        <v>20</v>
      </c>
      <c r="V195" s="159" t="s">
        <v>20</v>
      </c>
      <c r="W195" s="159" t="s">
        <v>20</v>
      </c>
      <c r="X195" s="159" t="s">
        <v>18</v>
      </c>
      <c r="Y195" s="159" t="s">
        <v>20</v>
      </c>
      <c r="Z195" s="161">
        <v>45701</v>
      </c>
      <c r="AA195" s="188">
        <v>46246</v>
      </c>
      <c r="AB195" s="159">
        <v>7</v>
      </c>
      <c r="AC195" s="293">
        <v>3</v>
      </c>
      <c r="AD195" s="145" t="s">
        <v>18</v>
      </c>
      <c r="AE195" s="145" t="s">
        <v>18</v>
      </c>
      <c r="AF195" s="346"/>
      <c r="AG195" s="155" t="s">
        <v>17</v>
      </c>
      <c r="AH195" s="294"/>
      <c r="AI195" s="300" t="s">
        <v>1703</v>
      </c>
      <c r="AJ195" s="195">
        <f>SUMIF('TK 15661.Bản quyền phim '!F:F,'KK1. Movies'!D195,'TK 15661.Bản quyền phim '!X:X)</f>
        <v>46627350</v>
      </c>
      <c r="AK195" s="195">
        <f>SUMIF('TK 15661.Bản quyền phim '!F:F,'KK1. Movies'!AI195,'TK 15661.Bản quyền phim '!X:X)</f>
        <v>46627350</v>
      </c>
      <c r="AL195" s="295">
        <f>COUNTIF('242.BQ Phim hợp tác'!$C:$C,'KK1. Movies'!AI195)</f>
        <v>0</v>
      </c>
      <c r="AM195" s="295">
        <f>COUNTIF('TK 15661.Bản quyền phim '!F:F,'KK1. Movies'!AI195)</f>
        <v>1</v>
      </c>
      <c r="AN195" s="296">
        <f t="shared" si="2"/>
        <v>1</v>
      </c>
      <c r="AO195" s="295"/>
      <c r="AP195" s="295"/>
      <c r="AQ195" s="295"/>
      <c r="AR195" s="295"/>
      <c r="AS195" s="295"/>
    </row>
    <row r="196" spans="1:45" s="296" customFormat="1" ht="52.8" x14ac:dyDescent="0.3">
      <c r="A196" s="292">
        <f>_xlfn.AGGREGATE(3,3,$D$7:D196)</f>
        <v>190</v>
      </c>
      <c r="B196" s="156" t="s">
        <v>1145</v>
      </c>
      <c r="C196" s="144" t="s">
        <v>1701</v>
      </c>
      <c r="D196" s="160" t="s">
        <v>1700</v>
      </c>
      <c r="E196" s="166" t="s">
        <v>1702</v>
      </c>
      <c r="F196" s="144" t="s">
        <v>561</v>
      </c>
      <c r="G196" s="158" t="s">
        <v>1141</v>
      </c>
      <c r="H196" s="144" t="s">
        <v>1140</v>
      </c>
      <c r="I196" s="159">
        <v>2022</v>
      </c>
      <c r="J196" s="159" t="s">
        <v>1283</v>
      </c>
      <c r="K196" s="159">
        <v>144</v>
      </c>
      <c r="L196" s="163">
        <v>45747</v>
      </c>
      <c r="M196" s="161">
        <v>46127</v>
      </c>
      <c r="N196" s="157"/>
      <c r="O196" s="145"/>
      <c r="P196" s="145"/>
      <c r="Q196" s="159" t="s">
        <v>20</v>
      </c>
      <c r="R196" s="159" t="s">
        <v>18</v>
      </c>
      <c r="S196" s="159" t="s">
        <v>18</v>
      </c>
      <c r="T196" s="145" t="s">
        <v>18</v>
      </c>
      <c r="U196" s="159" t="s">
        <v>20</v>
      </c>
      <c r="V196" s="159" t="s">
        <v>20</v>
      </c>
      <c r="W196" s="159" t="s">
        <v>20</v>
      </c>
      <c r="X196" s="159" t="s">
        <v>18</v>
      </c>
      <c r="Y196" s="159" t="s">
        <v>20</v>
      </c>
      <c r="Z196" s="161">
        <v>45747</v>
      </c>
      <c r="AA196" s="188">
        <v>46127</v>
      </c>
      <c r="AB196" s="159">
        <v>7</v>
      </c>
      <c r="AC196" s="293">
        <v>2</v>
      </c>
      <c r="AD196" s="145" t="s">
        <v>18</v>
      </c>
      <c r="AE196" s="145" t="s">
        <v>18</v>
      </c>
      <c r="AF196" s="150"/>
      <c r="AG196" s="155" t="s">
        <v>17</v>
      </c>
      <c r="AH196" s="294" t="s">
        <v>1701</v>
      </c>
      <c r="AI196" s="299" t="s">
        <v>1700</v>
      </c>
      <c r="AJ196" s="195">
        <f>SUMIF('TK 15661.Bản quyền phim '!F:F,'KK1. Movies'!D196,'TK 15661.Bản quyền phim '!X:X)</f>
        <v>0</v>
      </c>
      <c r="AK196" s="195">
        <f>SUMIF('TK 15661.Bản quyền phim '!F:F,'KK1. Movies'!AI196,'TK 15661.Bản quyền phim '!X:X)</f>
        <v>0</v>
      </c>
      <c r="AL196" s="295">
        <f>COUNTIF('242.BQ Phim hợp tác'!$C:$C,'KK1. Movies'!AI196)</f>
        <v>0</v>
      </c>
      <c r="AM196" s="295">
        <f>COUNTIF('TK 15661.Bản quyền phim '!F:F,'KK1. Movies'!AI196)</f>
        <v>1</v>
      </c>
      <c r="AN196" s="296">
        <f t="shared" si="2"/>
        <v>1</v>
      </c>
      <c r="AO196" s="295"/>
      <c r="AP196" s="295"/>
      <c r="AQ196" s="295"/>
      <c r="AR196" s="295"/>
      <c r="AS196" s="295"/>
    </row>
    <row r="197" spans="1:45" s="296" customFormat="1" ht="26.4" x14ac:dyDescent="0.3">
      <c r="A197" s="292">
        <f>_xlfn.AGGREGATE(3,3,$D$7:D197)</f>
        <v>191</v>
      </c>
      <c r="B197" s="143" t="s">
        <v>1402</v>
      </c>
      <c r="C197" s="144" t="s">
        <v>1699</v>
      </c>
      <c r="D197" s="144" t="s">
        <v>1696</v>
      </c>
      <c r="E197" s="144" t="s">
        <v>1698</v>
      </c>
      <c r="F197" s="144" t="s">
        <v>511</v>
      </c>
      <c r="G197" s="144" t="s">
        <v>1697</v>
      </c>
      <c r="H197" s="170">
        <v>202104013</v>
      </c>
      <c r="I197" s="141">
        <v>2018</v>
      </c>
      <c r="J197" s="150" t="s">
        <v>219</v>
      </c>
      <c r="K197" s="141">
        <v>119</v>
      </c>
      <c r="L197" s="148">
        <v>44284</v>
      </c>
      <c r="M197" s="301">
        <v>46109</v>
      </c>
      <c r="N197" s="302">
        <v>44370</v>
      </c>
      <c r="O197" s="145" t="s">
        <v>584</v>
      </c>
      <c r="P197" s="145"/>
      <c r="Q197" s="145" t="s">
        <v>20</v>
      </c>
      <c r="R197" s="145" t="s">
        <v>18</v>
      </c>
      <c r="S197" s="145" t="s">
        <v>18</v>
      </c>
      <c r="T197" s="145" t="s">
        <v>18</v>
      </c>
      <c r="U197" s="145" t="s">
        <v>18</v>
      </c>
      <c r="V197" s="145" t="s">
        <v>18</v>
      </c>
      <c r="W197" s="145" t="s">
        <v>18</v>
      </c>
      <c r="X197" s="145" t="s">
        <v>18</v>
      </c>
      <c r="Y197" s="145" t="s">
        <v>18</v>
      </c>
      <c r="Z197" s="148">
        <v>44284</v>
      </c>
      <c r="AA197" s="301">
        <v>46109</v>
      </c>
      <c r="AB197" s="293">
        <v>50</v>
      </c>
      <c r="AC197" s="151">
        <v>32</v>
      </c>
      <c r="AD197" s="145" t="s">
        <v>18</v>
      </c>
      <c r="AE197" s="145" t="s">
        <v>18</v>
      </c>
      <c r="AF197" s="150"/>
      <c r="AG197" s="155" t="s">
        <v>17</v>
      </c>
      <c r="AH197" s="294"/>
      <c r="AI197" s="299" t="s">
        <v>1696</v>
      </c>
      <c r="AJ197" s="195">
        <f>SUMIF('TK 15661.Bản quyền phim '!F:F,'KK1. Movies'!D197,'TK 15661.Bản quyền phim '!X:X)</f>
        <v>0</v>
      </c>
      <c r="AK197" s="195">
        <f>SUMIF('TK 15661.Bản quyền phim '!F:F,'KK1. Movies'!AI197,'TK 15661.Bản quyền phim '!X:X)</f>
        <v>0</v>
      </c>
      <c r="AL197" s="295">
        <f>COUNTIF('242.BQ Phim hợp tác'!$C:$C,'KK1. Movies'!AI197)</f>
        <v>0</v>
      </c>
      <c r="AM197" s="295">
        <f>COUNTIF('TK 15661.Bản quyền phim '!F:F,'KK1. Movies'!AI197)</f>
        <v>1</v>
      </c>
      <c r="AN197" s="296">
        <f t="shared" si="2"/>
        <v>1</v>
      </c>
      <c r="AO197" s="295"/>
      <c r="AP197" s="295"/>
      <c r="AQ197" s="295"/>
      <c r="AR197" s="295"/>
      <c r="AS197" s="295"/>
    </row>
    <row r="198" spans="1:45" s="296" customFormat="1" x14ac:dyDescent="0.3">
      <c r="A198" s="292">
        <f>_xlfn.AGGREGATE(3,3,$D$7:D198)</f>
        <v>192</v>
      </c>
      <c r="B198" s="143" t="s">
        <v>1402</v>
      </c>
      <c r="C198" s="341" t="s">
        <v>1695</v>
      </c>
      <c r="D198" s="160" t="s">
        <v>1693</v>
      </c>
      <c r="E198" s="166" t="s">
        <v>1694</v>
      </c>
      <c r="F198" s="164" t="s">
        <v>824</v>
      </c>
      <c r="G198" s="164" t="s">
        <v>198</v>
      </c>
      <c r="H198" s="164" t="s">
        <v>197</v>
      </c>
      <c r="I198" s="159">
        <v>2018</v>
      </c>
      <c r="J198" s="162" t="s">
        <v>196</v>
      </c>
      <c r="K198" s="159">
        <v>100</v>
      </c>
      <c r="L198" s="148">
        <v>45505</v>
      </c>
      <c r="M198" s="165">
        <v>46234</v>
      </c>
      <c r="N198" s="157">
        <v>45505</v>
      </c>
      <c r="O198" s="159" t="s">
        <v>553</v>
      </c>
      <c r="P198" s="159" t="s">
        <v>1513</v>
      </c>
      <c r="Q198" s="159" t="s">
        <v>20</v>
      </c>
      <c r="R198" s="145" t="s">
        <v>18</v>
      </c>
      <c r="S198" s="159" t="s">
        <v>18</v>
      </c>
      <c r="T198" s="145" t="s">
        <v>18</v>
      </c>
      <c r="U198" s="159" t="s">
        <v>20</v>
      </c>
      <c r="V198" s="159" t="s">
        <v>20</v>
      </c>
      <c r="W198" s="159" t="s">
        <v>20</v>
      </c>
      <c r="X198" s="159" t="s">
        <v>20</v>
      </c>
      <c r="Y198" s="159" t="s">
        <v>18</v>
      </c>
      <c r="Z198" s="148">
        <v>45505</v>
      </c>
      <c r="AA198" s="165">
        <v>46234</v>
      </c>
      <c r="AB198" s="162">
        <v>6</v>
      </c>
      <c r="AC198" s="162">
        <v>3</v>
      </c>
      <c r="AD198" s="145" t="s">
        <v>18</v>
      </c>
      <c r="AE198" s="145" t="s">
        <v>18</v>
      </c>
      <c r="AF198" s="150"/>
      <c r="AG198" s="155" t="s">
        <v>17</v>
      </c>
      <c r="AH198" s="294"/>
      <c r="AI198" s="299" t="s">
        <v>1693</v>
      </c>
      <c r="AJ198" s="195">
        <f>SUMIF('TK 15661.Bản quyền phim '!F:F,'KK1. Movies'!D198,'TK 15661.Bản quyền phim '!X:X)</f>
        <v>0</v>
      </c>
      <c r="AK198" s="195">
        <f>SUMIF('TK 15661.Bản quyền phim '!F:F,'KK1. Movies'!AI198,'TK 15661.Bản quyền phim '!X:X)</f>
        <v>0</v>
      </c>
      <c r="AL198" s="295">
        <f>COUNTIF('242.BQ Phim hợp tác'!$C:$C,'KK1. Movies'!AI198)</f>
        <v>0</v>
      </c>
      <c r="AM198" s="295">
        <f>COUNTIF('TK 15661.Bản quyền phim '!F:F,'KK1. Movies'!AI198)</f>
        <v>1</v>
      </c>
      <c r="AN198" s="296">
        <f t="shared" si="2"/>
        <v>1</v>
      </c>
      <c r="AO198" s="295"/>
      <c r="AP198" s="295"/>
      <c r="AQ198" s="295"/>
      <c r="AR198" s="295"/>
      <c r="AS198" s="295"/>
    </row>
    <row r="199" spans="1:45" s="296" customFormat="1" ht="26.4" x14ac:dyDescent="0.3">
      <c r="A199" s="292">
        <f>_xlfn.AGGREGATE(3,3,$D$7:D199)</f>
        <v>193</v>
      </c>
      <c r="B199" s="143" t="s">
        <v>1402</v>
      </c>
      <c r="C199" s="144" t="s">
        <v>1692</v>
      </c>
      <c r="D199" s="144" t="s">
        <v>1689</v>
      </c>
      <c r="E199" s="144" t="s">
        <v>1691</v>
      </c>
      <c r="F199" s="143" t="s">
        <v>436</v>
      </c>
      <c r="G199" s="144" t="s">
        <v>1504</v>
      </c>
      <c r="H199" s="144" t="s">
        <v>1690</v>
      </c>
      <c r="I199" s="297">
        <v>2019</v>
      </c>
      <c r="J199" s="145" t="s">
        <v>88</v>
      </c>
      <c r="K199" s="297">
        <v>113</v>
      </c>
      <c r="L199" s="148">
        <v>44287</v>
      </c>
      <c r="M199" s="301">
        <v>46112</v>
      </c>
      <c r="N199" s="302">
        <v>44316</v>
      </c>
      <c r="O199" s="145" t="s">
        <v>584</v>
      </c>
      <c r="P199" s="145"/>
      <c r="Q199" s="145" t="s">
        <v>18</v>
      </c>
      <c r="R199" s="145" t="s">
        <v>18</v>
      </c>
      <c r="S199" s="145" t="s">
        <v>18</v>
      </c>
      <c r="T199" s="145" t="s">
        <v>18</v>
      </c>
      <c r="U199" s="145" t="s">
        <v>18</v>
      </c>
      <c r="V199" s="145" t="s">
        <v>18</v>
      </c>
      <c r="W199" s="145" t="s">
        <v>18</v>
      </c>
      <c r="X199" s="145" t="s">
        <v>18</v>
      </c>
      <c r="Y199" s="145" t="s">
        <v>18</v>
      </c>
      <c r="Z199" s="148">
        <v>44287</v>
      </c>
      <c r="AA199" s="301">
        <v>46112</v>
      </c>
      <c r="AB199" s="297">
        <v>30</v>
      </c>
      <c r="AC199" s="293">
        <v>13</v>
      </c>
      <c r="AD199" s="145" t="s">
        <v>18</v>
      </c>
      <c r="AE199" s="145" t="s">
        <v>18</v>
      </c>
      <c r="AF199" s="150"/>
      <c r="AG199" s="155" t="s">
        <v>17</v>
      </c>
      <c r="AH199" s="294"/>
      <c r="AI199" s="299" t="s">
        <v>1689</v>
      </c>
      <c r="AJ199" s="195">
        <f>SUMIF('TK 15661.Bản quyền phim '!F:F,'KK1. Movies'!D199,'TK 15661.Bản quyền phim '!X:X)</f>
        <v>0</v>
      </c>
      <c r="AK199" s="195">
        <f>SUMIF('TK 15661.Bản quyền phim '!F:F,'KK1. Movies'!AI199,'TK 15661.Bản quyền phim '!X:X)</f>
        <v>0</v>
      </c>
      <c r="AL199" s="295">
        <f>COUNTIF('242.BQ Phim hợp tác'!$C:$C,'KK1. Movies'!AI199)</f>
        <v>0</v>
      </c>
      <c r="AM199" s="295">
        <f>COUNTIF('TK 15661.Bản quyền phim '!F:F,'KK1. Movies'!AI199)</f>
        <v>1</v>
      </c>
      <c r="AN199" s="296">
        <f t="shared" ref="AN199:AN262" si="3">AL199+AM199</f>
        <v>1</v>
      </c>
      <c r="AO199" s="295"/>
      <c r="AP199" s="295"/>
      <c r="AQ199" s="295"/>
      <c r="AR199" s="295"/>
      <c r="AS199" s="295"/>
    </row>
    <row r="200" spans="1:45" s="296" customFormat="1" ht="52.8" x14ac:dyDescent="0.3">
      <c r="A200" s="292">
        <f>_xlfn.AGGREGATE(3,3,$D$7:D200)</f>
        <v>194</v>
      </c>
      <c r="B200" s="143" t="s">
        <v>1402</v>
      </c>
      <c r="C200" s="341" t="s">
        <v>1688</v>
      </c>
      <c r="D200" s="160" t="s">
        <v>1686</v>
      </c>
      <c r="E200" s="166" t="s">
        <v>1687</v>
      </c>
      <c r="F200" s="144" t="s">
        <v>385</v>
      </c>
      <c r="G200" s="158" t="s">
        <v>1141</v>
      </c>
      <c r="H200" s="144" t="s">
        <v>1140</v>
      </c>
      <c r="I200" s="159">
        <v>2024</v>
      </c>
      <c r="J200" s="159" t="s">
        <v>178</v>
      </c>
      <c r="K200" s="159">
        <v>129</v>
      </c>
      <c r="L200" s="163">
        <v>45721</v>
      </c>
      <c r="M200" s="161">
        <v>46026</v>
      </c>
      <c r="N200" s="157"/>
      <c r="O200" s="145"/>
      <c r="P200" s="145"/>
      <c r="Q200" s="159" t="s">
        <v>20</v>
      </c>
      <c r="R200" s="159" t="s">
        <v>18</v>
      </c>
      <c r="S200" s="159" t="s">
        <v>18</v>
      </c>
      <c r="T200" s="145" t="s">
        <v>18</v>
      </c>
      <c r="U200" s="159" t="s">
        <v>20</v>
      </c>
      <c r="V200" s="159" t="s">
        <v>20</v>
      </c>
      <c r="W200" s="159" t="s">
        <v>20</v>
      </c>
      <c r="X200" s="159" t="s">
        <v>18</v>
      </c>
      <c r="Y200" s="159" t="s">
        <v>20</v>
      </c>
      <c r="Z200" s="161">
        <v>45721</v>
      </c>
      <c r="AA200" s="188">
        <v>46026</v>
      </c>
      <c r="AB200" s="159">
        <v>6</v>
      </c>
      <c r="AC200" s="293">
        <v>2</v>
      </c>
      <c r="AD200" s="145" t="s">
        <v>18</v>
      </c>
      <c r="AE200" s="145" t="s">
        <v>18</v>
      </c>
      <c r="AF200" s="150"/>
      <c r="AG200" s="155" t="s">
        <v>17</v>
      </c>
      <c r="AH200" s="294"/>
      <c r="AI200" s="299" t="s">
        <v>1686</v>
      </c>
      <c r="AJ200" s="195">
        <f>SUMIF('TK 15661.Bản quyền phim '!F:F,'KK1. Movies'!D200,'TK 15661.Bản quyền phim '!X:X)</f>
        <v>0</v>
      </c>
      <c r="AK200" s="195">
        <f>SUMIF('TK 15661.Bản quyền phim '!F:F,'KK1. Movies'!AI200,'TK 15661.Bản quyền phim '!X:X)</f>
        <v>0</v>
      </c>
      <c r="AL200" s="295">
        <f>COUNTIF('242.BQ Phim hợp tác'!$C:$C,'KK1. Movies'!AI200)</f>
        <v>0</v>
      </c>
      <c r="AM200" s="295">
        <f>COUNTIF('TK 15661.Bản quyền phim '!F:F,'KK1. Movies'!AI200)</f>
        <v>1</v>
      </c>
      <c r="AN200" s="296">
        <f t="shared" si="3"/>
        <v>1</v>
      </c>
      <c r="AO200" s="295"/>
      <c r="AP200" s="295"/>
      <c r="AQ200" s="295"/>
      <c r="AR200" s="295"/>
      <c r="AS200" s="295"/>
    </row>
    <row r="201" spans="1:45" s="296" customFormat="1" ht="26.4" x14ac:dyDescent="0.3">
      <c r="A201" s="292">
        <f>_xlfn.AGGREGATE(3,3,$D$7:D201)</f>
        <v>195</v>
      </c>
      <c r="B201" s="143" t="s">
        <v>1402</v>
      </c>
      <c r="C201" s="144" t="s">
        <v>1684</v>
      </c>
      <c r="D201" s="160" t="s">
        <v>1683</v>
      </c>
      <c r="E201" s="144" t="s">
        <v>1685</v>
      </c>
      <c r="F201" s="144" t="s">
        <v>511</v>
      </c>
      <c r="G201" s="164" t="s">
        <v>1372</v>
      </c>
      <c r="H201" s="144" t="s">
        <v>1530</v>
      </c>
      <c r="I201" s="162">
        <v>2019</v>
      </c>
      <c r="J201" s="150" t="s">
        <v>1606</v>
      </c>
      <c r="K201" s="162">
        <v>100</v>
      </c>
      <c r="L201" s="148">
        <v>45366</v>
      </c>
      <c r="M201" s="165">
        <v>46460</v>
      </c>
      <c r="N201" s="157">
        <v>45583</v>
      </c>
      <c r="O201" s="145" t="s">
        <v>553</v>
      </c>
      <c r="P201" s="159">
        <v>12</v>
      </c>
      <c r="Q201" s="162" t="s">
        <v>20</v>
      </c>
      <c r="R201" s="145" t="s">
        <v>18</v>
      </c>
      <c r="S201" s="145" t="s">
        <v>18</v>
      </c>
      <c r="T201" s="145" t="s">
        <v>18</v>
      </c>
      <c r="U201" s="145" t="s">
        <v>18</v>
      </c>
      <c r="V201" s="145" t="s">
        <v>18</v>
      </c>
      <c r="W201" s="145" t="s">
        <v>18</v>
      </c>
      <c r="X201" s="145" t="s">
        <v>18</v>
      </c>
      <c r="Y201" s="159" t="s">
        <v>20</v>
      </c>
      <c r="Z201" s="148">
        <v>45366</v>
      </c>
      <c r="AA201" s="165">
        <v>46460</v>
      </c>
      <c r="AB201" s="162">
        <v>24</v>
      </c>
      <c r="AC201" s="293">
        <v>14</v>
      </c>
      <c r="AD201" s="145" t="s">
        <v>18</v>
      </c>
      <c r="AE201" s="145" t="s">
        <v>18</v>
      </c>
      <c r="AF201" s="150"/>
      <c r="AG201" s="155" t="s">
        <v>17</v>
      </c>
      <c r="AH201" s="294" t="s">
        <v>1684</v>
      </c>
      <c r="AI201" s="300" t="s">
        <v>1683</v>
      </c>
      <c r="AJ201" s="195">
        <f>SUMIF('TK 15661.Bản quyền phim '!F:F,'KK1. Movies'!D201,'TK 15661.Bản quyền phim '!X:X)</f>
        <v>33333492</v>
      </c>
      <c r="AK201" s="195">
        <f>SUMIF('TK 15661.Bản quyền phim '!F:F,'KK1. Movies'!AI201,'TK 15661.Bản quyền phim '!X:X)</f>
        <v>33333492</v>
      </c>
      <c r="AL201" s="295">
        <f>COUNTIF('242.BQ Phim hợp tác'!$C:$C,'KK1. Movies'!AI201)</f>
        <v>0</v>
      </c>
      <c r="AM201" s="295">
        <f>COUNTIF('TK 15661.Bản quyền phim '!F:F,'KK1. Movies'!AI201)</f>
        <v>1</v>
      </c>
      <c r="AN201" s="296">
        <f t="shared" si="3"/>
        <v>1</v>
      </c>
      <c r="AO201" s="295"/>
      <c r="AP201" s="295"/>
      <c r="AQ201" s="295"/>
      <c r="AR201" s="295"/>
      <c r="AS201" s="295"/>
    </row>
    <row r="202" spans="1:45" s="296" customFormat="1" ht="52.8" x14ac:dyDescent="0.3">
      <c r="A202" s="292">
        <f>_xlfn.AGGREGATE(3,3,$D$7:D202)</f>
        <v>196</v>
      </c>
      <c r="B202" s="143" t="s">
        <v>1392</v>
      </c>
      <c r="C202" s="144" t="s">
        <v>1682</v>
      </c>
      <c r="D202" s="160" t="s">
        <v>1680</v>
      </c>
      <c r="E202" s="166" t="s">
        <v>1681</v>
      </c>
      <c r="F202" s="144" t="s">
        <v>385</v>
      </c>
      <c r="G202" s="158" t="s">
        <v>1592</v>
      </c>
      <c r="H202" s="144" t="s">
        <v>1591</v>
      </c>
      <c r="I202" s="159">
        <v>2012</v>
      </c>
      <c r="J202" s="150" t="s">
        <v>196</v>
      </c>
      <c r="K202" s="159">
        <v>104</v>
      </c>
      <c r="L202" s="148">
        <v>45505</v>
      </c>
      <c r="M202" s="161">
        <v>46234</v>
      </c>
      <c r="N202" s="157">
        <v>45532</v>
      </c>
      <c r="O202" s="145" t="s">
        <v>584</v>
      </c>
      <c r="P202" s="145"/>
      <c r="Q202" s="159" t="s">
        <v>20</v>
      </c>
      <c r="R202" s="145" t="s">
        <v>18</v>
      </c>
      <c r="S202" s="145" t="s">
        <v>18</v>
      </c>
      <c r="T202" s="145" t="s">
        <v>18</v>
      </c>
      <c r="U202" s="159" t="s">
        <v>20</v>
      </c>
      <c r="V202" s="159" t="s">
        <v>20</v>
      </c>
      <c r="W202" s="159" t="s">
        <v>20</v>
      </c>
      <c r="X202" s="159" t="s">
        <v>20</v>
      </c>
      <c r="Y202" s="159" t="s">
        <v>20</v>
      </c>
      <c r="Z202" s="161">
        <v>45505</v>
      </c>
      <c r="AA202" s="188">
        <v>46053</v>
      </c>
      <c r="AB202" s="162">
        <v>7</v>
      </c>
      <c r="AC202" s="293">
        <v>6</v>
      </c>
      <c r="AD202" s="145" t="s">
        <v>18</v>
      </c>
      <c r="AE202" s="145" t="s">
        <v>18</v>
      </c>
      <c r="AF202" s="150"/>
      <c r="AG202" s="155" t="s">
        <v>17</v>
      </c>
      <c r="AH202" s="294"/>
      <c r="AI202" s="299" t="s">
        <v>1680</v>
      </c>
      <c r="AJ202" s="195">
        <f>SUMIF('TK 15661.Bản quyền phim '!F:F,'KK1. Movies'!D202,'TK 15661.Bản quyền phim '!X:X)</f>
        <v>0</v>
      </c>
      <c r="AK202" s="195">
        <f>SUMIF('TK 15661.Bản quyền phim '!F:F,'KK1. Movies'!AI202,'TK 15661.Bản quyền phim '!X:X)</f>
        <v>0</v>
      </c>
      <c r="AL202" s="295">
        <f>COUNTIF('242.BQ Phim hợp tác'!$C:$C,'KK1. Movies'!AI202)</f>
        <v>0</v>
      </c>
      <c r="AM202" s="295">
        <f>COUNTIF('TK 15661.Bản quyền phim '!F:F,'KK1. Movies'!AI202)</f>
        <v>1</v>
      </c>
      <c r="AN202" s="296">
        <f t="shared" si="3"/>
        <v>1</v>
      </c>
      <c r="AO202" s="295"/>
      <c r="AP202" s="295"/>
      <c r="AQ202" s="295"/>
      <c r="AR202" s="295"/>
      <c r="AS202" s="295"/>
    </row>
    <row r="203" spans="1:45" s="296" customFormat="1" x14ac:dyDescent="0.3">
      <c r="A203" s="292">
        <f>_xlfn.AGGREGATE(3,3,$D$7:D203)</f>
        <v>197</v>
      </c>
      <c r="B203" s="143" t="s">
        <v>1402</v>
      </c>
      <c r="C203" s="144" t="s">
        <v>1679</v>
      </c>
      <c r="D203" s="160" t="s">
        <v>1677</v>
      </c>
      <c r="E203" s="142" t="s">
        <v>1678</v>
      </c>
      <c r="F203" s="144" t="s">
        <v>1013</v>
      </c>
      <c r="G203" s="164" t="s">
        <v>1649</v>
      </c>
      <c r="H203" s="144" t="s">
        <v>1648</v>
      </c>
      <c r="I203" s="159">
        <v>2021</v>
      </c>
      <c r="J203" s="159" t="s">
        <v>1634</v>
      </c>
      <c r="K203" s="159">
        <v>122</v>
      </c>
      <c r="L203" s="148">
        <v>45309</v>
      </c>
      <c r="M203" s="161">
        <v>46404</v>
      </c>
      <c r="N203" s="157">
        <v>45586</v>
      </c>
      <c r="O203" s="145" t="s">
        <v>553</v>
      </c>
      <c r="P203" s="145"/>
      <c r="Q203" s="159" t="s">
        <v>20</v>
      </c>
      <c r="R203" s="145" t="s">
        <v>18</v>
      </c>
      <c r="S203" s="145" t="s">
        <v>18</v>
      </c>
      <c r="T203" s="145" t="s">
        <v>18</v>
      </c>
      <c r="U203" s="145" t="s">
        <v>18</v>
      </c>
      <c r="V203" s="145" t="s">
        <v>18</v>
      </c>
      <c r="W203" s="145" t="s">
        <v>18</v>
      </c>
      <c r="X203" s="145" t="s">
        <v>18</v>
      </c>
      <c r="Y203" s="162" t="s">
        <v>20</v>
      </c>
      <c r="Z203" s="148">
        <v>45309</v>
      </c>
      <c r="AA203" s="161">
        <v>46404</v>
      </c>
      <c r="AB203" s="159">
        <v>24</v>
      </c>
      <c r="AC203" s="293">
        <v>9</v>
      </c>
      <c r="AD203" s="145" t="s">
        <v>18</v>
      </c>
      <c r="AE203" s="145" t="s">
        <v>18</v>
      </c>
      <c r="AF203" s="150"/>
      <c r="AG203" s="155" t="s">
        <v>17</v>
      </c>
      <c r="AH203" s="294"/>
      <c r="AI203" s="300" t="s">
        <v>1677</v>
      </c>
      <c r="AJ203" s="195">
        <f>SUMIF('TK 15661.Bản quyền phim '!F:F,'KK1. Movies'!D203,'TK 15661.Bản quyền phim '!X:X)</f>
        <v>31746031.66666666</v>
      </c>
      <c r="AK203" s="195">
        <f>SUMIF('TK 15661.Bản quyền phim '!F:F,'KK1. Movies'!AI203,'TK 15661.Bản quyền phim '!X:X)</f>
        <v>31746031.66666666</v>
      </c>
      <c r="AL203" s="295">
        <f>COUNTIF('242.BQ Phim hợp tác'!$C:$C,'KK1. Movies'!AI203)</f>
        <v>0</v>
      </c>
      <c r="AM203" s="295">
        <f>COUNTIF('TK 15661.Bản quyền phim '!F:F,'KK1. Movies'!AI203)</f>
        <v>1</v>
      </c>
      <c r="AN203" s="296">
        <f t="shared" si="3"/>
        <v>1</v>
      </c>
      <c r="AO203" s="295"/>
      <c r="AP203" s="295"/>
      <c r="AQ203" s="295"/>
      <c r="AR203" s="295"/>
      <c r="AS203" s="295"/>
    </row>
    <row r="204" spans="1:45" s="296" customFormat="1" ht="26.4" x14ac:dyDescent="0.3">
      <c r="A204" s="292">
        <f>_xlfn.AGGREGATE(3,3,$D$7:D204)</f>
        <v>198</v>
      </c>
      <c r="B204" s="143" t="s">
        <v>1402</v>
      </c>
      <c r="C204" s="144" t="s">
        <v>1676</v>
      </c>
      <c r="D204" s="144" t="s">
        <v>1675</v>
      </c>
      <c r="E204" s="144" t="s">
        <v>1674</v>
      </c>
      <c r="F204" s="144" t="s">
        <v>1013</v>
      </c>
      <c r="G204" s="144" t="s">
        <v>1056</v>
      </c>
      <c r="H204" s="144" t="s">
        <v>1673</v>
      </c>
      <c r="I204" s="297">
        <v>2020</v>
      </c>
      <c r="J204" s="150" t="s">
        <v>178</v>
      </c>
      <c r="K204" s="297">
        <v>88</v>
      </c>
      <c r="L204" s="148">
        <v>44559</v>
      </c>
      <c r="M204" s="301">
        <v>46201</v>
      </c>
      <c r="N204" s="302">
        <v>44559</v>
      </c>
      <c r="O204" s="145" t="s">
        <v>584</v>
      </c>
      <c r="P204" s="350" t="s">
        <v>1566</v>
      </c>
      <c r="Q204" s="306" t="s">
        <v>20</v>
      </c>
      <c r="R204" s="145" t="s">
        <v>18</v>
      </c>
      <c r="S204" s="145" t="s">
        <v>18</v>
      </c>
      <c r="T204" s="145" t="s">
        <v>18</v>
      </c>
      <c r="U204" s="145" t="s">
        <v>18</v>
      </c>
      <c r="V204" s="145" t="s">
        <v>18</v>
      </c>
      <c r="W204" s="145" t="s">
        <v>18</v>
      </c>
      <c r="X204" s="145" t="s">
        <v>18</v>
      </c>
      <c r="Y204" s="145" t="s">
        <v>18</v>
      </c>
      <c r="Z204" s="148">
        <v>44559</v>
      </c>
      <c r="AA204" s="301">
        <v>46201</v>
      </c>
      <c r="AB204" s="141" t="s">
        <v>1394</v>
      </c>
      <c r="AC204" s="293">
        <v>53</v>
      </c>
      <c r="AD204" s="145" t="s">
        <v>18</v>
      </c>
      <c r="AE204" s="145" t="s">
        <v>18</v>
      </c>
      <c r="AF204" s="150"/>
      <c r="AG204" s="155" t="s">
        <v>17</v>
      </c>
      <c r="AH204" s="294"/>
      <c r="AI204" s="198" t="s">
        <v>1672</v>
      </c>
      <c r="AJ204" s="195">
        <f>SUMIF('TK 15661.Bản quyền phim '!F:F,'KK1. Movies'!D204,'TK 15661.Bản quyền phim '!X:X)</f>
        <v>0</v>
      </c>
      <c r="AK204" s="195">
        <f>SUMIF('TK 15661.Bản quyền phim '!F:F,'KK1. Movies'!AI204,'TK 15661.Bản quyền phim '!X:X)</f>
        <v>0</v>
      </c>
      <c r="AL204" s="295">
        <f>COUNTIF('242.BQ Phim hợp tác'!$C:$C,'KK1. Movies'!AI204)</f>
        <v>0</v>
      </c>
      <c r="AM204" s="295">
        <f>COUNTIF('TK 15661.Bản quyền phim '!F:F,'KK1. Movies'!AI204)</f>
        <v>1</v>
      </c>
      <c r="AN204" s="296">
        <f t="shared" si="3"/>
        <v>1</v>
      </c>
      <c r="AO204" s="295"/>
      <c r="AP204" s="295"/>
      <c r="AQ204" s="295"/>
      <c r="AR204" s="295"/>
      <c r="AS204" s="295"/>
    </row>
    <row r="205" spans="1:45" s="296" customFormat="1" ht="39.6" x14ac:dyDescent="0.3">
      <c r="A205" s="292">
        <f>_xlfn.AGGREGATE(3,3,$D$7:D205)</f>
        <v>199</v>
      </c>
      <c r="B205" s="143" t="s">
        <v>1422</v>
      </c>
      <c r="C205" s="144" t="s">
        <v>1671</v>
      </c>
      <c r="D205" s="160" t="s">
        <v>1669</v>
      </c>
      <c r="E205" s="144" t="s">
        <v>1670</v>
      </c>
      <c r="F205" s="158" t="s">
        <v>1352</v>
      </c>
      <c r="G205" s="158" t="s">
        <v>1351</v>
      </c>
      <c r="H205" s="144" t="s">
        <v>1350</v>
      </c>
      <c r="I205" s="159">
        <v>2023</v>
      </c>
      <c r="J205" s="159" t="s">
        <v>178</v>
      </c>
      <c r="K205" s="159">
        <v>117</v>
      </c>
      <c r="L205" s="163">
        <v>45665</v>
      </c>
      <c r="M205" s="148">
        <v>46759</v>
      </c>
      <c r="N205" s="163">
        <v>45665</v>
      </c>
      <c r="O205" s="145"/>
      <c r="P205" s="159">
        <v>12</v>
      </c>
      <c r="Q205" s="159" t="s">
        <v>20</v>
      </c>
      <c r="R205" s="145" t="s">
        <v>18</v>
      </c>
      <c r="S205" s="162" t="s">
        <v>18</v>
      </c>
      <c r="T205" s="145" t="s">
        <v>18</v>
      </c>
      <c r="U205" s="162" t="s">
        <v>18</v>
      </c>
      <c r="V205" s="162" t="s">
        <v>18</v>
      </c>
      <c r="W205" s="162" t="s">
        <v>18</v>
      </c>
      <c r="X205" s="162" t="s">
        <v>18</v>
      </c>
      <c r="Y205" s="159" t="s">
        <v>18</v>
      </c>
      <c r="Z205" s="161">
        <v>45778</v>
      </c>
      <c r="AA205" s="188">
        <v>46873</v>
      </c>
      <c r="AB205" s="159">
        <v>24</v>
      </c>
      <c r="AC205" s="293">
        <v>5</v>
      </c>
      <c r="AD205" s="145" t="s">
        <v>18</v>
      </c>
      <c r="AE205" s="145" t="s">
        <v>18</v>
      </c>
      <c r="AF205" s="150"/>
      <c r="AG205" s="155" t="s">
        <v>17</v>
      </c>
      <c r="AH205" s="294"/>
      <c r="AI205" s="300" t="s">
        <v>1669</v>
      </c>
      <c r="AJ205" s="195">
        <f>SUMIF('TK 15661.Bản quyền phim '!F:F,'KK1. Movies'!D205,'TK 15661.Bản quyền phim '!X:X)</f>
        <v>58057142.666666672</v>
      </c>
      <c r="AK205" s="195">
        <f>SUMIF('TK 15661.Bản quyền phim '!F:F,'KK1. Movies'!AI205,'TK 15661.Bản quyền phim '!X:X)</f>
        <v>58057142.666666672</v>
      </c>
      <c r="AL205" s="295">
        <f>COUNTIF('242.BQ Phim hợp tác'!$C:$C,'KK1. Movies'!AI205)</f>
        <v>0</v>
      </c>
      <c r="AM205" s="295">
        <f>COUNTIF('TK 15661.Bản quyền phim '!F:F,'KK1. Movies'!AI205)</f>
        <v>1</v>
      </c>
      <c r="AN205" s="296">
        <f t="shared" si="3"/>
        <v>1</v>
      </c>
      <c r="AO205" s="295"/>
      <c r="AP205" s="295"/>
      <c r="AQ205" s="295"/>
      <c r="AR205" s="295"/>
      <c r="AS205" s="295"/>
    </row>
    <row r="206" spans="1:45" s="296" customFormat="1" ht="39.6" x14ac:dyDescent="0.3">
      <c r="A206" s="292">
        <f>_xlfn.AGGREGATE(3,3,$D$7:D206)</f>
        <v>200</v>
      </c>
      <c r="B206" s="143" t="s">
        <v>1392</v>
      </c>
      <c r="C206" s="341" t="s">
        <v>1668</v>
      </c>
      <c r="D206" s="160" t="s">
        <v>1667</v>
      </c>
      <c r="E206" s="160" t="s">
        <v>1666</v>
      </c>
      <c r="F206" s="164" t="s">
        <v>1665</v>
      </c>
      <c r="G206" s="164" t="s">
        <v>1372</v>
      </c>
      <c r="H206" s="144" t="s">
        <v>1371</v>
      </c>
      <c r="I206" s="162">
        <v>2020</v>
      </c>
      <c r="J206" s="162" t="s">
        <v>1664</v>
      </c>
      <c r="K206" s="162">
        <v>85</v>
      </c>
      <c r="L206" s="163">
        <v>45696</v>
      </c>
      <c r="M206" s="148">
        <v>46790</v>
      </c>
      <c r="N206" s="163">
        <v>45696</v>
      </c>
      <c r="O206" s="145"/>
      <c r="P206" s="159">
        <v>12</v>
      </c>
      <c r="Q206" s="162" t="s">
        <v>20</v>
      </c>
      <c r="R206" s="145" t="s">
        <v>18</v>
      </c>
      <c r="S206" s="159" t="s">
        <v>18</v>
      </c>
      <c r="T206" s="159" t="s">
        <v>18</v>
      </c>
      <c r="U206" s="159" t="s">
        <v>18</v>
      </c>
      <c r="V206" s="159" t="s">
        <v>18</v>
      </c>
      <c r="W206" s="159" t="s">
        <v>18</v>
      </c>
      <c r="X206" s="159" t="s">
        <v>18</v>
      </c>
      <c r="Y206" s="159" t="s">
        <v>20</v>
      </c>
      <c r="Z206" s="165">
        <v>45696</v>
      </c>
      <c r="AA206" s="189">
        <v>46790</v>
      </c>
      <c r="AB206" s="162">
        <v>24</v>
      </c>
      <c r="AC206" s="293">
        <v>10</v>
      </c>
      <c r="AD206" s="145" t="s">
        <v>18</v>
      </c>
      <c r="AE206" s="145" t="s">
        <v>18</v>
      </c>
      <c r="AF206" s="150"/>
      <c r="AG206" s="155" t="s">
        <v>17</v>
      </c>
      <c r="AH206" s="294"/>
      <c r="AI206" s="300" t="s">
        <v>1663</v>
      </c>
      <c r="AJ206" s="195">
        <f>SUMIF('TK 15661.Bản quyền phim '!F:F,'KK1. Movies'!D206,'TK 15661.Bản quyền phim '!X:X)</f>
        <v>0</v>
      </c>
      <c r="AK206" s="195">
        <f>SUMIF('TK 15661.Bản quyền phim '!F:F,'KK1. Movies'!AI206,'TK 15661.Bản quyền phim '!X:X)</f>
        <v>59932952.666666672</v>
      </c>
      <c r="AL206" s="295">
        <f>COUNTIF('242.BQ Phim hợp tác'!$C:$C,'KK1. Movies'!AI206)</f>
        <v>0</v>
      </c>
      <c r="AM206" s="295">
        <f>COUNTIF('TK 15661.Bản quyền phim '!F:F,'KK1. Movies'!AI206)</f>
        <v>1</v>
      </c>
      <c r="AN206" s="296">
        <f t="shared" si="3"/>
        <v>1</v>
      </c>
      <c r="AO206" s="295"/>
      <c r="AP206" s="295"/>
      <c r="AQ206" s="295"/>
      <c r="AR206" s="295"/>
      <c r="AS206" s="295"/>
    </row>
    <row r="207" spans="1:45" s="296" customFormat="1" ht="26.4" x14ac:dyDescent="0.3">
      <c r="A207" s="292">
        <f>_xlfn.AGGREGATE(3,3,$D$7:D207)</f>
        <v>201</v>
      </c>
      <c r="B207" s="143" t="s">
        <v>1422</v>
      </c>
      <c r="C207" s="144" t="s">
        <v>1660</v>
      </c>
      <c r="D207" s="160" t="s">
        <v>1662</v>
      </c>
      <c r="E207" s="166" t="s">
        <v>1661</v>
      </c>
      <c r="F207" s="144" t="s">
        <v>385</v>
      </c>
      <c r="G207" s="158" t="s">
        <v>1324</v>
      </c>
      <c r="H207" s="144" t="s">
        <v>1449</v>
      </c>
      <c r="I207" s="159">
        <v>2023</v>
      </c>
      <c r="J207" s="150" t="s">
        <v>133</v>
      </c>
      <c r="K207" s="159">
        <v>119</v>
      </c>
      <c r="L207" s="148">
        <v>45332</v>
      </c>
      <c r="M207" s="161">
        <v>46427</v>
      </c>
      <c r="N207" s="157">
        <v>45332</v>
      </c>
      <c r="O207" s="145" t="s">
        <v>584</v>
      </c>
      <c r="P207" s="151">
        <v>12</v>
      </c>
      <c r="Q207" s="159" t="s">
        <v>20</v>
      </c>
      <c r="R207" s="145" t="s">
        <v>18</v>
      </c>
      <c r="S207" s="145" t="s">
        <v>18</v>
      </c>
      <c r="T207" s="145" t="s">
        <v>18</v>
      </c>
      <c r="U207" s="145" t="s">
        <v>18</v>
      </c>
      <c r="V207" s="145" t="s">
        <v>18</v>
      </c>
      <c r="W207" s="145" t="s">
        <v>18</v>
      </c>
      <c r="X207" s="159" t="s">
        <v>20</v>
      </c>
      <c r="Y207" s="145" t="s">
        <v>18</v>
      </c>
      <c r="Z207" s="161">
        <v>45413</v>
      </c>
      <c r="AA207" s="188">
        <v>46507</v>
      </c>
      <c r="AB207" s="145" t="s">
        <v>218</v>
      </c>
      <c r="AC207" s="293">
        <v>40</v>
      </c>
      <c r="AD207" s="145" t="s">
        <v>18</v>
      </c>
      <c r="AE207" s="145" t="s">
        <v>18</v>
      </c>
      <c r="AF207" s="150"/>
      <c r="AG207" s="155" t="s">
        <v>17</v>
      </c>
      <c r="AH207" s="294" t="s">
        <v>1660</v>
      </c>
      <c r="AI207" s="300" t="s">
        <v>1659</v>
      </c>
      <c r="AJ207" s="195">
        <f>SUMIF('TK 15661.Bản quyền phim '!F:F,'KK1. Movies'!D207,'TK 15661.Bản quyền phim '!X:X)</f>
        <v>0</v>
      </c>
      <c r="AK207" s="195">
        <f>SUMIF('TK 15661.Bản quyền phim '!F:F,'KK1. Movies'!AI207,'TK 15661.Bản quyền phim '!X:X)</f>
        <v>74603174.666666642</v>
      </c>
      <c r="AL207" s="295">
        <f>COUNTIF('242.BQ Phim hợp tác'!$C:$C,'KK1. Movies'!AI207)</f>
        <v>0</v>
      </c>
      <c r="AM207" s="295">
        <f>COUNTIF('TK 15661.Bản quyền phim '!F:F,'KK1. Movies'!AI207)</f>
        <v>1</v>
      </c>
      <c r="AN207" s="296">
        <f t="shared" si="3"/>
        <v>1</v>
      </c>
      <c r="AO207" s="295"/>
      <c r="AP207" s="295"/>
      <c r="AQ207" s="295"/>
      <c r="AR207" s="295"/>
      <c r="AS207" s="295"/>
    </row>
    <row r="208" spans="1:45" s="296" customFormat="1" ht="26.4" x14ac:dyDescent="0.3">
      <c r="A208" s="292">
        <f>_xlfn.AGGREGATE(3,3,$D$7:D208)</f>
        <v>202</v>
      </c>
      <c r="B208" s="143" t="s">
        <v>1422</v>
      </c>
      <c r="C208" s="341" t="s">
        <v>1658</v>
      </c>
      <c r="D208" s="160" t="s">
        <v>1657</v>
      </c>
      <c r="E208" s="166" t="s">
        <v>1657</v>
      </c>
      <c r="F208" s="158" t="s">
        <v>1656</v>
      </c>
      <c r="G208" s="158" t="s">
        <v>1397</v>
      </c>
      <c r="H208" s="144" t="s">
        <v>1404</v>
      </c>
      <c r="I208" s="159">
        <v>2019</v>
      </c>
      <c r="J208" s="145" t="s">
        <v>88</v>
      </c>
      <c r="K208" s="159">
        <v>100</v>
      </c>
      <c r="L208" s="163">
        <v>45633</v>
      </c>
      <c r="M208" s="148">
        <v>46363</v>
      </c>
      <c r="N208" s="163">
        <v>44699</v>
      </c>
      <c r="O208" s="145"/>
      <c r="P208" s="159">
        <v>0</v>
      </c>
      <c r="Q208" s="162" t="s">
        <v>20</v>
      </c>
      <c r="R208" s="145" t="s">
        <v>18</v>
      </c>
      <c r="S208" s="162" t="s">
        <v>18</v>
      </c>
      <c r="T208" s="145" t="s">
        <v>18</v>
      </c>
      <c r="U208" s="162" t="s">
        <v>18</v>
      </c>
      <c r="V208" s="162" t="s">
        <v>18</v>
      </c>
      <c r="W208" s="162" t="s">
        <v>18</v>
      </c>
      <c r="X208" s="162" t="s">
        <v>18</v>
      </c>
      <c r="Y208" s="162" t="s">
        <v>18</v>
      </c>
      <c r="Z208" s="161">
        <v>45633</v>
      </c>
      <c r="AA208" s="188">
        <v>46363</v>
      </c>
      <c r="AB208" s="159" t="s">
        <v>218</v>
      </c>
      <c r="AC208" s="293">
        <v>11</v>
      </c>
      <c r="AD208" s="145" t="s">
        <v>18</v>
      </c>
      <c r="AE208" s="145" t="s">
        <v>18</v>
      </c>
      <c r="AF208" s="150"/>
      <c r="AG208" s="155" t="s">
        <v>17</v>
      </c>
      <c r="AH208" s="294"/>
      <c r="AI208" s="300" t="s">
        <v>1655</v>
      </c>
      <c r="AJ208" s="195">
        <f>SUMIF('TK 15661.Bản quyền phim '!F:F,'KK1. Movies'!D208,'TK 15661.Bản quyền phim '!X:X)</f>
        <v>0</v>
      </c>
      <c r="AK208" s="195">
        <f>SUMIF('TK 15661.Bản quyền phim '!F:F,'KK1. Movies'!AI208,'TK 15661.Bản quyền phim '!X:X)</f>
        <v>14285714.5</v>
      </c>
      <c r="AL208" s="295">
        <f>COUNTIF('242.BQ Phim hợp tác'!$C:$C,'KK1. Movies'!AI208)</f>
        <v>0</v>
      </c>
      <c r="AM208" s="295">
        <f>COUNTIF('TK 15661.Bản quyền phim '!F:F,'KK1. Movies'!AI208)</f>
        <v>1</v>
      </c>
      <c r="AN208" s="296">
        <f t="shared" si="3"/>
        <v>1</v>
      </c>
      <c r="AO208" s="295"/>
      <c r="AP208" s="295"/>
      <c r="AQ208" s="295"/>
      <c r="AR208" s="295"/>
      <c r="AS208" s="295"/>
    </row>
    <row r="209" spans="1:45" s="296" customFormat="1" ht="26.4" x14ac:dyDescent="0.3">
      <c r="A209" s="292">
        <f>_xlfn.AGGREGATE(3,3,$D$7:D209)</f>
        <v>203</v>
      </c>
      <c r="B209" s="143" t="s">
        <v>1392</v>
      </c>
      <c r="C209" s="144" t="s">
        <v>1654</v>
      </c>
      <c r="D209" s="160" t="s">
        <v>1652</v>
      </c>
      <c r="E209" s="144" t="s">
        <v>1653</v>
      </c>
      <c r="F209" s="144" t="s">
        <v>511</v>
      </c>
      <c r="G209" s="164" t="s">
        <v>1372</v>
      </c>
      <c r="H209" s="144" t="s">
        <v>1530</v>
      </c>
      <c r="I209" s="162">
        <v>2018</v>
      </c>
      <c r="J209" s="162" t="s">
        <v>1457</v>
      </c>
      <c r="K209" s="162">
        <v>111</v>
      </c>
      <c r="L209" s="148">
        <v>45345</v>
      </c>
      <c r="M209" s="165">
        <v>46440</v>
      </c>
      <c r="N209" s="157">
        <v>45562</v>
      </c>
      <c r="O209" s="145" t="s">
        <v>584</v>
      </c>
      <c r="P209" s="159">
        <v>12</v>
      </c>
      <c r="Q209" s="162" t="s">
        <v>20</v>
      </c>
      <c r="R209" s="145" t="s">
        <v>18</v>
      </c>
      <c r="S209" s="145" t="s">
        <v>18</v>
      </c>
      <c r="T209" s="145" t="s">
        <v>18</v>
      </c>
      <c r="U209" s="145" t="s">
        <v>18</v>
      </c>
      <c r="V209" s="145" t="s">
        <v>18</v>
      </c>
      <c r="W209" s="145" t="s">
        <v>18</v>
      </c>
      <c r="X209" s="145" t="s">
        <v>18</v>
      </c>
      <c r="Y209" s="159" t="s">
        <v>20</v>
      </c>
      <c r="Z209" s="148">
        <v>45345</v>
      </c>
      <c r="AA209" s="165">
        <v>46440</v>
      </c>
      <c r="AB209" s="162">
        <v>24</v>
      </c>
      <c r="AC209" s="293">
        <v>14</v>
      </c>
      <c r="AD209" s="145" t="s">
        <v>18</v>
      </c>
      <c r="AE209" s="145" t="s">
        <v>18</v>
      </c>
      <c r="AF209" s="150"/>
      <c r="AG209" s="155" t="s">
        <v>17</v>
      </c>
      <c r="AH209" s="294"/>
      <c r="AI209" s="300" t="s">
        <v>1652</v>
      </c>
      <c r="AJ209" s="195">
        <f>SUMIF('TK 15661.Bản quyền phim '!F:F,'KK1. Movies'!D209,'TK 15661.Bản quyền phim '!X:X)</f>
        <v>33333492</v>
      </c>
      <c r="AK209" s="195">
        <f>SUMIF('TK 15661.Bản quyền phim '!F:F,'KK1. Movies'!AI209,'TK 15661.Bản quyền phim '!X:X)</f>
        <v>33333492</v>
      </c>
      <c r="AL209" s="295">
        <f>COUNTIF('242.BQ Phim hợp tác'!$C:$C,'KK1. Movies'!AI209)</f>
        <v>0</v>
      </c>
      <c r="AM209" s="295">
        <f>COUNTIF('TK 15661.Bản quyền phim '!F:F,'KK1. Movies'!AI209)</f>
        <v>1</v>
      </c>
      <c r="AN209" s="296">
        <f t="shared" si="3"/>
        <v>1</v>
      </c>
      <c r="AO209" s="295"/>
      <c r="AP209" s="295"/>
      <c r="AQ209" s="295"/>
      <c r="AR209" s="295"/>
      <c r="AS209" s="295"/>
    </row>
    <row r="210" spans="1:45" s="296" customFormat="1" x14ac:dyDescent="0.3">
      <c r="A210" s="292">
        <f>_xlfn.AGGREGATE(3,3,$D$7:D210)</f>
        <v>204</v>
      </c>
      <c r="B210" s="143" t="s">
        <v>1402</v>
      </c>
      <c r="C210" s="144" t="s">
        <v>1651</v>
      </c>
      <c r="D210" s="160" t="s">
        <v>1647</v>
      </c>
      <c r="E210" s="142" t="s">
        <v>1650</v>
      </c>
      <c r="F210" s="144" t="s">
        <v>1013</v>
      </c>
      <c r="G210" s="164" t="s">
        <v>1649</v>
      </c>
      <c r="H210" s="144" t="s">
        <v>1648</v>
      </c>
      <c r="I210" s="159">
        <v>2022</v>
      </c>
      <c r="J210" s="159" t="s">
        <v>196</v>
      </c>
      <c r="K210" s="159">
        <v>105</v>
      </c>
      <c r="L210" s="148">
        <v>45316</v>
      </c>
      <c r="M210" s="161">
        <v>46411</v>
      </c>
      <c r="N210" s="157">
        <v>45316</v>
      </c>
      <c r="O210" s="145" t="s">
        <v>553</v>
      </c>
      <c r="P210" s="145"/>
      <c r="Q210" s="159" t="s">
        <v>20</v>
      </c>
      <c r="R210" s="145" t="s">
        <v>18</v>
      </c>
      <c r="S210" s="145" t="s">
        <v>18</v>
      </c>
      <c r="T210" s="145" t="s">
        <v>18</v>
      </c>
      <c r="U210" s="145" t="s">
        <v>18</v>
      </c>
      <c r="V210" s="145" t="s">
        <v>18</v>
      </c>
      <c r="W210" s="145" t="s">
        <v>18</v>
      </c>
      <c r="X210" s="145" t="s">
        <v>18</v>
      </c>
      <c r="Y210" s="162" t="s">
        <v>20</v>
      </c>
      <c r="Z210" s="148">
        <v>45316</v>
      </c>
      <c r="AA210" s="161">
        <v>46411</v>
      </c>
      <c r="AB210" s="159">
        <v>24</v>
      </c>
      <c r="AC210" s="293">
        <v>15</v>
      </c>
      <c r="AD210" s="145" t="s">
        <v>18</v>
      </c>
      <c r="AE210" s="145" t="s">
        <v>18</v>
      </c>
      <c r="AF210" s="150"/>
      <c r="AG210" s="155" t="s">
        <v>17</v>
      </c>
      <c r="AH210" s="294"/>
      <c r="AI210" s="300" t="s">
        <v>1647</v>
      </c>
      <c r="AJ210" s="195">
        <f>SUMIF('TK 15661.Bản quyền phim '!F:F,'KK1. Movies'!D210,'TK 15661.Bản quyền phim '!X:X)</f>
        <v>29920635</v>
      </c>
      <c r="AK210" s="195">
        <f>SUMIF('TK 15661.Bản quyền phim '!F:F,'KK1. Movies'!AI210,'TK 15661.Bản quyền phim '!X:X)</f>
        <v>29920635</v>
      </c>
      <c r="AL210" s="295">
        <f>COUNTIF('242.BQ Phim hợp tác'!$C:$C,'KK1. Movies'!AI210)</f>
        <v>0</v>
      </c>
      <c r="AM210" s="295">
        <f>COUNTIF('TK 15661.Bản quyền phim '!F:F,'KK1. Movies'!AI210)</f>
        <v>1</v>
      </c>
      <c r="AN210" s="296">
        <f t="shared" si="3"/>
        <v>1</v>
      </c>
      <c r="AO210" s="295"/>
      <c r="AP210" s="295"/>
      <c r="AQ210" s="295"/>
      <c r="AR210" s="295"/>
      <c r="AS210" s="295"/>
    </row>
    <row r="211" spans="1:45" s="296" customFormat="1" ht="26.4" x14ac:dyDescent="0.3">
      <c r="A211" s="292">
        <f>_xlfn.AGGREGATE(3,3,$D$7:D211)</f>
        <v>205</v>
      </c>
      <c r="B211" s="143" t="s">
        <v>1402</v>
      </c>
      <c r="C211" s="144" t="s">
        <v>1646</v>
      </c>
      <c r="D211" s="160" t="s">
        <v>1645</v>
      </c>
      <c r="E211" s="166" t="s">
        <v>1644</v>
      </c>
      <c r="F211" s="144" t="s">
        <v>381</v>
      </c>
      <c r="G211" s="158" t="s">
        <v>1324</v>
      </c>
      <c r="H211" s="144" t="s">
        <v>1449</v>
      </c>
      <c r="I211" s="159">
        <v>2021</v>
      </c>
      <c r="J211" s="150" t="s">
        <v>703</v>
      </c>
      <c r="K211" s="159">
        <v>120</v>
      </c>
      <c r="L211" s="148">
        <v>45566</v>
      </c>
      <c r="M211" s="161">
        <v>46660</v>
      </c>
      <c r="N211" s="157">
        <v>45582</v>
      </c>
      <c r="O211" s="145" t="s">
        <v>553</v>
      </c>
      <c r="P211" s="151">
        <v>12</v>
      </c>
      <c r="Q211" s="159" t="s">
        <v>20</v>
      </c>
      <c r="R211" s="145" t="s">
        <v>18</v>
      </c>
      <c r="S211" s="145" t="s">
        <v>18</v>
      </c>
      <c r="T211" s="145" t="s">
        <v>18</v>
      </c>
      <c r="U211" s="145" t="s">
        <v>18</v>
      </c>
      <c r="V211" s="145" t="s">
        <v>18</v>
      </c>
      <c r="W211" s="145" t="s">
        <v>18</v>
      </c>
      <c r="X211" s="159" t="s">
        <v>20</v>
      </c>
      <c r="Y211" s="145" t="s">
        <v>18</v>
      </c>
      <c r="Z211" s="148">
        <v>45566</v>
      </c>
      <c r="AA211" s="161">
        <v>46660</v>
      </c>
      <c r="AB211" s="145" t="s">
        <v>218</v>
      </c>
      <c r="AC211" s="293">
        <v>14</v>
      </c>
      <c r="AD211" s="145" t="s">
        <v>18</v>
      </c>
      <c r="AE211" s="145" t="s">
        <v>18</v>
      </c>
      <c r="AF211" s="150"/>
      <c r="AG211" s="155" t="s">
        <v>17</v>
      </c>
      <c r="AH211" s="294"/>
      <c r="AI211" s="300" t="s">
        <v>1643</v>
      </c>
      <c r="AJ211" s="195">
        <f>SUMIF('TK 15661.Bản quyền phim '!F:F,'KK1. Movies'!D211,'TK 15661.Bản quyền phim '!X:X)</f>
        <v>0</v>
      </c>
      <c r="AK211" s="195">
        <f>SUMIF('TK 15661.Bản quyền phim '!F:F,'KK1. Movies'!AI211,'TK 15661.Bản quyền phim '!X:X)</f>
        <v>28571428.66666666</v>
      </c>
      <c r="AL211" s="295">
        <f>COUNTIF('242.BQ Phim hợp tác'!$C:$C,'KK1. Movies'!AI211)</f>
        <v>0</v>
      </c>
      <c r="AM211" s="295">
        <f>COUNTIF('TK 15661.Bản quyền phim '!F:F,'KK1. Movies'!AI211)</f>
        <v>1</v>
      </c>
      <c r="AN211" s="296">
        <f t="shared" si="3"/>
        <v>1</v>
      </c>
      <c r="AO211" s="295"/>
      <c r="AP211" s="295"/>
      <c r="AQ211" s="295"/>
      <c r="AR211" s="295"/>
      <c r="AS211" s="295"/>
    </row>
    <row r="212" spans="1:45" s="296" customFormat="1" x14ac:dyDescent="0.3">
      <c r="A212" s="292">
        <f>_xlfn.AGGREGATE(3,3,$D$7:D212)</f>
        <v>206</v>
      </c>
      <c r="B212" s="144" t="s">
        <v>1402</v>
      </c>
      <c r="C212" s="144" t="s">
        <v>1642</v>
      </c>
      <c r="D212" s="144" t="s">
        <v>1638</v>
      </c>
      <c r="E212" s="144" t="s">
        <v>1641</v>
      </c>
      <c r="F212" s="144" t="s">
        <v>511</v>
      </c>
      <c r="G212" s="144" t="s">
        <v>1372</v>
      </c>
      <c r="H212" s="144" t="s">
        <v>1640</v>
      </c>
      <c r="I212" s="297">
        <v>2021</v>
      </c>
      <c r="J212" s="150" t="s">
        <v>178</v>
      </c>
      <c r="K212" s="297">
        <v>110</v>
      </c>
      <c r="L212" s="148">
        <v>44792</v>
      </c>
      <c r="M212" s="301">
        <v>46253</v>
      </c>
      <c r="N212" s="302">
        <v>44792</v>
      </c>
      <c r="O212" s="145" t="s">
        <v>584</v>
      </c>
      <c r="P212" s="154" t="s">
        <v>1639</v>
      </c>
      <c r="Q212" s="150" t="s">
        <v>20</v>
      </c>
      <c r="R212" s="145" t="s">
        <v>18</v>
      </c>
      <c r="S212" s="145" t="s">
        <v>18</v>
      </c>
      <c r="T212" s="145" t="s">
        <v>18</v>
      </c>
      <c r="U212" s="145" t="s">
        <v>18</v>
      </c>
      <c r="V212" s="145" t="s">
        <v>18</v>
      </c>
      <c r="W212" s="145" t="s">
        <v>18</v>
      </c>
      <c r="X212" s="145" t="s">
        <v>18</v>
      </c>
      <c r="Y212" s="145" t="s">
        <v>18</v>
      </c>
      <c r="Z212" s="148">
        <v>44792</v>
      </c>
      <c r="AA212" s="301">
        <v>46253</v>
      </c>
      <c r="AB212" s="141" t="s">
        <v>1394</v>
      </c>
      <c r="AC212" s="293">
        <v>33</v>
      </c>
      <c r="AD212" s="145" t="s">
        <v>18</v>
      </c>
      <c r="AE212" s="145" t="s">
        <v>18</v>
      </c>
      <c r="AF212" s="150"/>
      <c r="AG212" s="155" t="s">
        <v>17</v>
      </c>
      <c r="AH212" s="294"/>
      <c r="AI212" s="299" t="s">
        <v>1638</v>
      </c>
      <c r="AJ212" s="195">
        <f>SUMIF('TK 15661.Bản quyền phim '!F:F,'KK1. Movies'!D212,'TK 15661.Bản quyền phim '!X:X)</f>
        <v>0</v>
      </c>
      <c r="AK212" s="195">
        <f>SUMIF('TK 15661.Bản quyền phim '!F:F,'KK1. Movies'!AI212,'TK 15661.Bản quyền phim '!X:X)</f>
        <v>0</v>
      </c>
      <c r="AL212" s="295">
        <f>COUNTIF('242.BQ Phim hợp tác'!$C:$C,'KK1. Movies'!AI212)</f>
        <v>0</v>
      </c>
      <c r="AM212" s="295">
        <f>COUNTIF('TK 15661.Bản quyền phim '!F:F,'KK1. Movies'!AI212)</f>
        <v>1</v>
      </c>
      <c r="AN212" s="296">
        <f t="shared" si="3"/>
        <v>1</v>
      </c>
      <c r="AO212" s="295"/>
      <c r="AP212" s="295"/>
      <c r="AQ212" s="295"/>
      <c r="AR212" s="295"/>
      <c r="AS212" s="295"/>
    </row>
    <row r="213" spans="1:45" s="296" customFormat="1" ht="39.6" x14ac:dyDescent="0.3">
      <c r="A213" s="292">
        <f>_xlfn.AGGREGATE(3,3,$D$7:D213)</f>
        <v>207</v>
      </c>
      <c r="B213" s="143" t="s">
        <v>1392</v>
      </c>
      <c r="C213" s="341" t="s">
        <v>1637</v>
      </c>
      <c r="D213" s="146" t="s">
        <v>1633</v>
      </c>
      <c r="E213" s="155" t="s">
        <v>1636</v>
      </c>
      <c r="F213" s="144" t="s">
        <v>385</v>
      </c>
      <c r="G213" s="143" t="s">
        <v>1389</v>
      </c>
      <c r="H213" s="144" t="s">
        <v>1635</v>
      </c>
      <c r="I213" s="297">
        <v>2022</v>
      </c>
      <c r="J213" s="145" t="s">
        <v>1634</v>
      </c>
      <c r="K213" s="297">
        <v>93</v>
      </c>
      <c r="L213" s="148">
        <v>45052</v>
      </c>
      <c r="M213" s="148">
        <v>46147</v>
      </c>
      <c r="N213" s="157">
        <v>45052</v>
      </c>
      <c r="O213" s="145" t="s">
        <v>132</v>
      </c>
      <c r="P213" s="145" t="s">
        <v>1387</v>
      </c>
      <c r="Q213" s="150" t="s">
        <v>20</v>
      </c>
      <c r="R213" s="145" t="s">
        <v>18</v>
      </c>
      <c r="S213" s="145" t="s">
        <v>18</v>
      </c>
      <c r="T213" s="145" t="s">
        <v>18</v>
      </c>
      <c r="U213" s="145" t="s">
        <v>18</v>
      </c>
      <c r="V213" s="145" t="s">
        <v>18</v>
      </c>
      <c r="W213" s="145" t="s">
        <v>18</v>
      </c>
      <c r="X213" s="145" t="s">
        <v>18</v>
      </c>
      <c r="Y213" s="145" t="s">
        <v>20</v>
      </c>
      <c r="Z213" s="148">
        <v>45052</v>
      </c>
      <c r="AA213" s="148">
        <v>46147</v>
      </c>
      <c r="AB213" s="141">
        <v>24</v>
      </c>
      <c r="AC213" s="293">
        <v>21</v>
      </c>
      <c r="AD213" s="145" t="s">
        <v>18</v>
      </c>
      <c r="AE213" s="145" t="s">
        <v>18</v>
      </c>
      <c r="AF213" s="150"/>
      <c r="AG213" s="155" t="s">
        <v>17</v>
      </c>
      <c r="AH213" s="294"/>
      <c r="AI213" s="299" t="s">
        <v>1633</v>
      </c>
      <c r="AJ213" s="195">
        <f>SUMIF('TK 15661.Bản quyền phim '!F:F,'KK1. Movies'!D213,'TK 15661.Bản quyền phim '!X:X)</f>
        <v>0</v>
      </c>
      <c r="AK213" s="195">
        <f>SUMIF('TK 15661.Bản quyền phim '!F:F,'KK1. Movies'!AI213,'TK 15661.Bản quyền phim '!X:X)</f>
        <v>0</v>
      </c>
      <c r="AL213" s="295">
        <f>COUNTIF('242.BQ Phim hợp tác'!$C:$C,'KK1. Movies'!AI213)</f>
        <v>0</v>
      </c>
      <c r="AM213" s="295">
        <f>COUNTIF('TK 15661.Bản quyền phim '!F:F,'KK1. Movies'!AI213)</f>
        <v>1</v>
      </c>
      <c r="AN213" s="296">
        <f t="shared" si="3"/>
        <v>1</v>
      </c>
      <c r="AO213" s="295"/>
      <c r="AP213" s="295"/>
      <c r="AQ213" s="295"/>
      <c r="AR213" s="295"/>
      <c r="AS213" s="295"/>
    </row>
    <row r="214" spans="1:45" s="296" customFormat="1" ht="26.4" x14ac:dyDescent="0.3">
      <c r="A214" s="292">
        <f>_xlfn.AGGREGATE(3,3,$D$7:D214)</f>
        <v>208</v>
      </c>
      <c r="B214" s="143" t="s">
        <v>1392</v>
      </c>
      <c r="C214" s="341" t="s">
        <v>1632</v>
      </c>
      <c r="D214" s="178" t="s">
        <v>1631</v>
      </c>
      <c r="E214" s="166" t="s">
        <v>1630</v>
      </c>
      <c r="F214" s="144" t="s">
        <v>385</v>
      </c>
      <c r="G214" s="158" t="s">
        <v>1324</v>
      </c>
      <c r="H214" s="144" t="s">
        <v>1449</v>
      </c>
      <c r="I214" s="159">
        <v>2021</v>
      </c>
      <c r="J214" s="150" t="s">
        <v>1629</v>
      </c>
      <c r="K214" s="159">
        <v>84</v>
      </c>
      <c r="L214" s="148">
        <v>45374</v>
      </c>
      <c r="M214" s="161">
        <v>46468</v>
      </c>
      <c r="N214" s="157">
        <v>45374</v>
      </c>
      <c r="O214" s="145" t="s">
        <v>132</v>
      </c>
      <c r="P214" s="151">
        <v>12</v>
      </c>
      <c r="Q214" s="159" t="s">
        <v>20</v>
      </c>
      <c r="R214" s="145" t="s">
        <v>18</v>
      </c>
      <c r="S214" s="145" t="s">
        <v>18</v>
      </c>
      <c r="T214" s="145" t="s">
        <v>18</v>
      </c>
      <c r="U214" s="145" t="s">
        <v>18</v>
      </c>
      <c r="V214" s="145" t="s">
        <v>18</v>
      </c>
      <c r="W214" s="145" t="s">
        <v>18</v>
      </c>
      <c r="X214" s="159" t="s">
        <v>20</v>
      </c>
      <c r="Y214" s="145" t="s">
        <v>18</v>
      </c>
      <c r="Z214" s="148">
        <v>45374</v>
      </c>
      <c r="AA214" s="161">
        <v>46468</v>
      </c>
      <c r="AB214" s="145" t="s">
        <v>218</v>
      </c>
      <c r="AC214" s="293">
        <v>38</v>
      </c>
      <c r="AD214" s="145" t="s">
        <v>18</v>
      </c>
      <c r="AE214" s="145" t="s">
        <v>18</v>
      </c>
      <c r="AF214" s="150"/>
      <c r="AG214" s="155" t="s">
        <v>17</v>
      </c>
      <c r="AH214" s="294"/>
      <c r="AI214" s="300" t="s">
        <v>1628</v>
      </c>
      <c r="AJ214" s="195">
        <f>SUMIF('TK 15661.Bản quyền phim '!F:F,'KK1. Movies'!D214,'TK 15661.Bản quyền phim '!X:X)</f>
        <v>0</v>
      </c>
      <c r="AK214" s="195">
        <f>SUMIF('TK 15661.Bản quyền phim '!F:F,'KK1. Movies'!AI214,'TK 15661.Bản quyền phim '!X:X)</f>
        <v>22222222.33333334</v>
      </c>
      <c r="AL214" s="295">
        <f>COUNTIF('242.BQ Phim hợp tác'!$C:$C,'KK1. Movies'!AI214)</f>
        <v>0</v>
      </c>
      <c r="AM214" s="295">
        <f>COUNTIF('TK 15661.Bản quyền phim '!F:F,'KK1. Movies'!AI214)</f>
        <v>1</v>
      </c>
      <c r="AN214" s="296">
        <f t="shared" si="3"/>
        <v>1</v>
      </c>
      <c r="AO214" s="295"/>
      <c r="AP214" s="295"/>
      <c r="AQ214" s="295"/>
      <c r="AR214" s="295"/>
      <c r="AS214" s="295"/>
    </row>
    <row r="215" spans="1:45" s="296" customFormat="1" ht="26.4" x14ac:dyDescent="0.3">
      <c r="A215" s="292">
        <f>_xlfn.AGGREGATE(3,3,$D$7:D215)</f>
        <v>209</v>
      </c>
      <c r="B215" s="143" t="s">
        <v>1402</v>
      </c>
      <c r="C215" s="341" t="s">
        <v>1627</v>
      </c>
      <c r="D215" s="146" t="s">
        <v>1626</v>
      </c>
      <c r="E215" s="143" t="s">
        <v>1625</v>
      </c>
      <c r="F215" s="143" t="s">
        <v>350</v>
      </c>
      <c r="G215" s="143" t="s">
        <v>1504</v>
      </c>
      <c r="H215" s="143" t="s">
        <v>1595</v>
      </c>
      <c r="I215" s="141">
        <v>2015</v>
      </c>
      <c r="J215" s="145" t="s">
        <v>88</v>
      </c>
      <c r="K215" s="162">
        <v>98</v>
      </c>
      <c r="L215" s="148">
        <v>42295</v>
      </c>
      <c r="M215" s="157" t="s">
        <v>1502</v>
      </c>
      <c r="N215" s="157">
        <v>42295</v>
      </c>
      <c r="O215" s="145"/>
      <c r="P215" s="141">
        <v>24</v>
      </c>
      <c r="Q215" s="145" t="s">
        <v>20</v>
      </c>
      <c r="R215" s="145" t="s">
        <v>18</v>
      </c>
      <c r="S215" s="145" t="s">
        <v>18</v>
      </c>
      <c r="T215" s="145" t="s">
        <v>18</v>
      </c>
      <c r="U215" s="145" t="s">
        <v>18</v>
      </c>
      <c r="V215" s="145" t="s">
        <v>18</v>
      </c>
      <c r="W215" s="145" t="s">
        <v>18</v>
      </c>
      <c r="X215" s="145" t="s">
        <v>20</v>
      </c>
      <c r="Y215" s="145" t="s">
        <v>194</v>
      </c>
      <c r="Z215" s="148">
        <v>42295</v>
      </c>
      <c r="AA215" s="157" t="s">
        <v>1502</v>
      </c>
      <c r="AB215" s="151">
        <v>6</v>
      </c>
      <c r="AC215" s="151">
        <v>4</v>
      </c>
      <c r="AD215" s="145" t="s">
        <v>18</v>
      </c>
      <c r="AE215" s="145" t="s">
        <v>18</v>
      </c>
      <c r="AF215" s="150"/>
      <c r="AG215" s="155" t="s">
        <v>17</v>
      </c>
      <c r="AH215" s="294"/>
      <c r="AI215" s="304" t="s">
        <v>3182</v>
      </c>
      <c r="AJ215" s="195">
        <f>SUMIF('TK 15661.Bản quyền phim '!F:F,'KK1. Movies'!D215,'TK 15661.Bản quyền phim '!X:X)</f>
        <v>0</v>
      </c>
      <c r="AK215" s="195">
        <f>SUMIF('TK 15661.Bản quyền phim '!F:F,'KK1. Movies'!AI215,'TK 15661.Bản quyền phim '!X:X)</f>
        <v>0</v>
      </c>
      <c r="AL215" s="295">
        <f>COUNTIF('242.BQ Phim hợp tác'!$C:$C,'KK1. Movies'!AI215)</f>
        <v>1</v>
      </c>
      <c r="AM215" s="295">
        <f>COUNTIF('TK 15661.Bản quyền phim '!F:F,'KK1. Movies'!AI215)</f>
        <v>0</v>
      </c>
      <c r="AN215" s="296">
        <f t="shared" si="3"/>
        <v>1</v>
      </c>
      <c r="AO215" s="295"/>
      <c r="AP215" s="295"/>
      <c r="AQ215" s="295"/>
      <c r="AR215" s="295"/>
      <c r="AS215" s="295"/>
    </row>
    <row r="216" spans="1:45" s="296" customFormat="1" ht="26.4" x14ac:dyDescent="0.3">
      <c r="A216" s="292">
        <f>_xlfn.AGGREGATE(3,3,$D$7:D216)</f>
        <v>210</v>
      </c>
      <c r="B216" s="143" t="s">
        <v>1402</v>
      </c>
      <c r="C216" s="341" t="s">
        <v>1624</v>
      </c>
      <c r="D216" s="160" t="s">
        <v>1623</v>
      </c>
      <c r="E216" s="142" t="s">
        <v>1622</v>
      </c>
      <c r="F216" s="158" t="s">
        <v>350</v>
      </c>
      <c r="G216" s="158" t="s">
        <v>1397</v>
      </c>
      <c r="H216" s="144" t="s">
        <v>1404</v>
      </c>
      <c r="I216" s="159">
        <v>2018</v>
      </c>
      <c r="J216" s="145" t="s">
        <v>88</v>
      </c>
      <c r="K216" s="159">
        <v>105</v>
      </c>
      <c r="L216" s="163">
        <v>45654</v>
      </c>
      <c r="M216" s="148">
        <v>46354</v>
      </c>
      <c r="N216" s="163">
        <v>44828</v>
      </c>
      <c r="O216" s="145"/>
      <c r="P216" s="159">
        <v>0</v>
      </c>
      <c r="Q216" s="162" t="s">
        <v>20</v>
      </c>
      <c r="R216" s="145" t="s">
        <v>18</v>
      </c>
      <c r="S216" s="162" t="s">
        <v>18</v>
      </c>
      <c r="T216" s="145" t="s">
        <v>18</v>
      </c>
      <c r="U216" s="162" t="s">
        <v>18</v>
      </c>
      <c r="V216" s="162" t="s">
        <v>18</v>
      </c>
      <c r="W216" s="162" t="s">
        <v>18</v>
      </c>
      <c r="X216" s="162" t="s">
        <v>18</v>
      </c>
      <c r="Y216" s="162" t="s">
        <v>18</v>
      </c>
      <c r="Z216" s="161">
        <v>45654</v>
      </c>
      <c r="AA216" s="188">
        <v>46354</v>
      </c>
      <c r="AB216" s="159" t="s">
        <v>218</v>
      </c>
      <c r="AC216" s="293">
        <v>13</v>
      </c>
      <c r="AD216" s="145" t="s">
        <v>18</v>
      </c>
      <c r="AE216" s="145" t="s">
        <v>18</v>
      </c>
      <c r="AF216" s="150"/>
      <c r="AG216" s="155" t="s">
        <v>17</v>
      </c>
      <c r="AH216" s="294"/>
      <c r="AI216" s="300" t="s">
        <v>1621</v>
      </c>
      <c r="AJ216" s="195">
        <f>SUMIF('TK 15661.Bản quyền phim '!F:F,'KK1. Movies'!D216,'TK 15661.Bản quyền phim '!X:X)</f>
        <v>0</v>
      </c>
      <c r="AK216" s="195">
        <f>SUMIF('TK 15661.Bản quyền phim '!F:F,'KK1. Movies'!AI216,'TK 15661.Bản quyền phim '!X:X)</f>
        <v>30000000</v>
      </c>
      <c r="AL216" s="295">
        <f>COUNTIF('242.BQ Phim hợp tác'!$C:$C,'KK1. Movies'!AI216)</f>
        <v>0</v>
      </c>
      <c r="AM216" s="295">
        <f>COUNTIF('TK 15661.Bản quyền phim '!F:F,'KK1. Movies'!AI216)</f>
        <v>1</v>
      </c>
      <c r="AN216" s="296">
        <f t="shared" si="3"/>
        <v>1</v>
      </c>
      <c r="AO216" s="295"/>
      <c r="AP216" s="295"/>
      <c r="AQ216" s="295"/>
      <c r="AR216" s="295"/>
      <c r="AS216" s="295"/>
    </row>
    <row r="217" spans="1:45" s="296" customFormat="1" ht="52.8" x14ac:dyDescent="0.3">
      <c r="A217" s="292">
        <f>_xlfn.AGGREGATE(3,3,$D$7:D217)</f>
        <v>211</v>
      </c>
      <c r="B217" s="143" t="s">
        <v>1392</v>
      </c>
      <c r="C217" s="341" t="s">
        <v>1620</v>
      </c>
      <c r="D217" s="160" t="s">
        <v>1618</v>
      </c>
      <c r="E217" s="166" t="s">
        <v>1619</v>
      </c>
      <c r="F217" s="144" t="s">
        <v>350</v>
      </c>
      <c r="G217" s="158" t="s">
        <v>1592</v>
      </c>
      <c r="H217" s="144" t="s">
        <v>1591</v>
      </c>
      <c r="I217" s="159">
        <v>2011</v>
      </c>
      <c r="J217" s="150" t="s">
        <v>196</v>
      </c>
      <c r="K217" s="159">
        <v>133</v>
      </c>
      <c r="L217" s="148">
        <v>45505</v>
      </c>
      <c r="M217" s="161">
        <v>46234</v>
      </c>
      <c r="N217" s="157">
        <v>45553</v>
      </c>
      <c r="O217" s="145" t="s">
        <v>584</v>
      </c>
      <c r="P217" s="145"/>
      <c r="Q217" s="159" t="s">
        <v>20</v>
      </c>
      <c r="R217" s="145" t="s">
        <v>18</v>
      </c>
      <c r="S217" s="145" t="s">
        <v>18</v>
      </c>
      <c r="T217" s="145" t="s">
        <v>18</v>
      </c>
      <c r="U217" s="159" t="s">
        <v>20</v>
      </c>
      <c r="V217" s="159" t="s">
        <v>20</v>
      </c>
      <c r="W217" s="159" t="s">
        <v>20</v>
      </c>
      <c r="X217" s="159" t="s">
        <v>20</v>
      </c>
      <c r="Y217" s="159" t="s">
        <v>20</v>
      </c>
      <c r="Z217" s="161">
        <v>45505</v>
      </c>
      <c r="AA217" s="188">
        <v>46053</v>
      </c>
      <c r="AB217" s="162">
        <v>7</v>
      </c>
      <c r="AC217" s="293">
        <v>4</v>
      </c>
      <c r="AD217" s="145" t="s">
        <v>18</v>
      </c>
      <c r="AE217" s="145" t="s">
        <v>18</v>
      </c>
      <c r="AF217" s="150"/>
      <c r="AG217" s="155" t="s">
        <v>17</v>
      </c>
      <c r="AH217" s="294"/>
      <c r="AI217" s="299" t="s">
        <v>1618</v>
      </c>
      <c r="AJ217" s="195">
        <f>SUMIF('TK 15661.Bản quyền phim '!F:F,'KK1. Movies'!D217,'TK 15661.Bản quyền phim '!X:X)</f>
        <v>0</v>
      </c>
      <c r="AK217" s="195">
        <f>SUMIF('TK 15661.Bản quyền phim '!F:F,'KK1. Movies'!AI217,'TK 15661.Bản quyền phim '!X:X)</f>
        <v>0</v>
      </c>
      <c r="AL217" s="295">
        <f>COUNTIF('242.BQ Phim hợp tác'!$C:$C,'KK1. Movies'!AI217)</f>
        <v>0</v>
      </c>
      <c r="AM217" s="295">
        <f>COUNTIF('TK 15661.Bản quyền phim '!F:F,'KK1. Movies'!AI217)</f>
        <v>1</v>
      </c>
      <c r="AN217" s="296">
        <f t="shared" si="3"/>
        <v>1</v>
      </c>
      <c r="AO217" s="295"/>
      <c r="AP217" s="295"/>
      <c r="AQ217" s="295"/>
      <c r="AR217" s="295"/>
      <c r="AS217" s="295"/>
    </row>
    <row r="218" spans="1:45" s="296" customFormat="1" ht="52.8" x14ac:dyDescent="0.3">
      <c r="A218" s="292">
        <f>_xlfn.AGGREGATE(3,3,$D$7:D218)</f>
        <v>212</v>
      </c>
      <c r="B218" s="143" t="s">
        <v>1402</v>
      </c>
      <c r="C218" s="144" t="s">
        <v>1617</v>
      </c>
      <c r="D218" s="160" t="s">
        <v>1615</v>
      </c>
      <c r="E218" s="166" t="s">
        <v>1616</v>
      </c>
      <c r="F218" s="144" t="s">
        <v>511</v>
      </c>
      <c r="G218" s="158" t="s">
        <v>1141</v>
      </c>
      <c r="H218" s="144" t="s">
        <v>1140</v>
      </c>
      <c r="I218" s="159">
        <v>2020</v>
      </c>
      <c r="J218" s="159" t="s">
        <v>133</v>
      </c>
      <c r="K218" s="159">
        <v>106</v>
      </c>
      <c r="L218" s="163">
        <v>45701</v>
      </c>
      <c r="M218" s="161">
        <v>46430</v>
      </c>
      <c r="N218" s="157"/>
      <c r="O218" s="145"/>
      <c r="P218" s="145"/>
      <c r="Q218" s="159" t="s">
        <v>20</v>
      </c>
      <c r="R218" s="159" t="s">
        <v>18</v>
      </c>
      <c r="S218" s="159" t="s">
        <v>18</v>
      </c>
      <c r="T218" s="145" t="s">
        <v>18</v>
      </c>
      <c r="U218" s="159" t="s">
        <v>20</v>
      </c>
      <c r="V218" s="159" t="s">
        <v>20</v>
      </c>
      <c r="W218" s="159" t="s">
        <v>20</v>
      </c>
      <c r="X218" s="159" t="s">
        <v>18</v>
      </c>
      <c r="Y218" s="159" t="s">
        <v>20</v>
      </c>
      <c r="Z218" s="161">
        <v>45701</v>
      </c>
      <c r="AA218" s="188">
        <v>46246</v>
      </c>
      <c r="AB218" s="159">
        <v>7</v>
      </c>
      <c r="AC218" s="293">
        <v>2</v>
      </c>
      <c r="AD218" s="145" t="s">
        <v>18</v>
      </c>
      <c r="AE218" s="145" t="s">
        <v>18</v>
      </c>
      <c r="AF218" s="150"/>
      <c r="AG218" s="155" t="s">
        <v>17</v>
      </c>
      <c r="AH218" s="294"/>
      <c r="AI218" s="300" t="s">
        <v>1615</v>
      </c>
      <c r="AJ218" s="195">
        <f>SUMIF('TK 15661.Bản quyền phim '!F:F,'KK1. Movies'!D218,'TK 15661.Bản quyền phim '!X:X)</f>
        <v>46627350</v>
      </c>
      <c r="AK218" s="195">
        <f>SUMIF('TK 15661.Bản quyền phim '!F:F,'KK1. Movies'!AI218,'TK 15661.Bản quyền phim '!X:X)</f>
        <v>46627350</v>
      </c>
      <c r="AL218" s="295">
        <f>COUNTIF('242.BQ Phim hợp tác'!$C:$C,'KK1. Movies'!AI218)</f>
        <v>0</v>
      </c>
      <c r="AM218" s="295">
        <f>COUNTIF('TK 15661.Bản quyền phim '!F:F,'KK1. Movies'!AI218)</f>
        <v>1</v>
      </c>
      <c r="AN218" s="296">
        <f t="shared" si="3"/>
        <v>1</v>
      </c>
      <c r="AO218" s="295"/>
      <c r="AP218" s="295"/>
      <c r="AQ218" s="295"/>
      <c r="AR218" s="295"/>
      <c r="AS218" s="295"/>
    </row>
    <row r="219" spans="1:45" s="296" customFormat="1" ht="26.4" x14ac:dyDescent="0.3">
      <c r="A219" s="292">
        <f>_xlfn.AGGREGATE(3,3,$D$7:D219)</f>
        <v>213</v>
      </c>
      <c r="B219" s="143" t="s">
        <v>1402</v>
      </c>
      <c r="C219" s="144" t="s">
        <v>1614</v>
      </c>
      <c r="D219" s="144" t="s">
        <v>1612</v>
      </c>
      <c r="E219" s="143" t="s">
        <v>1613</v>
      </c>
      <c r="F219" s="144" t="s">
        <v>381</v>
      </c>
      <c r="G219" s="143" t="s">
        <v>1397</v>
      </c>
      <c r="H219" s="143" t="s">
        <v>1445</v>
      </c>
      <c r="I219" s="141">
        <v>2020</v>
      </c>
      <c r="J219" s="145" t="s">
        <v>88</v>
      </c>
      <c r="K219" s="141">
        <v>87</v>
      </c>
      <c r="L219" s="148">
        <v>44281</v>
      </c>
      <c r="M219" s="301">
        <v>46107</v>
      </c>
      <c r="N219" s="302">
        <v>44281</v>
      </c>
      <c r="O219" s="145" t="s">
        <v>584</v>
      </c>
      <c r="P219" s="145"/>
      <c r="Q219" s="145" t="s">
        <v>20</v>
      </c>
      <c r="R219" s="145" t="s">
        <v>18</v>
      </c>
      <c r="S219" s="145" t="s">
        <v>18</v>
      </c>
      <c r="T219" s="145" t="s">
        <v>18</v>
      </c>
      <c r="U219" s="145" t="s">
        <v>319</v>
      </c>
      <c r="V219" s="145" t="s">
        <v>319</v>
      </c>
      <c r="W219" s="145" t="s">
        <v>319</v>
      </c>
      <c r="X219" s="145" t="s">
        <v>18</v>
      </c>
      <c r="Y219" s="145" t="s">
        <v>18</v>
      </c>
      <c r="Z219" s="148">
        <v>44281</v>
      </c>
      <c r="AA219" s="301">
        <v>46107</v>
      </c>
      <c r="AB219" s="141" t="s">
        <v>1394</v>
      </c>
      <c r="AC219" s="151">
        <v>46</v>
      </c>
      <c r="AD219" s="145" t="s">
        <v>18</v>
      </c>
      <c r="AE219" s="145" t="s">
        <v>18</v>
      </c>
      <c r="AF219" s="150"/>
      <c r="AG219" s="155" t="s">
        <v>17</v>
      </c>
      <c r="AH219" s="294"/>
      <c r="AI219" s="299" t="s">
        <v>1612</v>
      </c>
      <c r="AJ219" s="195">
        <f>SUMIF('TK 15661.Bản quyền phim '!F:F,'KK1. Movies'!D219,'TK 15661.Bản quyền phim '!X:X)</f>
        <v>0</v>
      </c>
      <c r="AK219" s="195">
        <f>SUMIF('TK 15661.Bản quyền phim '!F:F,'KK1. Movies'!AI219,'TK 15661.Bản quyền phim '!X:X)</f>
        <v>0</v>
      </c>
      <c r="AL219" s="295">
        <f>COUNTIF('242.BQ Phim hợp tác'!$C:$C,'KK1. Movies'!AI219)</f>
        <v>0</v>
      </c>
      <c r="AM219" s="295">
        <f>COUNTIF('TK 15661.Bản quyền phim '!F:F,'KK1. Movies'!AI219)</f>
        <v>1</v>
      </c>
      <c r="AN219" s="296">
        <f t="shared" si="3"/>
        <v>1</v>
      </c>
      <c r="AO219" s="295"/>
      <c r="AP219" s="295"/>
      <c r="AQ219" s="295"/>
      <c r="AR219" s="295"/>
      <c r="AS219" s="295"/>
    </row>
    <row r="220" spans="1:45" s="296" customFormat="1" ht="26.4" x14ac:dyDescent="0.3">
      <c r="A220" s="292">
        <f>_xlfn.AGGREGATE(3,3,$D$7:D220)</f>
        <v>214</v>
      </c>
      <c r="B220" s="143" t="s">
        <v>1422</v>
      </c>
      <c r="C220" s="144" t="s">
        <v>1611</v>
      </c>
      <c r="D220" s="310" t="s">
        <v>1609</v>
      </c>
      <c r="E220" s="166" t="s">
        <v>1610</v>
      </c>
      <c r="F220" s="144" t="s">
        <v>350</v>
      </c>
      <c r="G220" s="164" t="s">
        <v>198</v>
      </c>
      <c r="H220" s="164" t="s">
        <v>197</v>
      </c>
      <c r="I220" s="159">
        <v>2021</v>
      </c>
      <c r="J220" s="162" t="s">
        <v>196</v>
      </c>
      <c r="K220" s="159">
        <v>124</v>
      </c>
      <c r="L220" s="163">
        <v>45653</v>
      </c>
      <c r="M220" s="148">
        <v>46382</v>
      </c>
      <c r="N220" s="169">
        <v>45653</v>
      </c>
      <c r="O220" s="159" t="s">
        <v>584</v>
      </c>
      <c r="P220" s="168">
        <v>12</v>
      </c>
      <c r="Q220" s="159" t="s">
        <v>20</v>
      </c>
      <c r="R220" s="145" t="s">
        <v>18</v>
      </c>
      <c r="S220" s="159" t="s">
        <v>18</v>
      </c>
      <c r="T220" s="145" t="s">
        <v>18</v>
      </c>
      <c r="U220" s="159" t="s">
        <v>20</v>
      </c>
      <c r="V220" s="159" t="s">
        <v>20</v>
      </c>
      <c r="W220" s="159" t="s">
        <v>20</v>
      </c>
      <c r="X220" s="159" t="s">
        <v>20</v>
      </c>
      <c r="Y220" s="159" t="s">
        <v>18</v>
      </c>
      <c r="Z220" s="161">
        <v>45653</v>
      </c>
      <c r="AA220" s="188">
        <v>46382</v>
      </c>
      <c r="AB220" s="162">
        <v>6</v>
      </c>
      <c r="AC220" s="160">
        <v>3</v>
      </c>
      <c r="AD220" s="145" t="s">
        <v>18</v>
      </c>
      <c r="AE220" s="145" t="s">
        <v>18</v>
      </c>
      <c r="AF220" s="150"/>
      <c r="AG220" s="155" t="s">
        <v>17</v>
      </c>
      <c r="AH220" s="294"/>
      <c r="AI220" s="299" t="s">
        <v>1609</v>
      </c>
      <c r="AJ220" s="195">
        <f>SUMIF('TK 15661.Bản quyền phim '!F:F,'KK1. Movies'!D220,'TK 15661.Bản quyền phim '!X:X)</f>
        <v>0</v>
      </c>
      <c r="AK220" s="195">
        <f>SUMIF('TK 15661.Bản quyền phim '!F:F,'KK1. Movies'!AI220,'TK 15661.Bản quyền phim '!X:X)</f>
        <v>0</v>
      </c>
      <c r="AL220" s="295">
        <f>COUNTIF('242.BQ Phim hợp tác'!$C:$C,'KK1. Movies'!AI220)</f>
        <v>0</v>
      </c>
      <c r="AM220" s="295">
        <f>COUNTIF('TK 15661.Bản quyền phim '!F:F,'KK1. Movies'!AI220)</f>
        <v>1</v>
      </c>
      <c r="AN220" s="296">
        <f t="shared" si="3"/>
        <v>1</v>
      </c>
      <c r="AO220" s="295"/>
      <c r="AP220" s="295"/>
      <c r="AQ220" s="295"/>
      <c r="AR220" s="295"/>
      <c r="AS220" s="295"/>
    </row>
    <row r="221" spans="1:45" s="296" customFormat="1" ht="26.4" x14ac:dyDescent="0.3">
      <c r="A221" s="292">
        <f>_xlfn.AGGREGATE(3,3,$D$7:D221)</f>
        <v>215</v>
      </c>
      <c r="B221" s="143" t="s">
        <v>1402</v>
      </c>
      <c r="C221" s="144" t="s">
        <v>1608</v>
      </c>
      <c r="D221" s="160" t="s">
        <v>1605</v>
      </c>
      <c r="E221" s="144" t="s">
        <v>1607</v>
      </c>
      <c r="F221" s="144" t="s">
        <v>511</v>
      </c>
      <c r="G221" s="164" t="s">
        <v>1372</v>
      </c>
      <c r="H221" s="144" t="s">
        <v>1530</v>
      </c>
      <c r="I221" s="162">
        <v>2023</v>
      </c>
      <c r="J221" s="150" t="s">
        <v>1606</v>
      </c>
      <c r="K221" s="162">
        <v>123</v>
      </c>
      <c r="L221" s="148">
        <v>45373</v>
      </c>
      <c r="M221" s="165">
        <v>46467</v>
      </c>
      <c r="N221" s="157">
        <v>45548</v>
      </c>
      <c r="O221" s="145" t="s">
        <v>584</v>
      </c>
      <c r="P221" s="159">
        <v>12</v>
      </c>
      <c r="Q221" s="162" t="s">
        <v>20</v>
      </c>
      <c r="R221" s="145" t="s">
        <v>18</v>
      </c>
      <c r="S221" s="145" t="s">
        <v>18</v>
      </c>
      <c r="T221" s="145" t="s">
        <v>18</v>
      </c>
      <c r="U221" s="145" t="s">
        <v>18</v>
      </c>
      <c r="V221" s="145" t="s">
        <v>18</v>
      </c>
      <c r="W221" s="145" t="s">
        <v>18</v>
      </c>
      <c r="X221" s="145" t="s">
        <v>18</v>
      </c>
      <c r="Y221" s="159" t="s">
        <v>20</v>
      </c>
      <c r="Z221" s="148">
        <v>45373</v>
      </c>
      <c r="AA221" s="165">
        <v>46467</v>
      </c>
      <c r="AB221" s="162">
        <v>24</v>
      </c>
      <c r="AC221" s="293">
        <v>15</v>
      </c>
      <c r="AD221" s="145" t="s">
        <v>18</v>
      </c>
      <c r="AE221" s="145" t="s">
        <v>18</v>
      </c>
      <c r="AF221" s="150"/>
      <c r="AG221" s="155" t="s">
        <v>17</v>
      </c>
      <c r="AH221" s="294"/>
      <c r="AI221" s="300" t="s">
        <v>1605</v>
      </c>
      <c r="AJ221" s="195">
        <f>SUMIF('TK 15661.Bản quyền phim '!F:F,'KK1. Movies'!D221,'TK 15661.Bản quyền phim '!X:X)</f>
        <v>33333492</v>
      </c>
      <c r="AK221" s="195">
        <f>SUMIF('TK 15661.Bản quyền phim '!F:F,'KK1. Movies'!AI221,'TK 15661.Bản quyền phim '!X:X)</f>
        <v>33333492</v>
      </c>
      <c r="AL221" s="295">
        <f>COUNTIF('242.BQ Phim hợp tác'!$C:$C,'KK1. Movies'!AI221)</f>
        <v>0</v>
      </c>
      <c r="AM221" s="295">
        <f>COUNTIF('TK 15661.Bản quyền phim '!F:F,'KK1. Movies'!AI221)</f>
        <v>1</v>
      </c>
      <c r="AN221" s="296">
        <f t="shared" si="3"/>
        <v>1</v>
      </c>
      <c r="AO221" s="295"/>
      <c r="AP221" s="295"/>
      <c r="AQ221" s="295"/>
      <c r="AR221" s="295"/>
      <c r="AS221" s="295"/>
    </row>
    <row r="222" spans="1:45" s="296" customFormat="1" ht="26.4" x14ac:dyDescent="0.3">
      <c r="A222" s="292">
        <f>_xlfn.AGGREGATE(3,3,$D$7:D222)</f>
        <v>216</v>
      </c>
      <c r="B222" s="156" t="s">
        <v>1145</v>
      </c>
      <c r="C222" s="144" t="s">
        <v>1603</v>
      </c>
      <c r="D222" s="160" t="s">
        <v>1602</v>
      </c>
      <c r="E222" s="142" t="s">
        <v>1604</v>
      </c>
      <c r="F222" s="144" t="s">
        <v>511</v>
      </c>
      <c r="G222" s="158" t="s">
        <v>1336</v>
      </c>
      <c r="H222" s="164" t="s">
        <v>1335</v>
      </c>
      <c r="I222" s="159">
        <v>2024</v>
      </c>
      <c r="J222" s="159" t="s">
        <v>133</v>
      </c>
      <c r="K222" s="159">
        <v>99</v>
      </c>
      <c r="L222" s="163">
        <v>45723</v>
      </c>
      <c r="M222" s="161">
        <v>46818</v>
      </c>
      <c r="N222" s="157" t="s">
        <v>1145</v>
      </c>
      <c r="O222" s="145"/>
      <c r="P222" s="145"/>
      <c r="Q222" s="159" t="s">
        <v>20</v>
      </c>
      <c r="R222" s="145" t="s">
        <v>18</v>
      </c>
      <c r="S222" s="162" t="s">
        <v>18</v>
      </c>
      <c r="T222" s="145" t="s">
        <v>18</v>
      </c>
      <c r="U222" s="162" t="s">
        <v>18</v>
      </c>
      <c r="V222" s="162" t="s">
        <v>18</v>
      </c>
      <c r="W222" s="162" t="s">
        <v>18</v>
      </c>
      <c r="X222" s="162" t="s">
        <v>18</v>
      </c>
      <c r="Y222" s="162" t="s">
        <v>18</v>
      </c>
      <c r="Z222" s="161">
        <v>45723</v>
      </c>
      <c r="AA222" s="188">
        <v>46818</v>
      </c>
      <c r="AB222" s="159">
        <v>24</v>
      </c>
      <c r="AC222" s="293">
        <v>5</v>
      </c>
      <c r="AD222" s="145" t="s">
        <v>18</v>
      </c>
      <c r="AE222" s="145" t="s">
        <v>18</v>
      </c>
      <c r="AF222" s="150"/>
      <c r="AG222" s="155" t="s">
        <v>17</v>
      </c>
      <c r="AH222" s="294" t="s">
        <v>1603</v>
      </c>
      <c r="AI222" s="300" t="s">
        <v>1602</v>
      </c>
      <c r="AJ222" s="195">
        <f>SUMIF('TK 15661.Bản quyền phim '!F:F,'KK1. Movies'!D222,'TK 15661.Bản quyền phim '!X:X)</f>
        <v>80952380.666666657</v>
      </c>
      <c r="AK222" s="195">
        <f>SUMIF('TK 15661.Bản quyền phim '!F:F,'KK1. Movies'!AI222,'TK 15661.Bản quyền phim '!X:X)</f>
        <v>80952380.666666657</v>
      </c>
      <c r="AL222" s="295">
        <f>COUNTIF('242.BQ Phim hợp tác'!$C:$C,'KK1. Movies'!AI222)</f>
        <v>0</v>
      </c>
      <c r="AM222" s="295">
        <f>COUNTIF('TK 15661.Bản quyền phim '!F:F,'KK1. Movies'!AI222)</f>
        <v>1</v>
      </c>
      <c r="AN222" s="296">
        <f t="shared" si="3"/>
        <v>1</v>
      </c>
      <c r="AO222" s="295"/>
      <c r="AP222" s="295"/>
      <c r="AQ222" s="295"/>
      <c r="AR222" s="295"/>
      <c r="AS222" s="295"/>
    </row>
    <row r="223" spans="1:45" s="296" customFormat="1" ht="52.8" x14ac:dyDescent="0.3">
      <c r="A223" s="292">
        <f>_xlfn.AGGREGATE(3,3,$D$7:D223)</f>
        <v>217</v>
      </c>
      <c r="B223" s="143" t="s">
        <v>1402</v>
      </c>
      <c r="C223" s="341" t="s">
        <v>1601</v>
      </c>
      <c r="D223" s="160" t="s">
        <v>1599</v>
      </c>
      <c r="E223" s="166" t="s">
        <v>1600</v>
      </c>
      <c r="F223" s="144" t="s">
        <v>1013</v>
      </c>
      <c r="G223" s="158" t="s">
        <v>1592</v>
      </c>
      <c r="H223" s="144" t="s">
        <v>1591</v>
      </c>
      <c r="I223" s="159">
        <v>2019</v>
      </c>
      <c r="J223" s="150" t="s">
        <v>196</v>
      </c>
      <c r="K223" s="159">
        <v>103</v>
      </c>
      <c r="L223" s="148">
        <v>45505</v>
      </c>
      <c r="M223" s="148">
        <v>46234</v>
      </c>
      <c r="N223" s="157">
        <v>45547</v>
      </c>
      <c r="O223" s="145" t="s">
        <v>553</v>
      </c>
      <c r="P223" s="145"/>
      <c r="Q223" s="159" t="s">
        <v>20</v>
      </c>
      <c r="R223" s="145" t="s">
        <v>18</v>
      </c>
      <c r="S223" s="145" t="s">
        <v>18</v>
      </c>
      <c r="T223" s="145" t="s">
        <v>18</v>
      </c>
      <c r="U223" s="159" t="s">
        <v>20</v>
      </c>
      <c r="V223" s="159" t="s">
        <v>20</v>
      </c>
      <c r="W223" s="159" t="s">
        <v>20</v>
      </c>
      <c r="X223" s="159" t="s">
        <v>20</v>
      </c>
      <c r="Y223" s="159" t="s">
        <v>20</v>
      </c>
      <c r="Z223" s="161">
        <v>45505</v>
      </c>
      <c r="AA223" s="188">
        <v>46053</v>
      </c>
      <c r="AB223" s="162">
        <v>7</v>
      </c>
      <c r="AC223" s="293">
        <v>4</v>
      </c>
      <c r="AD223" s="145" t="s">
        <v>18</v>
      </c>
      <c r="AE223" s="145" t="s">
        <v>18</v>
      </c>
      <c r="AF223" s="150"/>
      <c r="AG223" s="155" t="s">
        <v>17</v>
      </c>
      <c r="AH223" s="294"/>
      <c r="AI223" s="299" t="s">
        <v>1599</v>
      </c>
      <c r="AJ223" s="195">
        <f>SUMIF('TK 15661.Bản quyền phim '!F:F,'KK1. Movies'!D223,'TK 15661.Bản quyền phim '!X:X)</f>
        <v>0</v>
      </c>
      <c r="AK223" s="195">
        <f>SUMIF('TK 15661.Bản quyền phim '!F:F,'KK1. Movies'!AI223,'TK 15661.Bản quyền phim '!X:X)</f>
        <v>0</v>
      </c>
      <c r="AL223" s="295">
        <f>COUNTIF('242.BQ Phim hợp tác'!$C:$C,'KK1. Movies'!AI223)</f>
        <v>0</v>
      </c>
      <c r="AM223" s="295">
        <f>COUNTIF('TK 15661.Bản quyền phim '!F:F,'KK1. Movies'!AI223)</f>
        <v>1</v>
      </c>
      <c r="AN223" s="296">
        <f t="shared" si="3"/>
        <v>1</v>
      </c>
      <c r="AO223" s="295"/>
      <c r="AP223" s="295"/>
      <c r="AQ223" s="295"/>
      <c r="AR223" s="295"/>
      <c r="AS223" s="295"/>
    </row>
    <row r="224" spans="1:45" s="296" customFormat="1" ht="26.4" x14ac:dyDescent="0.3">
      <c r="A224" s="292">
        <f>_xlfn.AGGREGATE(3,3,$D$7:D224)</f>
        <v>218</v>
      </c>
      <c r="B224" s="143" t="s">
        <v>1402</v>
      </c>
      <c r="C224" s="341" t="s">
        <v>1598</v>
      </c>
      <c r="D224" s="311" t="s">
        <v>1597</v>
      </c>
      <c r="E224" s="143" t="s">
        <v>1596</v>
      </c>
      <c r="F224" s="144" t="s">
        <v>1013</v>
      </c>
      <c r="G224" s="143" t="s">
        <v>1504</v>
      </c>
      <c r="H224" s="143" t="s">
        <v>1595</v>
      </c>
      <c r="I224" s="141">
        <v>2016</v>
      </c>
      <c r="J224" s="145" t="s">
        <v>88</v>
      </c>
      <c r="K224" s="151">
        <v>120</v>
      </c>
      <c r="L224" s="148">
        <v>42517</v>
      </c>
      <c r="M224" s="157" t="s">
        <v>1502</v>
      </c>
      <c r="N224" s="147">
        <v>42517</v>
      </c>
      <c r="O224" s="145"/>
      <c r="P224" s="351">
        <v>24</v>
      </c>
      <c r="Q224" s="145" t="s">
        <v>20</v>
      </c>
      <c r="R224" s="145" t="s">
        <v>18</v>
      </c>
      <c r="S224" s="145" t="s">
        <v>18</v>
      </c>
      <c r="T224" s="145" t="s">
        <v>18</v>
      </c>
      <c r="U224" s="145" t="s">
        <v>18</v>
      </c>
      <c r="V224" s="145" t="s">
        <v>18</v>
      </c>
      <c r="W224" s="145" t="s">
        <v>18</v>
      </c>
      <c r="X224" s="145" t="s">
        <v>20</v>
      </c>
      <c r="Y224" s="145" t="s">
        <v>194</v>
      </c>
      <c r="Z224" s="148">
        <v>42517</v>
      </c>
      <c r="AA224" s="157" t="s">
        <v>1502</v>
      </c>
      <c r="AB224" s="141">
        <v>6</v>
      </c>
      <c r="AC224" s="151">
        <v>4</v>
      </c>
      <c r="AD224" s="145" t="s">
        <v>18</v>
      </c>
      <c r="AE224" s="145" t="s">
        <v>18</v>
      </c>
      <c r="AF224" s="150"/>
      <c r="AG224" s="155" t="s">
        <v>17</v>
      </c>
      <c r="AH224" s="294"/>
      <c r="AI224" s="304" t="s">
        <v>3176</v>
      </c>
      <c r="AJ224" s="195">
        <f>SUMIF('TK 15661.Bản quyền phim '!F:F,'KK1. Movies'!D224,'TK 15661.Bản quyền phim '!X:X)</f>
        <v>0</v>
      </c>
      <c r="AK224" s="195">
        <f>SUMIF('TK 15661.Bản quyền phim '!F:F,'KK1. Movies'!AI224,'TK 15661.Bản quyền phim '!X:X)</f>
        <v>0</v>
      </c>
      <c r="AL224" s="295">
        <f>COUNTIF('242.BQ Phim hợp tác'!$C:$C,'KK1. Movies'!AI224)</f>
        <v>1</v>
      </c>
      <c r="AM224" s="295">
        <f>COUNTIF('TK 15661.Bản quyền phim '!F:F,'KK1. Movies'!AI224)</f>
        <v>0</v>
      </c>
      <c r="AN224" s="296">
        <f t="shared" si="3"/>
        <v>1</v>
      </c>
      <c r="AO224" s="295"/>
      <c r="AP224" s="295"/>
      <c r="AQ224" s="295"/>
      <c r="AR224" s="295"/>
      <c r="AS224" s="295"/>
    </row>
    <row r="225" spans="1:45" s="296" customFormat="1" ht="52.8" x14ac:dyDescent="0.3">
      <c r="A225" s="292">
        <f>_xlfn.AGGREGATE(3,3,$D$7:D225)</f>
        <v>219</v>
      </c>
      <c r="B225" s="143" t="s">
        <v>1402</v>
      </c>
      <c r="C225" s="341" t="s">
        <v>1594</v>
      </c>
      <c r="D225" s="160" t="s">
        <v>1590</v>
      </c>
      <c r="E225" s="166" t="s">
        <v>1593</v>
      </c>
      <c r="F225" s="144" t="s">
        <v>385</v>
      </c>
      <c r="G225" s="158" t="s">
        <v>1592</v>
      </c>
      <c r="H225" s="144" t="s">
        <v>1591</v>
      </c>
      <c r="I225" s="159">
        <v>2010</v>
      </c>
      <c r="J225" s="150" t="s">
        <v>196</v>
      </c>
      <c r="K225" s="159">
        <v>92</v>
      </c>
      <c r="L225" s="148">
        <v>45505</v>
      </c>
      <c r="M225" s="148">
        <v>46234</v>
      </c>
      <c r="N225" s="157">
        <v>45511</v>
      </c>
      <c r="O225" s="145" t="s">
        <v>584</v>
      </c>
      <c r="P225" s="145"/>
      <c r="Q225" s="159" t="s">
        <v>20</v>
      </c>
      <c r="R225" s="145" t="s">
        <v>18</v>
      </c>
      <c r="S225" s="145" t="s">
        <v>18</v>
      </c>
      <c r="T225" s="145" t="s">
        <v>18</v>
      </c>
      <c r="U225" s="159" t="s">
        <v>20</v>
      </c>
      <c r="V225" s="159" t="s">
        <v>20</v>
      </c>
      <c r="W225" s="159" t="s">
        <v>20</v>
      </c>
      <c r="X225" s="159" t="s">
        <v>20</v>
      </c>
      <c r="Y225" s="159" t="s">
        <v>20</v>
      </c>
      <c r="Z225" s="161">
        <v>45505</v>
      </c>
      <c r="AA225" s="188">
        <v>46053</v>
      </c>
      <c r="AB225" s="162">
        <v>7</v>
      </c>
      <c r="AC225" s="293">
        <v>6</v>
      </c>
      <c r="AD225" s="145" t="s">
        <v>18</v>
      </c>
      <c r="AE225" s="145" t="s">
        <v>18</v>
      </c>
      <c r="AF225" s="150"/>
      <c r="AG225" s="155" t="s">
        <v>17</v>
      </c>
      <c r="AH225" s="294"/>
      <c r="AI225" s="299" t="s">
        <v>1590</v>
      </c>
      <c r="AJ225" s="195">
        <f>SUMIF('TK 15661.Bản quyền phim '!F:F,'KK1. Movies'!D225,'TK 15661.Bản quyền phim '!X:X)</f>
        <v>0</v>
      </c>
      <c r="AK225" s="195">
        <f>SUMIF('TK 15661.Bản quyền phim '!F:F,'KK1. Movies'!AI225,'TK 15661.Bản quyền phim '!X:X)</f>
        <v>0</v>
      </c>
      <c r="AL225" s="295">
        <f>COUNTIF('242.BQ Phim hợp tác'!$C:$C,'KK1. Movies'!AI225)</f>
        <v>0</v>
      </c>
      <c r="AM225" s="295">
        <f>COUNTIF('TK 15661.Bản quyền phim '!F:F,'KK1. Movies'!AI225)</f>
        <v>1</v>
      </c>
      <c r="AN225" s="296">
        <f t="shared" si="3"/>
        <v>1</v>
      </c>
      <c r="AO225" s="295"/>
      <c r="AP225" s="295"/>
      <c r="AQ225" s="295"/>
      <c r="AR225" s="295"/>
      <c r="AS225" s="295"/>
    </row>
    <row r="226" spans="1:45" s="296" customFormat="1" ht="26.4" x14ac:dyDescent="0.3">
      <c r="A226" s="292">
        <f>_xlfn.AGGREGATE(3,3,$D$7:D226)</f>
        <v>220</v>
      </c>
      <c r="B226" s="143" t="s">
        <v>1402</v>
      </c>
      <c r="C226" s="144" t="s">
        <v>1589</v>
      </c>
      <c r="D226" s="160" t="s">
        <v>1587</v>
      </c>
      <c r="E226" s="166" t="s">
        <v>1588</v>
      </c>
      <c r="F226" s="164" t="s">
        <v>824</v>
      </c>
      <c r="G226" s="164" t="s">
        <v>198</v>
      </c>
      <c r="H226" s="164" t="s">
        <v>197</v>
      </c>
      <c r="I226" s="159">
        <v>2020</v>
      </c>
      <c r="J226" s="162" t="s">
        <v>196</v>
      </c>
      <c r="K226" s="159">
        <v>116</v>
      </c>
      <c r="L226" s="148">
        <v>45435</v>
      </c>
      <c r="M226" s="165">
        <v>46164</v>
      </c>
      <c r="N226" s="157">
        <v>45435</v>
      </c>
      <c r="O226" s="159" t="s">
        <v>553</v>
      </c>
      <c r="P226" s="159" t="s">
        <v>1513</v>
      </c>
      <c r="Q226" s="159" t="s">
        <v>20</v>
      </c>
      <c r="R226" s="145" t="s">
        <v>18</v>
      </c>
      <c r="S226" s="159" t="s">
        <v>18</v>
      </c>
      <c r="T226" s="145" t="s">
        <v>18</v>
      </c>
      <c r="U226" s="159" t="s">
        <v>20</v>
      </c>
      <c r="V226" s="159" t="s">
        <v>20</v>
      </c>
      <c r="W226" s="159" t="s">
        <v>20</v>
      </c>
      <c r="X226" s="159" t="s">
        <v>20</v>
      </c>
      <c r="Y226" s="159" t="s">
        <v>18</v>
      </c>
      <c r="Z226" s="148">
        <v>45435</v>
      </c>
      <c r="AA226" s="165">
        <v>46164</v>
      </c>
      <c r="AB226" s="162">
        <v>6</v>
      </c>
      <c r="AC226" s="162">
        <v>3</v>
      </c>
      <c r="AD226" s="145" t="s">
        <v>18</v>
      </c>
      <c r="AE226" s="145" t="s">
        <v>18</v>
      </c>
      <c r="AF226" s="150"/>
      <c r="AG226" s="155" t="s">
        <v>17</v>
      </c>
      <c r="AH226" s="294"/>
      <c r="AI226" s="299" t="s">
        <v>1587</v>
      </c>
      <c r="AJ226" s="195">
        <f>SUMIF('TK 15661.Bản quyền phim '!F:F,'KK1. Movies'!D226,'TK 15661.Bản quyền phim '!X:X)</f>
        <v>0</v>
      </c>
      <c r="AK226" s="195">
        <f>SUMIF('TK 15661.Bản quyền phim '!F:F,'KK1. Movies'!AI226,'TK 15661.Bản quyền phim '!X:X)</f>
        <v>0</v>
      </c>
      <c r="AL226" s="295">
        <f>COUNTIF('242.BQ Phim hợp tác'!$C:$C,'KK1. Movies'!AI226)</f>
        <v>0</v>
      </c>
      <c r="AM226" s="295">
        <f>COUNTIF('TK 15661.Bản quyền phim '!F:F,'KK1. Movies'!AI226)</f>
        <v>1</v>
      </c>
      <c r="AN226" s="296">
        <f t="shared" si="3"/>
        <v>1</v>
      </c>
      <c r="AO226" s="295"/>
      <c r="AP226" s="295"/>
      <c r="AQ226" s="295"/>
      <c r="AR226" s="295"/>
      <c r="AS226" s="295"/>
    </row>
    <row r="227" spans="1:45" s="296" customFormat="1" ht="26.4" x14ac:dyDescent="0.3">
      <c r="A227" s="292">
        <f>_xlfn.AGGREGATE(3,3,$D$7:D227)</f>
        <v>221</v>
      </c>
      <c r="B227" s="143" t="s">
        <v>1392</v>
      </c>
      <c r="C227" s="341" t="s">
        <v>1586</v>
      </c>
      <c r="D227" s="146" t="s">
        <v>1584</v>
      </c>
      <c r="E227" s="144" t="s">
        <v>1585</v>
      </c>
      <c r="F227" s="144" t="s">
        <v>385</v>
      </c>
      <c r="G227" s="143" t="s">
        <v>1389</v>
      </c>
      <c r="H227" s="144" t="s">
        <v>1388</v>
      </c>
      <c r="I227" s="297">
        <v>2021</v>
      </c>
      <c r="J227" s="145" t="s">
        <v>196</v>
      </c>
      <c r="K227" s="297">
        <v>85</v>
      </c>
      <c r="L227" s="148">
        <v>45192</v>
      </c>
      <c r="M227" s="153">
        <v>46287</v>
      </c>
      <c r="N227" s="157">
        <v>45192</v>
      </c>
      <c r="O227" s="145" t="s">
        <v>132</v>
      </c>
      <c r="P227" s="145" t="s">
        <v>1387</v>
      </c>
      <c r="Q227" s="145" t="s">
        <v>20</v>
      </c>
      <c r="R227" s="145" t="s">
        <v>18</v>
      </c>
      <c r="S227" s="159" t="s">
        <v>20</v>
      </c>
      <c r="T227" s="145" t="s">
        <v>18</v>
      </c>
      <c r="U227" s="145" t="s">
        <v>18</v>
      </c>
      <c r="V227" s="145" t="s">
        <v>18</v>
      </c>
      <c r="W227" s="145" t="s">
        <v>18</v>
      </c>
      <c r="X227" s="145" t="s">
        <v>18</v>
      </c>
      <c r="Y227" s="145" t="s">
        <v>20</v>
      </c>
      <c r="Z227" s="148">
        <v>45192</v>
      </c>
      <c r="AA227" s="153">
        <v>46287</v>
      </c>
      <c r="AB227" s="293">
        <v>24</v>
      </c>
      <c r="AC227" s="293">
        <v>20</v>
      </c>
      <c r="AD227" s="145" t="s">
        <v>18</v>
      </c>
      <c r="AE227" s="145" t="s">
        <v>18</v>
      </c>
      <c r="AF227" s="150"/>
      <c r="AG227" s="155" t="s">
        <v>17</v>
      </c>
      <c r="AH227" s="294"/>
      <c r="AI227" s="299" t="s">
        <v>1584</v>
      </c>
      <c r="AJ227" s="195">
        <f>SUMIF('TK 15661.Bản quyền phim '!F:F,'KK1. Movies'!D227,'TK 15661.Bản quyền phim '!X:X)</f>
        <v>0</v>
      </c>
      <c r="AK227" s="195">
        <f>SUMIF('TK 15661.Bản quyền phim '!F:F,'KK1. Movies'!AI227,'TK 15661.Bản quyền phim '!X:X)</f>
        <v>0</v>
      </c>
      <c r="AL227" s="295">
        <f>COUNTIF('242.BQ Phim hợp tác'!$C:$C,'KK1. Movies'!AI227)</f>
        <v>0</v>
      </c>
      <c r="AM227" s="295">
        <f>COUNTIF('TK 15661.Bản quyền phim '!F:F,'KK1. Movies'!AI227)</f>
        <v>1</v>
      </c>
      <c r="AN227" s="296">
        <f t="shared" si="3"/>
        <v>1</v>
      </c>
      <c r="AO227" s="295"/>
      <c r="AP227" s="295"/>
      <c r="AQ227" s="295"/>
      <c r="AR227" s="295"/>
      <c r="AS227" s="295"/>
    </row>
    <row r="228" spans="1:45" s="296" customFormat="1" x14ac:dyDescent="0.3">
      <c r="A228" s="292">
        <f>_xlfn.AGGREGATE(3,3,$D$7:D228)</f>
        <v>222</v>
      </c>
      <c r="B228" s="143" t="s">
        <v>1402</v>
      </c>
      <c r="C228" s="144" t="s">
        <v>1583</v>
      </c>
      <c r="D228" s="146" t="s">
        <v>1579</v>
      </c>
      <c r="E228" s="155" t="s">
        <v>1582</v>
      </c>
      <c r="F228" s="144" t="s">
        <v>381</v>
      </c>
      <c r="G228" s="143" t="s">
        <v>1074</v>
      </c>
      <c r="H228" s="144" t="s">
        <v>1581</v>
      </c>
      <c r="I228" s="297">
        <v>2019</v>
      </c>
      <c r="J228" s="150" t="s">
        <v>133</v>
      </c>
      <c r="K228" s="297">
        <v>93</v>
      </c>
      <c r="L228" s="148">
        <v>45147</v>
      </c>
      <c r="M228" s="153">
        <v>46242</v>
      </c>
      <c r="N228" s="152">
        <v>45204</v>
      </c>
      <c r="O228" s="309" t="s">
        <v>584</v>
      </c>
      <c r="P228" s="154" t="s">
        <v>1580</v>
      </c>
      <c r="Q228" s="145" t="s">
        <v>18</v>
      </c>
      <c r="R228" s="145" t="s">
        <v>18</v>
      </c>
      <c r="S228" s="145" t="s">
        <v>20</v>
      </c>
      <c r="T228" s="145" t="s">
        <v>18</v>
      </c>
      <c r="U228" s="145" t="s">
        <v>18</v>
      </c>
      <c r="V228" s="145" t="s">
        <v>18</v>
      </c>
      <c r="W228" s="145" t="s">
        <v>18</v>
      </c>
      <c r="X228" s="145" t="s">
        <v>18</v>
      </c>
      <c r="Y228" s="145" t="s">
        <v>20</v>
      </c>
      <c r="Z228" s="148">
        <v>45147</v>
      </c>
      <c r="AA228" s="153">
        <v>46242</v>
      </c>
      <c r="AB228" s="141" t="s">
        <v>1394</v>
      </c>
      <c r="AC228" s="293">
        <v>39</v>
      </c>
      <c r="AD228" s="145" t="s">
        <v>18</v>
      </c>
      <c r="AE228" s="145" t="s">
        <v>18</v>
      </c>
      <c r="AF228" s="150"/>
      <c r="AG228" s="155" t="s">
        <v>17</v>
      </c>
      <c r="AH228" s="294"/>
      <c r="AI228" s="299" t="s">
        <v>1579</v>
      </c>
      <c r="AJ228" s="195">
        <f>SUMIF('TK 15661.Bản quyền phim '!F:F,'KK1. Movies'!D228,'TK 15661.Bản quyền phim '!X:X)</f>
        <v>0</v>
      </c>
      <c r="AK228" s="195">
        <f>SUMIF('TK 15661.Bản quyền phim '!F:F,'KK1. Movies'!AI228,'TK 15661.Bản quyền phim '!X:X)</f>
        <v>0</v>
      </c>
      <c r="AL228" s="295">
        <f>COUNTIF('242.BQ Phim hợp tác'!$C:$C,'KK1. Movies'!AI228)</f>
        <v>0</v>
      </c>
      <c r="AM228" s="295">
        <f>COUNTIF('TK 15661.Bản quyền phim '!F:F,'KK1. Movies'!AI228)</f>
        <v>1</v>
      </c>
      <c r="AN228" s="296">
        <f t="shared" si="3"/>
        <v>1</v>
      </c>
      <c r="AO228" s="295"/>
      <c r="AP228" s="295"/>
      <c r="AQ228" s="295"/>
      <c r="AR228" s="295"/>
      <c r="AS228" s="295"/>
    </row>
    <row r="229" spans="1:45" s="296" customFormat="1" ht="52.8" x14ac:dyDescent="0.3">
      <c r="A229" s="292">
        <f>_xlfn.AGGREGATE(3,3,$D$7:D229)</f>
        <v>223</v>
      </c>
      <c r="B229" s="156" t="s">
        <v>1145</v>
      </c>
      <c r="C229" s="144" t="s">
        <v>1578</v>
      </c>
      <c r="D229" s="160" t="s">
        <v>1575</v>
      </c>
      <c r="E229" s="166" t="s">
        <v>1577</v>
      </c>
      <c r="F229" s="144" t="s">
        <v>1013</v>
      </c>
      <c r="G229" s="158" t="s">
        <v>1141</v>
      </c>
      <c r="H229" s="144" t="s">
        <v>1140</v>
      </c>
      <c r="I229" s="159">
        <v>2016</v>
      </c>
      <c r="J229" s="159" t="s">
        <v>1576</v>
      </c>
      <c r="K229" s="159">
        <v>101</v>
      </c>
      <c r="L229" s="163">
        <v>45736</v>
      </c>
      <c r="M229" s="161">
        <v>46465</v>
      </c>
      <c r="N229" s="157"/>
      <c r="O229" s="145"/>
      <c r="P229" s="145"/>
      <c r="Q229" s="159" t="s">
        <v>20</v>
      </c>
      <c r="R229" s="159" t="s">
        <v>18</v>
      </c>
      <c r="S229" s="159" t="s">
        <v>18</v>
      </c>
      <c r="T229" s="145" t="s">
        <v>18</v>
      </c>
      <c r="U229" s="159" t="s">
        <v>20</v>
      </c>
      <c r="V229" s="159" t="s">
        <v>20</v>
      </c>
      <c r="W229" s="159" t="s">
        <v>20</v>
      </c>
      <c r="X229" s="159" t="s">
        <v>18</v>
      </c>
      <c r="Y229" s="159" t="s">
        <v>20</v>
      </c>
      <c r="Z229" s="161">
        <v>45736</v>
      </c>
      <c r="AA229" s="188">
        <v>46284</v>
      </c>
      <c r="AB229" s="159">
        <v>7</v>
      </c>
      <c r="AC229" s="293">
        <v>2</v>
      </c>
      <c r="AD229" s="145" t="s">
        <v>18</v>
      </c>
      <c r="AE229" s="145" t="s">
        <v>18</v>
      </c>
      <c r="AF229" s="150"/>
      <c r="AG229" s="155" t="s">
        <v>17</v>
      </c>
      <c r="AH229" s="294"/>
      <c r="AI229" s="300" t="s">
        <v>1575</v>
      </c>
      <c r="AJ229" s="195">
        <f>SUMIF('TK 15661.Bản quyền phim '!F:F,'KK1. Movies'!D229,'TK 15661.Bản quyền phim '!X:X)</f>
        <v>46627350</v>
      </c>
      <c r="AK229" s="195">
        <f>SUMIF('TK 15661.Bản quyền phim '!F:F,'KK1. Movies'!AI229,'TK 15661.Bản quyền phim '!X:X)</f>
        <v>46627350</v>
      </c>
      <c r="AL229" s="295">
        <f>COUNTIF('242.BQ Phim hợp tác'!$C:$C,'KK1. Movies'!AI229)</f>
        <v>0</v>
      </c>
      <c r="AM229" s="295">
        <f>COUNTIF('TK 15661.Bản quyền phim '!F:F,'KK1. Movies'!AI229)</f>
        <v>1</v>
      </c>
      <c r="AN229" s="296">
        <f t="shared" si="3"/>
        <v>1</v>
      </c>
      <c r="AO229" s="295"/>
      <c r="AP229" s="295"/>
      <c r="AQ229" s="295"/>
      <c r="AR229" s="295"/>
      <c r="AS229" s="295"/>
    </row>
    <row r="230" spans="1:45" s="296" customFormat="1" ht="26.4" x14ac:dyDescent="0.3">
      <c r="A230" s="292">
        <f>_xlfn.AGGREGATE(3,3,$D$7:D230)</f>
        <v>224</v>
      </c>
      <c r="B230" s="143" t="s">
        <v>1402</v>
      </c>
      <c r="C230" s="144" t="s">
        <v>1574</v>
      </c>
      <c r="D230" s="160" t="s">
        <v>1573</v>
      </c>
      <c r="E230" s="166" t="s">
        <v>1572</v>
      </c>
      <c r="F230" s="144" t="s">
        <v>385</v>
      </c>
      <c r="G230" s="158" t="s">
        <v>1324</v>
      </c>
      <c r="H230" s="144" t="s">
        <v>1449</v>
      </c>
      <c r="I230" s="159">
        <v>2023</v>
      </c>
      <c r="J230" s="150" t="s">
        <v>133</v>
      </c>
      <c r="K230" s="159">
        <v>98</v>
      </c>
      <c r="L230" s="148">
        <v>45518</v>
      </c>
      <c r="M230" s="161">
        <v>46612</v>
      </c>
      <c r="N230" s="157">
        <v>45518</v>
      </c>
      <c r="O230" s="145" t="s">
        <v>584</v>
      </c>
      <c r="P230" s="151">
        <v>12</v>
      </c>
      <c r="Q230" s="159" t="s">
        <v>20</v>
      </c>
      <c r="R230" s="145" t="s">
        <v>18</v>
      </c>
      <c r="S230" s="145" t="s">
        <v>18</v>
      </c>
      <c r="T230" s="145" t="s">
        <v>18</v>
      </c>
      <c r="U230" s="145" t="s">
        <v>18</v>
      </c>
      <c r="V230" s="145" t="s">
        <v>18</v>
      </c>
      <c r="W230" s="145" t="s">
        <v>18</v>
      </c>
      <c r="X230" s="159" t="s">
        <v>20</v>
      </c>
      <c r="Y230" s="145" t="s">
        <v>18</v>
      </c>
      <c r="Z230" s="148">
        <v>45518</v>
      </c>
      <c r="AA230" s="161">
        <v>46612</v>
      </c>
      <c r="AB230" s="145" t="s">
        <v>218</v>
      </c>
      <c r="AC230" s="293">
        <v>15</v>
      </c>
      <c r="AD230" s="145" t="s">
        <v>18</v>
      </c>
      <c r="AE230" s="145" t="s">
        <v>18</v>
      </c>
      <c r="AF230" s="150"/>
      <c r="AG230" s="155" t="s">
        <v>17</v>
      </c>
      <c r="AH230" s="294"/>
      <c r="AI230" s="300" t="s">
        <v>1571</v>
      </c>
      <c r="AJ230" s="195">
        <f>SUMIF('TK 15661.Bản quyền phim '!F:F,'KK1. Movies'!D230,'TK 15661.Bản quyền phim '!X:X)</f>
        <v>0</v>
      </c>
      <c r="AK230" s="195">
        <f>SUMIF('TK 15661.Bản quyền phim '!F:F,'KK1. Movies'!AI230,'TK 15661.Bản quyền phim '!X:X)</f>
        <v>34920635</v>
      </c>
      <c r="AL230" s="295">
        <f>COUNTIF('242.BQ Phim hợp tác'!$C:$C,'KK1. Movies'!AI230)</f>
        <v>0</v>
      </c>
      <c r="AM230" s="295">
        <f>COUNTIF('TK 15661.Bản quyền phim '!F:F,'KK1. Movies'!AI230)</f>
        <v>1</v>
      </c>
      <c r="AN230" s="296">
        <f t="shared" si="3"/>
        <v>1</v>
      </c>
      <c r="AO230" s="295"/>
      <c r="AP230" s="295"/>
      <c r="AQ230" s="295"/>
      <c r="AR230" s="295"/>
      <c r="AS230" s="295"/>
    </row>
    <row r="231" spans="1:45" s="296" customFormat="1" ht="26.4" x14ac:dyDescent="0.3">
      <c r="A231" s="292">
        <f>_xlfn.AGGREGATE(3,3,$D$7:D231)</f>
        <v>225</v>
      </c>
      <c r="B231" s="143" t="s">
        <v>1402</v>
      </c>
      <c r="C231" s="341" t="s">
        <v>1570</v>
      </c>
      <c r="D231" s="144" t="s">
        <v>1569</v>
      </c>
      <c r="E231" s="144" t="s">
        <v>1568</v>
      </c>
      <c r="F231" s="144" t="s">
        <v>1013</v>
      </c>
      <c r="G231" s="144" t="s">
        <v>1056</v>
      </c>
      <c r="H231" s="144" t="s">
        <v>1567</v>
      </c>
      <c r="I231" s="297">
        <v>2021</v>
      </c>
      <c r="J231" s="297" t="s">
        <v>178</v>
      </c>
      <c r="K231" s="297">
        <v>90</v>
      </c>
      <c r="L231" s="148">
        <v>44562</v>
      </c>
      <c r="M231" s="301">
        <v>46387</v>
      </c>
      <c r="N231" s="302">
        <v>44545</v>
      </c>
      <c r="O231" s="145" t="s">
        <v>584</v>
      </c>
      <c r="P231" s="350" t="s">
        <v>1566</v>
      </c>
      <c r="Q231" s="306" t="s">
        <v>20</v>
      </c>
      <c r="R231" s="145" t="s">
        <v>18</v>
      </c>
      <c r="S231" s="145" t="s">
        <v>18</v>
      </c>
      <c r="T231" s="145" t="s">
        <v>18</v>
      </c>
      <c r="U231" s="145" t="s">
        <v>18</v>
      </c>
      <c r="V231" s="145" t="s">
        <v>18</v>
      </c>
      <c r="W231" s="145" t="s">
        <v>18</v>
      </c>
      <c r="X231" s="145" t="s">
        <v>18</v>
      </c>
      <c r="Y231" s="145" t="s">
        <v>18</v>
      </c>
      <c r="Z231" s="148">
        <v>44562</v>
      </c>
      <c r="AA231" s="301">
        <v>46387</v>
      </c>
      <c r="AB231" s="141" t="s">
        <v>1394</v>
      </c>
      <c r="AC231" s="293">
        <v>51</v>
      </c>
      <c r="AD231" s="145" t="s">
        <v>18</v>
      </c>
      <c r="AE231" s="145" t="s">
        <v>18</v>
      </c>
      <c r="AF231" s="150"/>
      <c r="AG231" s="155" t="s">
        <v>17</v>
      </c>
      <c r="AH231" s="294"/>
      <c r="AI231" s="144" t="s">
        <v>1565</v>
      </c>
      <c r="AJ231" s="195">
        <f>SUMIF('TK 15661.Bản quyền phim '!F:F,'KK1. Movies'!D231,'TK 15661.Bản quyền phim '!X:X)</f>
        <v>0</v>
      </c>
      <c r="AK231" s="195">
        <f>SUMIF('TK 15661.Bản quyền phim '!F:F,'KK1. Movies'!AI231,'TK 15661.Bản quyền phim '!X:X)</f>
        <v>0</v>
      </c>
      <c r="AL231" s="295">
        <f>COUNTIF('242.BQ Phim hợp tác'!$C:$C,'KK1. Movies'!AI231)</f>
        <v>0</v>
      </c>
      <c r="AM231" s="295">
        <f>COUNTIF('TK 15661.Bản quyền phim '!F:F,'KK1. Movies'!AI231)</f>
        <v>1</v>
      </c>
      <c r="AN231" s="296">
        <f t="shared" si="3"/>
        <v>1</v>
      </c>
      <c r="AO231" s="295"/>
      <c r="AP231" s="295"/>
      <c r="AQ231" s="295"/>
      <c r="AR231" s="295"/>
      <c r="AS231" s="295"/>
    </row>
    <row r="232" spans="1:45" s="296" customFormat="1" x14ac:dyDescent="0.3">
      <c r="A232" s="292">
        <f>_xlfn.AGGREGATE(3,3,$D$7:D232)</f>
        <v>226</v>
      </c>
      <c r="B232" s="156" t="s">
        <v>1145</v>
      </c>
      <c r="C232" s="144" t="s">
        <v>1564</v>
      </c>
      <c r="D232" s="160" t="s">
        <v>1562</v>
      </c>
      <c r="E232" s="142" t="s">
        <v>1563</v>
      </c>
      <c r="F232" s="144" t="s">
        <v>350</v>
      </c>
      <c r="G232" s="158" t="s">
        <v>198</v>
      </c>
      <c r="H232" s="164" t="s">
        <v>1208</v>
      </c>
      <c r="I232" s="159">
        <v>2021</v>
      </c>
      <c r="J232" s="159" t="s">
        <v>196</v>
      </c>
      <c r="K232" s="159">
        <v>98</v>
      </c>
      <c r="L232" s="163">
        <v>45712</v>
      </c>
      <c r="M232" s="148">
        <v>46441</v>
      </c>
      <c r="N232" s="157" t="s">
        <v>1145</v>
      </c>
      <c r="O232" s="145"/>
      <c r="P232" s="159"/>
      <c r="Q232" s="162" t="s">
        <v>20</v>
      </c>
      <c r="R232" s="145" t="s">
        <v>18</v>
      </c>
      <c r="S232" s="162" t="s">
        <v>18</v>
      </c>
      <c r="T232" s="145" t="s">
        <v>18</v>
      </c>
      <c r="U232" s="159" t="s">
        <v>20</v>
      </c>
      <c r="V232" s="159" t="s">
        <v>20</v>
      </c>
      <c r="W232" s="159" t="s">
        <v>20</v>
      </c>
      <c r="X232" s="162" t="s">
        <v>18</v>
      </c>
      <c r="Y232" s="159" t="s">
        <v>20</v>
      </c>
      <c r="Z232" s="165">
        <v>45712</v>
      </c>
      <c r="AA232" s="188">
        <v>46441</v>
      </c>
      <c r="AB232" s="159">
        <v>6</v>
      </c>
      <c r="AC232" s="293">
        <v>3</v>
      </c>
      <c r="AD232" s="145" t="s">
        <v>18</v>
      </c>
      <c r="AE232" s="145" t="s">
        <v>18</v>
      </c>
      <c r="AF232" s="150"/>
      <c r="AG232" s="155" t="s">
        <v>17</v>
      </c>
      <c r="AH232" s="294"/>
      <c r="AI232" s="300" t="s">
        <v>1562</v>
      </c>
      <c r="AJ232" s="195">
        <f>SUMIF('TK 15661.Bản quyền phim '!F:F,'KK1. Movies'!D232,'TK 15661.Bản quyền phim '!X:X)</f>
        <v>50311800</v>
      </c>
      <c r="AK232" s="195">
        <f>SUMIF('TK 15661.Bản quyền phim '!F:F,'KK1. Movies'!AI232,'TK 15661.Bản quyền phim '!X:X)</f>
        <v>50311800</v>
      </c>
      <c r="AL232" s="295">
        <f>COUNTIF('242.BQ Phim hợp tác'!$C:$C,'KK1. Movies'!AI232)</f>
        <v>0</v>
      </c>
      <c r="AM232" s="295">
        <f>COUNTIF('TK 15661.Bản quyền phim '!F:F,'KK1. Movies'!AI232)</f>
        <v>1</v>
      </c>
      <c r="AN232" s="296">
        <f t="shared" si="3"/>
        <v>1</v>
      </c>
      <c r="AO232" s="295"/>
      <c r="AP232" s="295"/>
      <c r="AQ232" s="295"/>
      <c r="AR232" s="295"/>
      <c r="AS232" s="295"/>
    </row>
    <row r="233" spans="1:45" s="296" customFormat="1" x14ac:dyDescent="0.3">
      <c r="A233" s="292">
        <f>_xlfn.AGGREGATE(3,3,$D$7:D233)</f>
        <v>227</v>
      </c>
      <c r="B233" s="143"/>
      <c r="C233" s="144" t="s">
        <v>1561</v>
      </c>
      <c r="D233" s="160" t="s">
        <v>1559</v>
      </c>
      <c r="E233" s="166" t="s">
        <v>1560</v>
      </c>
      <c r="F233" s="158" t="s">
        <v>922</v>
      </c>
      <c r="G233" s="158" t="s">
        <v>513</v>
      </c>
      <c r="H233" s="144" t="s">
        <v>1135</v>
      </c>
      <c r="I233" s="159">
        <v>2023</v>
      </c>
      <c r="J233" s="159" t="s">
        <v>178</v>
      </c>
      <c r="K233" s="159">
        <v>120</v>
      </c>
      <c r="L233" s="161">
        <v>45820</v>
      </c>
      <c r="M233" s="161">
        <v>46916</v>
      </c>
      <c r="N233" s="157"/>
      <c r="O233" s="145"/>
      <c r="P233" s="159">
        <v>36</v>
      </c>
      <c r="Q233" s="159" t="s">
        <v>20</v>
      </c>
      <c r="R233" s="145" t="s">
        <v>18</v>
      </c>
      <c r="S233" s="159" t="s">
        <v>18</v>
      </c>
      <c r="T233" s="145" t="s">
        <v>18</v>
      </c>
      <c r="U233" s="159" t="s">
        <v>18</v>
      </c>
      <c r="V233" s="159" t="s">
        <v>20</v>
      </c>
      <c r="W233" s="159" t="s">
        <v>18</v>
      </c>
      <c r="X233" s="159" t="s">
        <v>18</v>
      </c>
      <c r="Y233" s="159" t="s">
        <v>18</v>
      </c>
      <c r="Z233" s="161">
        <v>45820</v>
      </c>
      <c r="AA233" s="188">
        <v>46916</v>
      </c>
      <c r="AB233" s="159" t="s">
        <v>218</v>
      </c>
      <c r="AC233" s="293">
        <v>6</v>
      </c>
      <c r="AD233" s="145" t="s">
        <v>18</v>
      </c>
      <c r="AE233" s="145" t="s">
        <v>18</v>
      </c>
      <c r="AF233" s="150"/>
      <c r="AG233" s="155" t="s">
        <v>17</v>
      </c>
      <c r="AH233" s="294"/>
      <c r="AI233" s="300" t="s">
        <v>1559</v>
      </c>
      <c r="AJ233" s="195">
        <f>SUMIF('TK 15661.Bản quyền phim '!F:F,'KK1. Movies'!D233,'TK 15661.Bản quyền phim '!X:X)</f>
        <v>60984000</v>
      </c>
      <c r="AK233" s="195">
        <f>SUMIF('TK 15661.Bản quyền phim '!F:F,'KK1. Movies'!AI233,'TK 15661.Bản quyền phim '!X:X)</f>
        <v>60984000</v>
      </c>
      <c r="AL233" s="295">
        <f>COUNTIF('242.BQ Phim hợp tác'!$C:$C,'KK1. Movies'!AI233)</f>
        <v>0</v>
      </c>
      <c r="AM233" s="295">
        <f>COUNTIF('TK 15661.Bản quyền phim '!F:F,'KK1. Movies'!AI233)</f>
        <v>1</v>
      </c>
      <c r="AN233" s="296">
        <f t="shared" si="3"/>
        <v>1</v>
      </c>
      <c r="AO233" s="295"/>
      <c r="AP233" s="295"/>
      <c r="AQ233" s="295"/>
      <c r="AR233" s="295"/>
      <c r="AS233" s="295"/>
    </row>
    <row r="234" spans="1:45" s="296" customFormat="1" ht="39.6" x14ac:dyDescent="0.3">
      <c r="A234" s="292">
        <f>_xlfn.AGGREGATE(3,3,$D$7:D234)</f>
        <v>228</v>
      </c>
      <c r="B234" s="143"/>
      <c r="C234" s="341" t="s">
        <v>1558</v>
      </c>
      <c r="D234" s="160" t="s">
        <v>1556</v>
      </c>
      <c r="E234" s="166" t="s">
        <v>1557</v>
      </c>
      <c r="F234" s="164" t="s">
        <v>1224</v>
      </c>
      <c r="G234" s="158" t="s">
        <v>198</v>
      </c>
      <c r="H234" s="164" t="s">
        <v>1208</v>
      </c>
      <c r="I234" s="162">
        <v>2012</v>
      </c>
      <c r="J234" s="159" t="s">
        <v>196</v>
      </c>
      <c r="K234" s="162">
        <v>93</v>
      </c>
      <c r="L234" s="165">
        <v>45864</v>
      </c>
      <c r="M234" s="165">
        <v>46593</v>
      </c>
      <c r="N234" s="157"/>
      <c r="O234" s="145"/>
      <c r="P234" s="159">
        <v>12</v>
      </c>
      <c r="Q234" s="159" t="s">
        <v>20</v>
      </c>
      <c r="R234" s="159" t="s">
        <v>18</v>
      </c>
      <c r="S234" s="159" t="s">
        <v>18</v>
      </c>
      <c r="T234" s="159" t="s">
        <v>18</v>
      </c>
      <c r="U234" s="159" t="s">
        <v>20</v>
      </c>
      <c r="V234" s="159" t="s">
        <v>20</v>
      </c>
      <c r="W234" s="159" t="s">
        <v>20</v>
      </c>
      <c r="X234" s="159" t="s">
        <v>18</v>
      </c>
      <c r="Y234" s="159" t="s">
        <v>18</v>
      </c>
      <c r="Z234" s="165">
        <v>45864</v>
      </c>
      <c r="AA234" s="189">
        <v>46593</v>
      </c>
      <c r="AB234" s="159">
        <v>6</v>
      </c>
      <c r="AC234" s="293">
        <v>1</v>
      </c>
      <c r="AD234" s="145" t="s">
        <v>18</v>
      </c>
      <c r="AE234" s="145" t="s">
        <v>18</v>
      </c>
      <c r="AF234" s="150"/>
      <c r="AG234" s="155" t="s">
        <v>17</v>
      </c>
      <c r="AH234" s="294"/>
      <c r="AI234" s="300" t="s">
        <v>1556</v>
      </c>
      <c r="AJ234" s="195">
        <f>SUMIF('TK 15661.Bản quyền phim '!F:F,'KK1. Movies'!D234,'TK 15661.Bản quyền phim '!X:X)</f>
        <v>56791350</v>
      </c>
      <c r="AK234" s="195">
        <f>SUMIF('TK 15661.Bản quyền phim '!F:F,'KK1. Movies'!AI234,'TK 15661.Bản quyền phim '!X:X)</f>
        <v>56791350</v>
      </c>
      <c r="AL234" s="295">
        <f>COUNTIF('242.BQ Phim hợp tác'!$C:$C,'KK1. Movies'!AI234)</f>
        <v>0</v>
      </c>
      <c r="AM234" s="295">
        <f>COUNTIF('TK 15661.Bản quyền phim '!F:F,'KK1. Movies'!AI234)</f>
        <v>1</v>
      </c>
      <c r="AN234" s="296">
        <f t="shared" si="3"/>
        <v>1</v>
      </c>
      <c r="AO234" s="295"/>
      <c r="AP234" s="295"/>
      <c r="AQ234" s="295"/>
      <c r="AR234" s="295"/>
      <c r="AS234" s="295"/>
    </row>
    <row r="235" spans="1:45" s="296" customFormat="1" ht="26.4" x14ac:dyDescent="0.3">
      <c r="A235" s="292">
        <f>_xlfn.AGGREGATE(3,3,$D$7:D235)</f>
        <v>229</v>
      </c>
      <c r="B235" s="143" t="s">
        <v>1392</v>
      </c>
      <c r="C235" s="144" t="s">
        <v>1555</v>
      </c>
      <c r="D235" s="160" t="s">
        <v>1552</v>
      </c>
      <c r="E235" s="144" t="s">
        <v>1554</v>
      </c>
      <c r="F235" s="158" t="s">
        <v>1553</v>
      </c>
      <c r="G235" s="158" t="s">
        <v>1351</v>
      </c>
      <c r="H235" s="144" t="s">
        <v>1350</v>
      </c>
      <c r="I235" s="159">
        <v>2022</v>
      </c>
      <c r="J235" s="159" t="s">
        <v>178</v>
      </c>
      <c r="K235" s="159">
        <v>136</v>
      </c>
      <c r="L235" s="163">
        <v>45672</v>
      </c>
      <c r="M235" s="148">
        <v>46766</v>
      </c>
      <c r="N235" s="163">
        <v>45672</v>
      </c>
      <c r="O235" s="145"/>
      <c r="P235" s="159">
        <v>12</v>
      </c>
      <c r="Q235" s="159" t="s">
        <v>20</v>
      </c>
      <c r="R235" s="145" t="s">
        <v>18</v>
      </c>
      <c r="S235" s="162" t="s">
        <v>18</v>
      </c>
      <c r="T235" s="145" t="s">
        <v>18</v>
      </c>
      <c r="U235" s="162" t="s">
        <v>18</v>
      </c>
      <c r="V235" s="162" t="s">
        <v>18</v>
      </c>
      <c r="W235" s="162" t="s">
        <v>18</v>
      </c>
      <c r="X235" s="162" t="s">
        <v>18</v>
      </c>
      <c r="Y235" s="159" t="s">
        <v>18</v>
      </c>
      <c r="Z235" s="161">
        <v>45778</v>
      </c>
      <c r="AA235" s="344">
        <v>46873</v>
      </c>
      <c r="AB235" s="159">
        <v>24</v>
      </c>
      <c r="AC235" s="293">
        <v>6</v>
      </c>
      <c r="AD235" s="145" t="s">
        <v>18</v>
      </c>
      <c r="AE235" s="145" t="s">
        <v>18</v>
      </c>
      <c r="AF235" s="150"/>
      <c r="AG235" s="155" t="s">
        <v>17</v>
      </c>
      <c r="AH235" s="294"/>
      <c r="AI235" s="300" t="s">
        <v>1552</v>
      </c>
      <c r="AJ235" s="195">
        <f>SUMIF('TK 15661.Bản quyền phim '!F:F,'KK1. Movies'!D235,'TK 15661.Bản quyền phim '!X:X)</f>
        <v>56444444.666666672</v>
      </c>
      <c r="AK235" s="195">
        <f>SUMIF('TK 15661.Bản quyền phim '!F:F,'KK1. Movies'!AI235,'TK 15661.Bản quyền phim '!X:X)</f>
        <v>56444444.666666672</v>
      </c>
      <c r="AL235" s="295">
        <f>COUNTIF('242.BQ Phim hợp tác'!$C:$C,'KK1. Movies'!AI235)</f>
        <v>0</v>
      </c>
      <c r="AM235" s="295">
        <f>COUNTIF('TK 15661.Bản quyền phim '!F:F,'KK1. Movies'!AI235)</f>
        <v>1</v>
      </c>
      <c r="AN235" s="296">
        <f t="shared" si="3"/>
        <v>1</v>
      </c>
      <c r="AO235" s="295"/>
      <c r="AP235" s="295"/>
      <c r="AQ235" s="295"/>
      <c r="AR235" s="295"/>
      <c r="AS235" s="295"/>
    </row>
    <row r="236" spans="1:45" s="296" customFormat="1" ht="26.4" x14ac:dyDescent="0.3">
      <c r="A236" s="292">
        <f>_xlfn.AGGREGATE(3,3,$D$7:D236)</f>
        <v>230</v>
      </c>
      <c r="B236" s="143" t="s">
        <v>1402</v>
      </c>
      <c r="C236" s="144" t="s">
        <v>1551</v>
      </c>
      <c r="D236" s="160" t="s">
        <v>1550</v>
      </c>
      <c r="E236" s="166" t="s">
        <v>1549</v>
      </c>
      <c r="F236" s="144" t="s">
        <v>350</v>
      </c>
      <c r="G236" s="158" t="s">
        <v>1324</v>
      </c>
      <c r="H236" s="144" t="s">
        <v>1449</v>
      </c>
      <c r="I236" s="159">
        <v>2023</v>
      </c>
      <c r="J236" s="150" t="s">
        <v>133</v>
      </c>
      <c r="K236" s="159">
        <v>132</v>
      </c>
      <c r="L236" s="148">
        <v>45546</v>
      </c>
      <c r="M236" s="161">
        <v>46640</v>
      </c>
      <c r="N236" s="157">
        <v>45546</v>
      </c>
      <c r="O236" s="145" t="s">
        <v>584</v>
      </c>
      <c r="P236" s="151">
        <v>12</v>
      </c>
      <c r="Q236" s="159" t="s">
        <v>20</v>
      </c>
      <c r="R236" s="145" t="s">
        <v>18</v>
      </c>
      <c r="S236" s="145" t="s">
        <v>18</v>
      </c>
      <c r="T236" s="145" t="s">
        <v>18</v>
      </c>
      <c r="U236" s="145" t="s">
        <v>18</v>
      </c>
      <c r="V236" s="145" t="s">
        <v>18</v>
      </c>
      <c r="W236" s="145" t="s">
        <v>18</v>
      </c>
      <c r="X236" s="159" t="s">
        <v>20</v>
      </c>
      <c r="Y236" s="145" t="s">
        <v>18</v>
      </c>
      <c r="Z236" s="148">
        <v>45546</v>
      </c>
      <c r="AA236" s="161">
        <v>46640</v>
      </c>
      <c r="AB236" s="145" t="s">
        <v>218</v>
      </c>
      <c r="AC236" s="293">
        <v>14</v>
      </c>
      <c r="AD236" s="145" t="s">
        <v>18</v>
      </c>
      <c r="AE236" s="145" t="s">
        <v>18</v>
      </c>
      <c r="AF236" s="150"/>
      <c r="AG236" s="155" t="s">
        <v>17</v>
      </c>
      <c r="AH236" s="294"/>
      <c r="AI236" s="300" t="s">
        <v>1548</v>
      </c>
      <c r="AJ236" s="195">
        <f>SUMIF('TK 15661.Bản quyền phim '!F:F,'KK1. Movies'!D236,'TK 15661.Bản quyền phim '!X:X)</f>
        <v>0</v>
      </c>
      <c r="AK236" s="195">
        <f>SUMIF('TK 15661.Bản quyền phim '!F:F,'KK1. Movies'!AI236,'TK 15661.Bản quyền phim '!X:X)</f>
        <v>38095238</v>
      </c>
      <c r="AL236" s="295">
        <f>COUNTIF('242.BQ Phim hợp tác'!$C:$C,'KK1. Movies'!AI236)</f>
        <v>0</v>
      </c>
      <c r="AM236" s="295">
        <f>COUNTIF('TK 15661.Bản quyền phim '!F:F,'KK1. Movies'!AI236)</f>
        <v>1</v>
      </c>
      <c r="AN236" s="296">
        <f t="shared" si="3"/>
        <v>1</v>
      </c>
      <c r="AO236" s="295"/>
      <c r="AP236" s="295"/>
      <c r="AQ236" s="295"/>
      <c r="AR236" s="295"/>
      <c r="AS236" s="295"/>
    </row>
    <row r="237" spans="1:45" s="296" customFormat="1" ht="26.4" x14ac:dyDescent="0.3">
      <c r="A237" s="292">
        <f>_xlfn.AGGREGATE(3,3,$D$7:D237)</f>
        <v>231</v>
      </c>
      <c r="B237" s="143" t="s">
        <v>1402</v>
      </c>
      <c r="C237" s="341" t="s">
        <v>1547</v>
      </c>
      <c r="D237" s="160" t="s">
        <v>1546</v>
      </c>
      <c r="E237" s="160" t="s">
        <v>1545</v>
      </c>
      <c r="F237" s="164" t="s">
        <v>1544</v>
      </c>
      <c r="G237" s="164" t="s">
        <v>1372</v>
      </c>
      <c r="H237" s="144" t="s">
        <v>1371</v>
      </c>
      <c r="I237" s="162">
        <v>2018</v>
      </c>
      <c r="J237" s="145" t="s">
        <v>88</v>
      </c>
      <c r="K237" s="162">
        <v>105</v>
      </c>
      <c r="L237" s="163">
        <v>45685</v>
      </c>
      <c r="M237" s="148">
        <v>46779</v>
      </c>
      <c r="N237" s="163">
        <v>45685</v>
      </c>
      <c r="O237" s="145"/>
      <c r="P237" s="159">
        <v>0</v>
      </c>
      <c r="Q237" s="162" t="s">
        <v>20</v>
      </c>
      <c r="R237" s="145" t="s">
        <v>18</v>
      </c>
      <c r="S237" s="159" t="s">
        <v>18</v>
      </c>
      <c r="T237" s="145" t="s">
        <v>18</v>
      </c>
      <c r="U237" s="159" t="s">
        <v>18</v>
      </c>
      <c r="V237" s="159" t="s">
        <v>18</v>
      </c>
      <c r="W237" s="159" t="s">
        <v>18</v>
      </c>
      <c r="X237" s="159" t="s">
        <v>18</v>
      </c>
      <c r="Y237" s="159" t="s">
        <v>20</v>
      </c>
      <c r="Z237" s="165">
        <v>45685</v>
      </c>
      <c r="AA237" s="189">
        <v>46779</v>
      </c>
      <c r="AB237" s="162">
        <v>24</v>
      </c>
      <c r="AC237" s="293">
        <v>11</v>
      </c>
      <c r="AD237" s="145" t="s">
        <v>18</v>
      </c>
      <c r="AE237" s="145" t="s">
        <v>18</v>
      </c>
      <c r="AF237" s="150"/>
      <c r="AG237" s="155" t="s">
        <v>17</v>
      </c>
      <c r="AH237" s="294"/>
      <c r="AI237" s="164" t="s">
        <v>1543</v>
      </c>
      <c r="AJ237" s="195">
        <f>SUMIF('TK 15661.Bản quyền phim '!F:F,'KK1. Movies'!D237,'TK 15661.Bản quyền phim '!X:X)</f>
        <v>0</v>
      </c>
      <c r="AK237" s="195">
        <f>SUMIF('TK 15661.Bản quyền phim '!F:F,'KK1. Movies'!AI237,'TK 15661.Bản quyền phim '!X:X)</f>
        <v>59932952.666666672</v>
      </c>
      <c r="AL237" s="295">
        <f>COUNTIF('242.BQ Phim hợp tác'!$C:$C,'KK1. Movies'!AI237)</f>
        <v>0</v>
      </c>
      <c r="AM237" s="295">
        <f>COUNTIF('TK 15661.Bản quyền phim '!F:F,'KK1. Movies'!AI237)</f>
        <v>1</v>
      </c>
      <c r="AN237" s="296">
        <f t="shared" si="3"/>
        <v>1</v>
      </c>
      <c r="AO237" s="295"/>
      <c r="AP237" s="295"/>
      <c r="AQ237" s="295"/>
      <c r="AR237" s="295"/>
      <c r="AS237" s="295"/>
    </row>
    <row r="238" spans="1:45" s="296" customFormat="1" x14ac:dyDescent="0.3">
      <c r="A238" s="292">
        <f>_xlfn.AGGREGATE(3,3,$D$7:D238)</f>
        <v>232</v>
      </c>
      <c r="B238" s="143" t="s">
        <v>1392</v>
      </c>
      <c r="C238" s="144" t="s">
        <v>1542</v>
      </c>
      <c r="D238" s="160" t="s">
        <v>1540</v>
      </c>
      <c r="E238" s="142" t="s">
        <v>1541</v>
      </c>
      <c r="F238" s="144" t="s">
        <v>436</v>
      </c>
      <c r="G238" s="158" t="s">
        <v>198</v>
      </c>
      <c r="H238" s="164" t="s">
        <v>1208</v>
      </c>
      <c r="I238" s="159">
        <v>2022</v>
      </c>
      <c r="J238" s="159" t="s">
        <v>196</v>
      </c>
      <c r="K238" s="159">
        <v>112</v>
      </c>
      <c r="L238" s="163">
        <v>45695</v>
      </c>
      <c r="M238" s="148">
        <v>46424</v>
      </c>
      <c r="N238" s="157" t="s">
        <v>1145</v>
      </c>
      <c r="O238" s="145"/>
      <c r="P238" s="159"/>
      <c r="Q238" s="162" t="s">
        <v>20</v>
      </c>
      <c r="R238" s="145" t="s">
        <v>18</v>
      </c>
      <c r="S238" s="162" t="s">
        <v>18</v>
      </c>
      <c r="T238" s="145" t="s">
        <v>18</v>
      </c>
      <c r="U238" s="159" t="s">
        <v>20</v>
      </c>
      <c r="V238" s="159" t="s">
        <v>20</v>
      </c>
      <c r="W238" s="159" t="s">
        <v>20</v>
      </c>
      <c r="X238" s="162" t="s">
        <v>18</v>
      </c>
      <c r="Y238" s="159" t="s">
        <v>20</v>
      </c>
      <c r="Z238" s="165">
        <v>45695</v>
      </c>
      <c r="AA238" s="188">
        <v>46424</v>
      </c>
      <c r="AB238" s="159">
        <v>5</v>
      </c>
      <c r="AC238" s="293">
        <v>3</v>
      </c>
      <c r="AD238" s="145" t="s">
        <v>18</v>
      </c>
      <c r="AE238" s="145" t="s">
        <v>18</v>
      </c>
      <c r="AF238" s="150"/>
      <c r="AG238" s="155" t="s">
        <v>17</v>
      </c>
      <c r="AH238" s="294"/>
      <c r="AI238" s="300" t="s">
        <v>1540</v>
      </c>
      <c r="AJ238" s="195">
        <f>SUMIF('TK 15661.Bản quyền phim '!F:F,'KK1. Movies'!D238,'TK 15661.Bản quyền phim '!X:X)</f>
        <v>42688800</v>
      </c>
      <c r="AK238" s="195">
        <f>SUMIF('TK 15661.Bản quyền phim '!F:F,'KK1. Movies'!AI238,'TK 15661.Bản quyền phim '!X:X)</f>
        <v>42688800</v>
      </c>
      <c r="AL238" s="295">
        <f>COUNTIF('242.BQ Phim hợp tác'!$C:$C,'KK1. Movies'!AI238)</f>
        <v>0</v>
      </c>
      <c r="AM238" s="295">
        <f>COUNTIF('TK 15661.Bản quyền phim '!F:F,'KK1. Movies'!AI238)</f>
        <v>1</v>
      </c>
      <c r="AN238" s="296">
        <f t="shared" si="3"/>
        <v>1</v>
      </c>
      <c r="AO238" s="295"/>
      <c r="AP238" s="295"/>
      <c r="AQ238" s="295"/>
      <c r="AR238" s="295"/>
      <c r="AS238" s="295"/>
    </row>
    <row r="239" spans="1:45" s="296" customFormat="1" x14ac:dyDescent="0.3">
      <c r="A239" s="292">
        <f>_xlfn.AGGREGATE(3,3,$D$7:D239)</f>
        <v>233</v>
      </c>
      <c r="B239" s="143" t="s">
        <v>1392</v>
      </c>
      <c r="C239" s="341" t="s">
        <v>1539</v>
      </c>
      <c r="D239" s="146" t="s">
        <v>1538</v>
      </c>
      <c r="E239" s="143" t="s">
        <v>1537</v>
      </c>
      <c r="F239" s="143" t="s">
        <v>350</v>
      </c>
      <c r="G239" s="143" t="s">
        <v>1504</v>
      </c>
      <c r="H239" s="143" t="s">
        <v>1503</v>
      </c>
      <c r="I239" s="141">
        <v>2016</v>
      </c>
      <c r="J239" s="145" t="s">
        <v>88</v>
      </c>
      <c r="K239" s="141">
        <v>90</v>
      </c>
      <c r="L239" s="148">
        <v>42825</v>
      </c>
      <c r="M239" s="148" t="s">
        <v>1536</v>
      </c>
      <c r="N239" s="163">
        <v>42825</v>
      </c>
      <c r="O239" s="312"/>
      <c r="P239" s="141">
        <v>60</v>
      </c>
      <c r="Q239" s="145" t="s">
        <v>20</v>
      </c>
      <c r="R239" s="145" t="s">
        <v>18</v>
      </c>
      <c r="S239" s="145" t="s">
        <v>18</v>
      </c>
      <c r="T239" s="145" t="s">
        <v>18</v>
      </c>
      <c r="U239" s="145" t="s">
        <v>18</v>
      </c>
      <c r="V239" s="145" t="s">
        <v>18</v>
      </c>
      <c r="W239" s="145" t="s">
        <v>18</v>
      </c>
      <c r="X239" s="159" t="s">
        <v>20</v>
      </c>
      <c r="Y239" s="145" t="s">
        <v>194</v>
      </c>
      <c r="Z239" s="148">
        <v>42825</v>
      </c>
      <c r="AA239" s="157" t="s">
        <v>1502</v>
      </c>
      <c r="AB239" s="141">
        <v>36</v>
      </c>
      <c r="AC239" s="151">
        <v>12</v>
      </c>
      <c r="AD239" s="145" t="s">
        <v>18</v>
      </c>
      <c r="AE239" s="145" t="s">
        <v>18</v>
      </c>
      <c r="AF239" s="150"/>
      <c r="AG239" s="155" t="s">
        <v>17</v>
      </c>
      <c r="AH239" s="294"/>
      <c r="AI239" s="304" t="s">
        <v>3168</v>
      </c>
      <c r="AJ239" s="195">
        <f>SUMIF('TK 15661.Bản quyền phim '!F:F,'KK1. Movies'!D239,'TK 15661.Bản quyền phim '!X:X)</f>
        <v>0</v>
      </c>
      <c r="AK239" s="195">
        <f>SUMIF('TK 15661.Bản quyền phim '!F:F,'KK1. Movies'!AI239,'TK 15661.Bản quyền phim '!X:X)</f>
        <v>0</v>
      </c>
      <c r="AL239" s="295">
        <f>COUNTIF('242.BQ Phim hợp tác'!$C:$C,'KK1. Movies'!AI239)</f>
        <v>1</v>
      </c>
      <c r="AM239" s="295">
        <f>COUNTIF('TK 15661.Bản quyền phim '!F:F,'KK1. Movies'!AI239)</f>
        <v>0</v>
      </c>
      <c r="AN239" s="296">
        <f t="shared" si="3"/>
        <v>1</v>
      </c>
      <c r="AO239" s="295"/>
      <c r="AP239" s="295"/>
      <c r="AQ239" s="295"/>
      <c r="AR239" s="295"/>
      <c r="AS239" s="295"/>
    </row>
    <row r="240" spans="1:45" s="296" customFormat="1" ht="26.4" x14ac:dyDescent="0.3">
      <c r="A240" s="292">
        <f>_xlfn.AGGREGATE(3,3,$D$7:D240)</f>
        <v>234</v>
      </c>
      <c r="B240" s="156" t="s">
        <v>1145</v>
      </c>
      <c r="C240" s="144" t="s">
        <v>1534</v>
      </c>
      <c r="D240" s="160" t="s">
        <v>1533</v>
      </c>
      <c r="E240" s="142" t="s">
        <v>1535</v>
      </c>
      <c r="F240" s="144" t="s">
        <v>511</v>
      </c>
      <c r="G240" s="158" t="s">
        <v>1336</v>
      </c>
      <c r="H240" s="164" t="s">
        <v>1335</v>
      </c>
      <c r="I240" s="159">
        <v>2023</v>
      </c>
      <c r="J240" s="159" t="s">
        <v>133</v>
      </c>
      <c r="K240" s="159">
        <v>84</v>
      </c>
      <c r="L240" s="163">
        <v>45743</v>
      </c>
      <c r="M240" s="161">
        <v>46838</v>
      </c>
      <c r="N240" s="157" t="s">
        <v>1145</v>
      </c>
      <c r="O240" s="145"/>
      <c r="P240" s="145"/>
      <c r="Q240" s="159" t="s">
        <v>20</v>
      </c>
      <c r="R240" s="145" t="s">
        <v>18</v>
      </c>
      <c r="S240" s="162" t="s">
        <v>18</v>
      </c>
      <c r="T240" s="145" t="s">
        <v>18</v>
      </c>
      <c r="U240" s="162" t="s">
        <v>18</v>
      </c>
      <c r="V240" s="162" t="s">
        <v>18</v>
      </c>
      <c r="W240" s="162" t="s">
        <v>18</v>
      </c>
      <c r="X240" s="162" t="s">
        <v>18</v>
      </c>
      <c r="Y240" s="162" t="s">
        <v>18</v>
      </c>
      <c r="Z240" s="161">
        <v>45743</v>
      </c>
      <c r="AA240" s="188">
        <v>46838</v>
      </c>
      <c r="AB240" s="159">
        <v>24</v>
      </c>
      <c r="AC240" s="293">
        <v>7</v>
      </c>
      <c r="AD240" s="145" t="s">
        <v>18</v>
      </c>
      <c r="AE240" s="145" t="s">
        <v>18</v>
      </c>
      <c r="AF240" s="150"/>
      <c r="AG240" s="155" t="s">
        <v>17</v>
      </c>
      <c r="AH240" s="294" t="s">
        <v>1534</v>
      </c>
      <c r="AI240" s="300" t="s">
        <v>1533</v>
      </c>
      <c r="AJ240" s="195">
        <f>SUMIF('TK 15661.Bản quyền phim '!F:F,'KK1. Movies'!D240,'TK 15661.Bản quyền phim '!X:X)</f>
        <v>28571428.666666664</v>
      </c>
      <c r="AK240" s="195">
        <f>SUMIF('TK 15661.Bản quyền phim '!F:F,'KK1. Movies'!AI240,'TK 15661.Bản quyền phim '!X:X)</f>
        <v>28571428.666666664</v>
      </c>
      <c r="AL240" s="295">
        <f>COUNTIF('242.BQ Phim hợp tác'!$C:$C,'KK1. Movies'!AI240)</f>
        <v>0</v>
      </c>
      <c r="AM240" s="295">
        <f>COUNTIF('TK 15661.Bản quyền phim '!F:F,'KK1. Movies'!AI240)</f>
        <v>1</v>
      </c>
      <c r="AN240" s="296">
        <f t="shared" si="3"/>
        <v>1</v>
      </c>
      <c r="AO240" s="295"/>
      <c r="AP240" s="295"/>
      <c r="AQ240" s="295"/>
      <c r="AR240" s="295"/>
      <c r="AS240" s="295"/>
    </row>
    <row r="241" spans="1:45" s="296" customFormat="1" ht="26.4" x14ac:dyDescent="0.3">
      <c r="A241" s="292">
        <f>_xlfn.AGGREGATE(3,3,$D$7:D241)</f>
        <v>235</v>
      </c>
      <c r="B241" s="143" t="s">
        <v>1402</v>
      </c>
      <c r="C241" s="144" t="s">
        <v>1532</v>
      </c>
      <c r="D241" s="160" t="s">
        <v>1528</v>
      </c>
      <c r="E241" s="144" t="s">
        <v>1531</v>
      </c>
      <c r="F241" s="144" t="s">
        <v>511</v>
      </c>
      <c r="G241" s="164" t="s">
        <v>1372</v>
      </c>
      <c r="H241" s="144" t="s">
        <v>1530</v>
      </c>
      <c r="I241" s="162">
        <v>2019</v>
      </c>
      <c r="J241" s="162" t="s">
        <v>1529</v>
      </c>
      <c r="K241" s="162">
        <v>98</v>
      </c>
      <c r="L241" s="148">
        <v>45372</v>
      </c>
      <c r="M241" s="165">
        <v>46466</v>
      </c>
      <c r="N241" s="157">
        <v>45456</v>
      </c>
      <c r="O241" s="145" t="s">
        <v>553</v>
      </c>
      <c r="P241" s="159">
        <v>12</v>
      </c>
      <c r="Q241" s="162" t="s">
        <v>20</v>
      </c>
      <c r="R241" s="145" t="s">
        <v>18</v>
      </c>
      <c r="S241" s="145" t="s">
        <v>18</v>
      </c>
      <c r="T241" s="145" t="s">
        <v>18</v>
      </c>
      <c r="U241" s="145" t="s">
        <v>18</v>
      </c>
      <c r="V241" s="145" t="s">
        <v>18</v>
      </c>
      <c r="W241" s="145" t="s">
        <v>18</v>
      </c>
      <c r="X241" s="145" t="s">
        <v>18</v>
      </c>
      <c r="Y241" s="159" t="s">
        <v>20</v>
      </c>
      <c r="Z241" s="148">
        <v>45372</v>
      </c>
      <c r="AA241" s="165">
        <v>46466</v>
      </c>
      <c r="AB241" s="162">
        <v>24</v>
      </c>
      <c r="AC241" s="293">
        <v>15</v>
      </c>
      <c r="AD241" s="145" t="s">
        <v>18</v>
      </c>
      <c r="AE241" s="145" t="s">
        <v>18</v>
      </c>
      <c r="AF241" s="150"/>
      <c r="AG241" s="155" t="s">
        <v>17</v>
      </c>
      <c r="AH241" s="294"/>
      <c r="AI241" s="300" t="s">
        <v>1528</v>
      </c>
      <c r="AJ241" s="195">
        <f>SUMIF('TK 15661.Bản quyền phim '!F:F,'KK1. Movies'!D241,'TK 15661.Bản quyền phim '!X:X)</f>
        <v>33333492</v>
      </c>
      <c r="AK241" s="195">
        <f>SUMIF('TK 15661.Bản quyền phim '!F:F,'KK1. Movies'!AI241,'TK 15661.Bản quyền phim '!X:X)</f>
        <v>33333492</v>
      </c>
      <c r="AL241" s="295">
        <f>COUNTIF('242.BQ Phim hợp tác'!$C:$C,'KK1. Movies'!AI241)</f>
        <v>0</v>
      </c>
      <c r="AM241" s="295">
        <f>COUNTIF('TK 15661.Bản quyền phim '!F:F,'KK1. Movies'!AI241)</f>
        <v>1</v>
      </c>
      <c r="AN241" s="296">
        <f t="shared" si="3"/>
        <v>1</v>
      </c>
      <c r="AO241" s="295"/>
      <c r="AP241" s="295"/>
      <c r="AQ241" s="295"/>
      <c r="AR241" s="295"/>
      <c r="AS241" s="295"/>
    </row>
    <row r="242" spans="1:45" s="296" customFormat="1" ht="26.4" x14ac:dyDescent="0.3">
      <c r="A242" s="292">
        <f>_xlfn.AGGREGATE(3,3,$D$7:D242)</f>
        <v>236</v>
      </c>
      <c r="B242" s="156" t="s">
        <v>1145</v>
      </c>
      <c r="C242" s="144" t="s">
        <v>1526</v>
      </c>
      <c r="D242" s="160" t="s">
        <v>1525</v>
      </c>
      <c r="E242" s="142" t="s">
        <v>1527</v>
      </c>
      <c r="F242" s="144" t="s">
        <v>381</v>
      </c>
      <c r="G242" s="158" t="s">
        <v>1336</v>
      </c>
      <c r="H242" s="144" t="s">
        <v>1335</v>
      </c>
      <c r="I242" s="159">
        <v>2024</v>
      </c>
      <c r="J242" s="159" t="s">
        <v>133</v>
      </c>
      <c r="K242" s="159">
        <v>134</v>
      </c>
      <c r="L242" s="163">
        <v>45730</v>
      </c>
      <c r="M242" s="161">
        <v>46825</v>
      </c>
      <c r="N242" s="157" t="s">
        <v>1145</v>
      </c>
      <c r="O242" s="145"/>
      <c r="P242" s="145"/>
      <c r="Q242" s="159" t="s">
        <v>20</v>
      </c>
      <c r="R242" s="145" t="s">
        <v>18</v>
      </c>
      <c r="S242" s="162" t="s">
        <v>18</v>
      </c>
      <c r="T242" s="145" t="s">
        <v>18</v>
      </c>
      <c r="U242" s="162" t="s">
        <v>18</v>
      </c>
      <c r="V242" s="162" t="s">
        <v>18</v>
      </c>
      <c r="W242" s="162" t="s">
        <v>18</v>
      </c>
      <c r="X242" s="162" t="s">
        <v>18</v>
      </c>
      <c r="Y242" s="162" t="s">
        <v>18</v>
      </c>
      <c r="Z242" s="161">
        <v>45778</v>
      </c>
      <c r="AA242" s="188">
        <v>46873</v>
      </c>
      <c r="AB242" s="159">
        <v>24</v>
      </c>
      <c r="AC242" s="293">
        <v>20</v>
      </c>
      <c r="AD242" s="145" t="s">
        <v>18</v>
      </c>
      <c r="AE242" s="145" t="s">
        <v>18</v>
      </c>
      <c r="AF242" s="150"/>
      <c r="AG242" s="155" t="s">
        <v>17</v>
      </c>
      <c r="AH242" s="294" t="s">
        <v>1526</v>
      </c>
      <c r="AI242" s="300" t="s">
        <v>1525</v>
      </c>
      <c r="AJ242" s="195">
        <f>SUMIF('TK 15661.Bản quyền phim '!F:F,'KK1. Movies'!D242,'TK 15661.Bản quyền phim '!X:X)</f>
        <v>80952380.666666657</v>
      </c>
      <c r="AK242" s="195">
        <f>SUMIF('TK 15661.Bản quyền phim '!F:F,'KK1. Movies'!AI242,'TK 15661.Bản quyền phim '!X:X)</f>
        <v>80952380.666666657</v>
      </c>
      <c r="AL242" s="295">
        <f>COUNTIF('242.BQ Phim hợp tác'!$C:$C,'KK1. Movies'!AI242)</f>
        <v>0</v>
      </c>
      <c r="AM242" s="295">
        <f>COUNTIF('TK 15661.Bản quyền phim '!F:F,'KK1. Movies'!AI242)</f>
        <v>1</v>
      </c>
      <c r="AN242" s="296">
        <f t="shared" si="3"/>
        <v>1</v>
      </c>
      <c r="AO242" s="295"/>
      <c r="AP242" s="295"/>
      <c r="AQ242" s="295"/>
      <c r="AR242" s="295"/>
      <c r="AS242" s="295"/>
    </row>
    <row r="243" spans="1:45" s="296" customFormat="1" ht="26.4" x14ac:dyDescent="0.3">
      <c r="A243" s="292">
        <f>_xlfn.AGGREGATE(3,3,$D$7:D243)</f>
        <v>237</v>
      </c>
      <c r="B243" s="143" t="s">
        <v>1402</v>
      </c>
      <c r="C243" s="144" t="s">
        <v>1524</v>
      </c>
      <c r="D243" s="160" t="s">
        <v>1522</v>
      </c>
      <c r="E243" s="166" t="s">
        <v>1523</v>
      </c>
      <c r="F243" s="164" t="s">
        <v>394</v>
      </c>
      <c r="G243" s="164" t="s">
        <v>198</v>
      </c>
      <c r="H243" s="164" t="s">
        <v>197</v>
      </c>
      <c r="I243" s="159">
        <v>2020</v>
      </c>
      <c r="J243" s="162" t="s">
        <v>196</v>
      </c>
      <c r="K243" s="159">
        <v>113</v>
      </c>
      <c r="L243" s="148">
        <v>45360</v>
      </c>
      <c r="M243" s="148">
        <v>46089</v>
      </c>
      <c r="N243" s="157">
        <v>45360</v>
      </c>
      <c r="O243" s="145" t="s">
        <v>584</v>
      </c>
      <c r="P243" s="159" t="s">
        <v>211</v>
      </c>
      <c r="Q243" s="159" t="s">
        <v>20</v>
      </c>
      <c r="R243" s="145" t="s">
        <v>18</v>
      </c>
      <c r="S243" s="159" t="s">
        <v>18</v>
      </c>
      <c r="T243" s="145" t="s">
        <v>18</v>
      </c>
      <c r="U243" s="159" t="s">
        <v>20</v>
      </c>
      <c r="V243" s="159" t="s">
        <v>20</v>
      </c>
      <c r="W243" s="159" t="s">
        <v>20</v>
      </c>
      <c r="X243" s="159" t="s">
        <v>20</v>
      </c>
      <c r="Y243" s="159" t="s">
        <v>18</v>
      </c>
      <c r="Z243" s="148">
        <v>45360</v>
      </c>
      <c r="AA243" s="148">
        <v>46089</v>
      </c>
      <c r="AB243" s="162">
        <v>6</v>
      </c>
      <c r="AC243" s="162">
        <v>5</v>
      </c>
      <c r="AD243" s="145" t="s">
        <v>18</v>
      </c>
      <c r="AE243" s="145" t="s">
        <v>18</v>
      </c>
      <c r="AF243" s="150"/>
      <c r="AG243" s="155" t="s">
        <v>17</v>
      </c>
      <c r="AH243" s="294"/>
      <c r="AI243" s="299" t="s">
        <v>1522</v>
      </c>
      <c r="AJ243" s="195">
        <f>SUMIF('TK 15661.Bản quyền phim '!F:F,'KK1. Movies'!D243,'TK 15661.Bản quyền phim '!X:X)</f>
        <v>0</v>
      </c>
      <c r="AK243" s="195">
        <f>SUMIF('TK 15661.Bản quyền phim '!F:F,'KK1. Movies'!AI243,'TK 15661.Bản quyền phim '!X:X)</f>
        <v>0</v>
      </c>
      <c r="AL243" s="295">
        <f>COUNTIF('242.BQ Phim hợp tác'!$C:$C,'KK1. Movies'!AI243)</f>
        <v>0</v>
      </c>
      <c r="AM243" s="295">
        <f>COUNTIF('TK 15661.Bản quyền phim '!F:F,'KK1. Movies'!AI243)</f>
        <v>1</v>
      </c>
      <c r="AN243" s="296">
        <f t="shared" si="3"/>
        <v>1</v>
      </c>
      <c r="AO243" s="295"/>
      <c r="AP243" s="295"/>
      <c r="AQ243" s="295"/>
      <c r="AR243" s="295"/>
      <c r="AS243" s="295"/>
    </row>
    <row r="244" spans="1:45" s="296" customFormat="1" ht="26.4" x14ac:dyDescent="0.3">
      <c r="A244" s="292">
        <f>_xlfn.AGGREGATE(3,3,$D$7:D244)</f>
        <v>238</v>
      </c>
      <c r="B244" s="143" t="s">
        <v>1402</v>
      </c>
      <c r="C244" s="341" t="s">
        <v>1521</v>
      </c>
      <c r="D244" s="160" t="s">
        <v>1519</v>
      </c>
      <c r="E244" s="166" t="s">
        <v>1520</v>
      </c>
      <c r="F244" s="144" t="s">
        <v>511</v>
      </c>
      <c r="G244" s="164" t="s">
        <v>198</v>
      </c>
      <c r="H244" s="164" t="s">
        <v>197</v>
      </c>
      <c r="I244" s="159">
        <v>2021</v>
      </c>
      <c r="J244" s="162" t="s">
        <v>196</v>
      </c>
      <c r="K244" s="159">
        <v>103</v>
      </c>
      <c r="L244" s="148">
        <v>45646</v>
      </c>
      <c r="M244" s="148">
        <v>46375</v>
      </c>
      <c r="N244" s="157">
        <v>45646</v>
      </c>
      <c r="O244" s="145" t="s">
        <v>584</v>
      </c>
      <c r="P244" s="168">
        <v>12</v>
      </c>
      <c r="Q244" s="159" t="s">
        <v>20</v>
      </c>
      <c r="R244" s="145" t="s">
        <v>18</v>
      </c>
      <c r="S244" s="159" t="s">
        <v>18</v>
      </c>
      <c r="T244" s="145" t="s">
        <v>18</v>
      </c>
      <c r="U244" s="159" t="s">
        <v>20</v>
      </c>
      <c r="V244" s="159" t="s">
        <v>20</v>
      </c>
      <c r="W244" s="159" t="s">
        <v>20</v>
      </c>
      <c r="X244" s="159" t="s">
        <v>20</v>
      </c>
      <c r="Y244" s="159" t="s">
        <v>18</v>
      </c>
      <c r="Z244" s="148">
        <v>45646</v>
      </c>
      <c r="AA244" s="148">
        <v>46375</v>
      </c>
      <c r="AB244" s="162">
        <v>6</v>
      </c>
      <c r="AC244" s="162">
        <v>3</v>
      </c>
      <c r="AD244" s="145" t="s">
        <v>18</v>
      </c>
      <c r="AE244" s="145" t="s">
        <v>18</v>
      </c>
      <c r="AF244" s="150"/>
      <c r="AG244" s="155" t="s">
        <v>17</v>
      </c>
      <c r="AH244" s="294"/>
      <c r="AI244" s="299" t="s">
        <v>1519</v>
      </c>
      <c r="AJ244" s="195">
        <f>SUMIF('TK 15661.Bản quyền phim '!F:F,'KK1. Movies'!D244,'TK 15661.Bản quyền phim '!X:X)</f>
        <v>0</v>
      </c>
      <c r="AK244" s="195">
        <f>SUMIF('TK 15661.Bản quyền phim '!F:F,'KK1. Movies'!AI244,'TK 15661.Bản quyền phim '!X:X)</f>
        <v>0</v>
      </c>
      <c r="AL244" s="295">
        <f>COUNTIF('242.BQ Phim hợp tác'!$C:$C,'KK1. Movies'!AI244)</f>
        <v>0</v>
      </c>
      <c r="AM244" s="295">
        <f>COUNTIF('TK 15661.Bản quyền phim '!F:F,'KK1. Movies'!AI244)</f>
        <v>1</v>
      </c>
      <c r="AN244" s="296">
        <f t="shared" si="3"/>
        <v>1</v>
      </c>
      <c r="AO244" s="295"/>
      <c r="AP244" s="295"/>
      <c r="AQ244" s="295"/>
      <c r="AR244" s="295"/>
      <c r="AS244" s="295"/>
    </row>
    <row r="245" spans="1:45" s="296" customFormat="1" ht="26.4" x14ac:dyDescent="0.3">
      <c r="A245" s="292">
        <f>_xlfn.AGGREGATE(3,3,$D$7:D245)</f>
        <v>239</v>
      </c>
      <c r="B245" s="143" t="s">
        <v>1402</v>
      </c>
      <c r="C245" s="144" t="s">
        <v>1518</v>
      </c>
      <c r="D245" s="160" t="s">
        <v>1517</v>
      </c>
      <c r="E245" s="166" t="s">
        <v>1516</v>
      </c>
      <c r="F245" s="164" t="s">
        <v>824</v>
      </c>
      <c r="G245" s="164" t="s">
        <v>1515</v>
      </c>
      <c r="H245" s="164" t="s">
        <v>1514</v>
      </c>
      <c r="I245" s="159">
        <v>2022</v>
      </c>
      <c r="J245" s="162" t="s">
        <v>178</v>
      </c>
      <c r="K245" s="159">
        <v>101</v>
      </c>
      <c r="L245" s="148">
        <v>45436</v>
      </c>
      <c r="M245" s="165">
        <v>46530</v>
      </c>
      <c r="N245" s="157">
        <v>45436</v>
      </c>
      <c r="O245" s="145" t="s">
        <v>584</v>
      </c>
      <c r="P245" s="159" t="s">
        <v>1513</v>
      </c>
      <c r="Q245" s="159" t="s">
        <v>20</v>
      </c>
      <c r="R245" s="145" t="s">
        <v>18</v>
      </c>
      <c r="S245" s="159" t="s">
        <v>18</v>
      </c>
      <c r="T245" s="145" t="s">
        <v>18</v>
      </c>
      <c r="U245" s="159" t="s">
        <v>20</v>
      </c>
      <c r="V245" s="159" t="s">
        <v>18</v>
      </c>
      <c r="W245" s="159" t="s">
        <v>18</v>
      </c>
      <c r="X245" s="145" t="s">
        <v>20</v>
      </c>
      <c r="Y245" s="159" t="s">
        <v>20</v>
      </c>
      <c r="Z245" s="148">
        <v>45436</v>
      </c>
      <c r="AA245" s="165">
        <v>46530</v>
      </c>
      <c r="AB245" s="162" t="s">
        <v>130</v>
      </c>
      <c r="AC245" s="160">
        <v>23</v>
      </c>
      <c r="AD245" s="145" t="s">
        <v>18</v>
      </c>
      <c r="AE245" s="145" t="s">
        <v>18</v>
      </c>
      <c r="AF245" s="150"/>
      <c r="AG245" s="155" t="s">
        <v>17</v>
      </c>
      <c r="AH245" s="294"/>
      <c r="AI245" s="300" t="s">
        <v>1512</v>
      </c>
      <c r="AJ245" s="195">
        <f>SUMIF('TK 15661.Bản quyền phim '!F:F,'KK1. Movies'!D245,'TK 15661.Bản quyền phim '!X:X)</f>
        <v>0</v>
      </c>
      <c r="AK245" s="195">
        <f>SUMIF('TK 15661.Bản quyền phim '!F:F,'KK1. Movies'!AI245,'TK 15661.Bản quyền phim '!X:X)</f>
        <v>33737936.666666679</v>
      </c>
      <c r="AL245" s="295">
        <f>COUNTIF('242.BQ Phim hợp tác'!$C:$C,'KK1. Movies'!AI245)</f>
        <v>0</v>
      </c>
      <c r="AM245" s="295">
        <f>COUNTIF('TK 15661.Bản quyền phim '!F:F,'KK1. Movies'!AI245)</f>
        <v>1</v>
      </c>
      <c r="AN245" s="296">
        <f t="shared" si="3"/>
        <v>1</v>
      </c>
      <c r="AO245" s="295"/>
      <c r="AP245" s="295"/>
      <c r="AQ245" s="295"/>
      <c r="AR245" s="295"/>
      <c r="AS245" s="295"/>
    </row>
    <row r="246" spans="1:45" s="296" customFormat="1" x14ac:dyDescent="0.3">
      <c r="A246" s="292">
        <f>_xlfn.AGGREGATE(3,3,$D$7:D246)</f>
        <v>240</v>
      </c>
      <c r="B246" s="156" t="s">
        <v>1145</v>
      </c>
      <c r="C246" s="144" t="s">
        <v>1511</v>
      </c>
      <c r="D246" s="160" t="s">
        <v>1508</v>
      </c>
      <c r="E246" s="160" t="s">
        <v>1510</v>
      </c>
      <c r="F246" s="164" t="s">
        <v>1509</v>
      </c>
      <c r="G246" s="164" t="s">
        <v>1372</v>
      </c>
      <c r="H246" s="144" t="s">
        <v>1371</v>
      </c>
      <c r="I246" s="162">
        <v>2023</v>
      </c>
      <c r="J246" s="162" t="s">
        <v>133</v>
      </c>
      <c r="K246" s="162">
        <v>121</v>
      </c>
      <c r="L246" s="163">
        <v>45735</v>
      </c>
      <c r="M246" s="148">
        <v>46830</v>
      </c>
      <c r="N246" s="157" t="s">
        <v>1145</v>
      </c>
      <c r="O246" s="145"/>
      <c r="P246" s="159">
        <v>12</v>
      </c>
      <c r="Q246" s="162" t="s">
        <v>20</v>
      </c>
      <c r="R246" s="145" t="s">
        <v>18</v>
      </c>
      <c r="S246" s="159" t="s">
        <v>18</v>
      </c>
      <c r="T246" s="145" t="s">
        <v>18</v>
      </c>
      <c r="U246" s="159" t="s">
        <v>18</v>
      </c>
      <c r="V246" s="159" t="s">
        <v>18</v>
      </c>
      <c r="W246" s="159" t="s">
        <v>18</v>
      </c>
      <c r="X246" s="159" t="s">
        <v>18</v>
      </c>
      <c r="Y246" s="159" t="s">
        <v>20</v>
      </c>
      <c r="Z246" s="165">
        <v>45735</v>
      </c>
      <c r="AA246" s="189">
        <v>46830</v>
      </c>
      <c r="AB246" s="162">
        <v>24</v>
      </c>
      <c r="AC246" s="293">
        <v>5</v>
      </c>
      <c r="AD246" s="145" t="s">
        <v>18</v>
      </c>
      <c r="AE246" s="145" t="s">
        <v>18</v>
      </c>
      <c r="AF246" s="150"/>
      <c r="AG246" s="155" t="s">
        <v>17</v>
      </c>
      <c r="AH246" s="294"/>
      <c r="AI246" s="300" t="s">
        <v>1508</v>
      </c>
      <c r="AJ246" s="195">
        <f>SUMIF('TK 15661.Bản quyền phim '!F:F,'KK1. Movies'!D246,'TK 15661.Bản quyền phim '!X:X)</f>
        <v>59932952.666666672</v>
      </c>
      <c r="AK246" s="195">
        <f>SUMIF('TK 15661.Bản quyền phim '!F:F,'KK1. Movies'!AI246,'TK 15661.Bản quyền phim '!X:X)</f>
        <v>59932952.666666672</v>
      </c>
      <c r="AL246" s="295">
        <f>COUNTIF('242.BQ Phim hợp tác'!$C:$C,'KK1. Movies'!AI246)</f>
        <v>0</v>
      </c>
      <c r="AM246" s="295">
        <f>COUNTIF('TK 15661.Bản quyền phim '!F:F,'KK1. Movies'!AI246)</f>
        <v>1</v>
      </c>
      <c r="AN246" s="296">
        <f t="shared" si="3"/>
        <v>1</v>
      </c>
      <c r="AO246" s="295"/>
      <c r="AP246" s="295"/>
      <c r="AQ246" s="295"/>
      <c r="AR246" s="295"/>
      <c r="AS246" s="295"/>
    </row>
    <row r="247" spans="1:45" s="296" customFormat="1" ht="26.4" x14ac:dyDescent="0.3">
      <c r="A247" s="292">
        <f>_xlfn.AGGREGATE(3,3,$D$7:D247)</f>
        <v>241</v>
      </c>
      <c r="B247" s="143" t="s">
        <v>1392</v>
      </c>
      <c r="C247" s="341" t="s">
        <v>1507</v>
      </c>
      <c r="D247" s="146" t="s">
        <v>1506</v>
      </c>
      <c r="E247" s="144" t="s">
        <v>1505</v>
      </c>
      <c r="F247" s="143" t="s">
        <v>385</v>
      </c>
      <c r="G247" s="143" t="s">
        <v>1504</v>
      </c>
      <c r="H247" s="143" t="s">
        <v>1503</v>
      </c>
      <c r="I247" s="141">
        <v>2016</v>
      </c>
      <c r="J247" s="145" t="s">
        <v>88</v>
      </c>
      <c r="K247" s="162">
        <v>110</v>
      </c>
      <c r="L247" s="148">
        <v>42720</v>
      </c>
      <c r="M247" s="301" t="s">
        <v>1502</v>
      </c>
      <c r="N247" s="301">
        <v>42720</v>
      </c>
      <c r="O247" s="312"/>
      <c r="P247" s="141">
        <v>60</v>
      </c>
      <c r="Q247" s="145" t="s">
        <v>20</v>
      </c>
      <c r="R247" s="145" t="s">
        <v>18</v>
      </c>
      <c r="S247" s="145" t="s">
        <v>18</v>
      </c>
      <c r="T247" s="145" t="s">
        <v>18</v>
      </c>
      <c r="U247" s="145" t="s">
        <v>18</v>
      </c>
      <c r="V247" s="145" t="s">
        <v>18</v>
      </c>
      <c r="W247" s="145" t="s">
        <v>18</v>
      </c>
      <c r="X247" s="145" t="s">
        <v>20</v>
      </c>
      <c r="Y247" s="145" t="s">
        <v>194</v>
      </c>
      <c r="Z247" s="148">
        <v>42720</v>
      </c>
      <c r="AA247" s="157" t="s">
        <v>1502</v>
      </c>
      <c r="AB247" s="141">
        <v>36</v>
      </c>
      <c r="AC247" s="151">
        <v>4</v>
      </c>
      <c r="AD247" s="145" t="s">
        <v>18</v>
      </c>
      <c r="AE247" s="145" t="s">
        <v>18</v>
      </c>
      <c r="AF247" s="150"/>
      <c r="AG247" s="155" t="s">
        <v>17</v>
      </c>
      <c r="AH247" s="294"/>
      <c r="AI247" s="304" t="s">
        <v>3170</v>
      </c>
      <c r="AJ247" s="195">
        <f>SUMIF('TK 15661.Bản quyền phim '!F:F,'KK1. Movies'!D247,'TK 15661.Bản quyền phim '!X:X)</f>
        <v>0</v>
      </c>
      <c r="AK247" s="195">
        <f>SUMIF('TK 15661.Bản quyền phim '!F:F,'KK1. Movies'!AI247,'TK 15661.Bản quyền phim '!X:X)</f>
        <v>0</v>
      </c>
      <c r="AL247" s="295">
        <f>COUNTIF('242.BQ Phim hợp tác'!$C:$C,'KK1. Movies'!AI247)</f>
        <v>1</v>
      </c>
      <c r="AM247" s="295">
        <f>COUNTIF('TK 15661.Bản quyền phim '!F:F,'KK1. Movies'!AI247)</f>
        <v>0</v>
      </c>
      <c r="AN247" s="296">
        <f t="shared" si="3"/>
        <v>1</v>
      </c>
      <c r="AO247" s="295"/>
      <c r="AP247" s="295"/>
      <c r="AQ247" s="295"/>
      <c r="AR247" s="295"/>
      <c r="AS247" s="295"/>
    </row>
    <row r="248" spans="1:45" s="296" customFormat="1" ht="26.4" x14ac:dyDescent="0.3">
      <c r="A248" s="292">
        <f>_xlfn.AGGREGATE(3,3,$D$7:D248)</f>
        <v>242</v>
      </c>
      <c r="B248" s="143" t="s">
        <v>1422</v>
      </c>
      <c r="C248" s="144" t="s">
        <v>1501</v>
      </c>
      <c r="D248" s="146" t="s">
        <v>1500</v>
      </c>
      <c r="E248" s="144" t="s">
        <v>1499</v>
      </c>
      <c r="F248" s="144" t="s">
        <v>1013</v>
      </c>
      <c r="G248" s="143" t="s">
        <v>1324</v>
      </c>
      <c r="H248" s="144" t="s">
        <v>1418</v>
      </c>
      <c r="I248" s="297">
        <v>2017</v>
      </c>
      <c r="J248" s="150" t="s">
        <v>196</v>
      </c>
      <c r="K248" s="297">
        <v>107</v>
      </c>
      <c r="L248" s="148">
        <v>45021</v>
      </c>
      <c r="M248" s="153">
        <v>46116</v>
      </c>
      <c r="N248" s="152">
        <v>45021</v>
      </c>
      <c r="O248" s="309" t="s">
        <v>584</v>
      </c>
      <c r="P248" s="141">
        <v>12</v>
      </c>
      <c r="Q248" s="145" t="s">
        <v>20</v>
      </c>
      <c r="R248" s="145" t="s">
        <v>18</v>
      </c>
      <c r="S248" s="145" t="s">
        <v>18</v>
      </c>
      <c r="T248" s="145" t="s">
        <v>18</v>
      </c>
      <c r="U248" s="145" t="s">
        <v>18</v>
      </c>
      <c r="V248" s="145" t="s">
        <v>18</v>
      </c>
      <c r="W248" s="145" t="s">
        <v>18</v>
      </c>
      <c r="X248" s="159" t="s">
        <v>20</v>
      </c>
      <c r="Y248" s="145" t="s">
        <v>18</v>
      </c>
      <c r="Z248" s="148">
        <v>45021</v>
      </c>
      <c r="AA248" s="153">
        <v>46116</v>
      </c>
      <c r="AB248" s="141" t="s">
        <v>1394</v>
      </c>
      <c r="AC248" s="293">
        <v>36</v>
      </c>
      <c r="AD248" s="145" t="s">
        <v>18</v>
      </c>
      <c r="AE248" s="145" t="s">
        <v>18</v>
      </c>
      <c r="AF248" s="150"/>
      <c r="AG248" s="155" t="s">
        <v>17</v>
      </c>
      <c r="AH248" s="294"/>
      <c r="AI248" s="300" t="s">
        <v>1498</v>
      </c>
      <c r="AJ248" s="195">
        <f>SUMIF('TK 15661.Bản quyền phim '!F:F,'KK1. Movies'!D248,'TK 15661.Bản quyền phim '!X:X)</f>
        <v>0</v>
      </c>
      <c r="AK248" s="195">
        <f>SUMIF('TK 15661.Bản quyền phim '!F:F,'KK1. Movies'!AI248,'TK 15661.Bản quyền phim '!X:X)</f>
        <v>0</v>
      </c>
      <c r="AL248" s="295">
        <f>COUNTIF('242.BQ Phim hợp tác'!$C:$C,'KK1. Movies'!AI248)</f>
        <v>0</v>
      </c>
      <c r="AM248" s="295">
        <f>COUNTIF('TK 15661.Bản quyền phim '!F:F,'KK1. Movies'!AI248)</f>
        <v>1</v>
      </c>
      <c r="AN248" s="296">
        <f t="shared" si="3"/>
        <v>1</v>
      </c>
      <c r="AO248" s="295"/>
      <c r="AP248" s="295"/>
      <c r="AQ248" s="295"/>
      <c r="AR248" s="295"/>
      <c r="AS248" s="295"/>
    </row>
    <row r="249" spans="1:45" s="296" customFormat="1" ht="26.4" x14ac:dyDescent="0.3">
      <c r="A249" s="292">
        <f>_xlfn.AGGREGATE(3,3,$D$7:D249)</f>
        <v>243</v>
      </c>
      <c r="B249" s="143" t="s">
        <v>1402</v>
      </c>
      <c r="C249" s="144" t="s">
        <v>1497</v>
      </c>
      <c r="D249" s="146" t="s">
        <v>1495</v>
      </c>
      <c r="E249" s="144" t="s">
        <v>1496</v>
      </c>
      <c r="F249" s="144" t="s">
        <v>1013</v>
      </c>
      <c r="G249" s="143" t="s">
        <v>1389</v>
      </c>
      <c r="H249" s="144" t="s">
        <v>1388</v>
      </c>
      <c r="I249" s="297">
        <v>2020</v>
      </c>
      <c r="J249" s="145" t="s">
        <v>196</v>
      </c>
      <c r="K249" s="297">
        <v>91</v>
      </c>
      <c r="L249" s="148">
        <v>45127</v>
      </c>
      <c r="M249" s="153">
        <v>46222</v>
      </c>
      <c r="N249" s="152">
        <v>45134</v>
      </c>
      <c r="O249" s="309" t="s">
        <v>584</v>
      </c>
      <c r="P249" s="145" t="s">
        <v>1387</v>
      </c>
      <c r="Q249" s="145" t="s">
        <v>20</v>
      </c>
      <c r="R249" s="145" t="s">
        <v>18</v>
      </c>
      <c r="S249" s="145" t="s">
        <v>20</v>
      </c>
      <c r="T249" s="145" t="s">
        <v>18</v>
      </c>
      <c r="U249" s="145" t="s">
        <v>18</v>
      </c>
      <c r="V249" s="145" t="s">
        <v>18</v>
      </c>
      <c r="W249" s="145" t="s">
        <v>18</v>
      </c>
      <c r="X249" s="145" t="s">
        <v>18</v>
      </c>
      <c r="Y249" s="145" t="s">
        <v>20</v>
      </c>
      <c r="Z249" s="148">
        <v>45127</v>
      </c>
      <c r="AA249" s="153">
        <v>46222</v>
      </c>
      <c r="AB249" s="293">
        <v>24</v>
      </c>
      <c r="AC249" s="293">
        <v>18</v>
      </c>
      <c r="AD249" s="145" t="s">
        <v>18</v>
      </c>
      <c r="AE249" s="145" t="s">
        <v>18</v>
      </c>
      <c r="AF249" s="150"/>
      <c r="AG249" s="155" t="s">
        <v>17</v>
      </c>
      <c r="AH249" s="294"/>
      <c r="AI249" s="299" t="s">
        <v>1495</v>
      </c>
      <c r="AJ249" s="195">
        <f>SUMIF('TK 15661.Bản quyền phim '!F:F,'KK1. Movies'!D249,'TK 15661.Bản quyền phim '!X:X)</f>
        <v>0</v>
      </c>
      <c r="AK249" s="195">
        <f>SUMIF('TK 15661.Bản quyền phim '!F:F,'KK1. Movies'!AI249,'TK 15661.Bản quyền phim '!X:X)</f>
        <v>0</v>
      </c>
      <c r="AL249" s="295">
        <f>COUNTIF('242.BQ Phim hợp tác'!$C:$C,'KK1. Movies'!AI249)</f>
        <v>0</v>
      </c>
      <c r="AM249" s="295">
        <f>COUNTIF('TK 15661.Bản quyền phim '!F:F,'KK1. Movies'!AI249)</f>
        <v>1</v>
      </c>
      <c r="AN249" s="296">
        <f t="shared" si="3"/>
        <v>1</v>
      </c>
      <c r="AO249" s="295"/>
      <c r="AP249" s="295"/>
      <c r="AQ249" s="295"/>
      <c r="AR249" s="295"/>
      <c r="AS249" s="295"/>
    </row>
    <row r="250" spans="1:45" s="296" customFormat="1" ht="52.8" x14ac:dyDescent="0.3">
      <c r="A250" s="292">
        <f>_xlfn.AGGREGATE(3,3,$D$7:D250)</f>
        <v>244</v>
      </c>
      <c r="B250" s="156" t="s">
        <v>1145</v>
      </c>
      <c r="C250" s="144" t="s">
        <v>1493</v>
      </c>
      <c r="D250" s="160" t="s">
        <v>1492</v>
      </c>
      <c r="E250" s="166" t="s">
        <v>1494</v>
      </c>
      <c r="F250" s="144" t="s">
        <v>1013</v>
      </c>
      <c r="G250" s="158" t="s">
        <v>1141</v>
      </c>
      <c r="H250" s="144" t="s">
        <v>1140</v>
      </c>
      <c r="I250" s="159">
        <v>2011</v>
      </c>
      <c r="J250" s="159" t="s">
        <v>1283</v>
      </c>
      <c r="K250" s="159">
        <v>116</v>
      </c>
      <c r="L250" s="163">
        <v>45747</v>
      </c>
      <c r="M250" s="161">
        <v>46492</v>
      </c>
      <c r="N250" s="157"/>
      <c r="O250" s="145"/>
      <c r="P250" s="145"/>
      <c r="Q250" s="159" t="s">
        <v>20</v>
      </c>
      <c r="R250" s="159" t="s">
        <v>18</v>
      </c>
      <c r="S250" s="159" t="s">
        <v>18</v>
      </c>
      <c r="T250" s="145" t="s">
        <v>18</v>
      </c>
      <c r="U250" s="159" t="s">
        <v>20</v>
      </c>
      <c r="V250" s="159" t="s">
        <v>20</v>
      </c>
      <c r="W250" s="159" t="s">
        <v>20</v>
      </c>
      <c r="X250" s="159" t="s">
        <v>18</v>
      </c>
      <c r="Y250" s="159" t="s">
        <v>20</v>
      </c>
      <c r="Z250" s="161">
        <v>45747</v>
      </c>
      <c r="AA250" s="188">
        <v>46310</v>
      </c>
      <c r="AB250" s="159">
        <v>7</v>
      </c>
      <c r="AC250" s="293">
        <v>2</v>
      </c>
      <c r="AD250" s="145" t="s">
        <v>18</v>
      </c>
      <c r="AE250" s="145" t="s">
        <v>18</v>
      </c>
      <c r="AF250" s="150"/>
      <c r="AG250" s="155" t="s">
        <v>17</v>
      </c>
      <c r="AH250" s="294" t="s">
        <v>1493</v>
      </c>
      <c r="AI250" s="300" t="s">
        <v>1492</v>
      </c>
      <c r="AJ250" s="195">
        <f>SUMIF('TK 15661.Bản quyền phim '!F:F,'KK1. Movies'!D250,'TK 15661.Bản quyền phim '!X:X)</f>
        <v>46627350</v>
      </c>
      <c r="AK250" s="195">
        <f>SUMIF('TK 15661.Bản quyền phim '!F:F,'KK1. Movies'!AI250,'TK 15661.Bản quyền phim '!X:X)</f>
        <v>46627350</v>
      </c>
      <c r="AL250" s="295">
        <f>COUNTIF('242.BQ Phim hợp tác'!$C:$C,'KK1. Movies'!AI250)</f>
        <v>0</v>
      </c>
      <c r="AM250" s="295">
        <f>COUNTIF('TK 15661.Bản quyền phim '!F:F,'KK1. Movies'!AI250)</f>
        <v>1</v>
      </c>
      <c r="AN250" s="296">
        <f t="shared" si="3"/>
        <v>1</v>
      </c>
      <c r="AO250" s="295"/>
      <c r="AP250" s="295"/>
      <c r="AQ250" s="295"/>
      <c r="AR250" s="295"/>
      <c r="AS250" s="295"/>
    </row>
    <row r="251" spans="1:45" s="296" customFormat="1" x14ac:dyDescent="0.3">
      <c r="A251" s="292">
        <f>_xlfn.AGGREGATE(3,3,$D$7:D251)</f>
        <v>245</v>
      </c>
      <c r="B251" s="143"/>
      <c r="C251" s="144" t="s">
        <v>1491</v>
      </c>
      <c r="D251" s="160" t="s">
        <v>1489</v>
      </c>
      <c r="E251" s="166" t="s">
        <v>1490</v>
      </c>
      <c r="F251" s="158" t="s">
        <v>932</v>
      </c>
      <c r="G251" s="158" t="s">
        <v>513</v>
      </c>
      <c r="H251" s="144" t="s">
        <v>1135</v>
      </c>
      <c r="I251" s="159">
        <v>2024</v>
      </c>
      <c r="J251" s="159" t="s">
        <v>178</v>
      </c>
      <c r="K251" s="159">
        <v>107</v>
      </c>
      <c r="L251" s="161">
        <v>45869</v>
      </c>
      <c r="M251" s="161">
        <v>46965</v>
      </c>
      <c r="N251" s="157"/>
      <c r="O251" s="145"/>
      <c r="P251" s="159">
        <v>36</v>
      </c>
      <c r="Q251" s="159" t="s">
        <v>20</v>
      </c>
      <c r="R251" s="159" t="s">
        <v>18</v>
      </c>
      <c r="S251" s="159" t="s">
        <v>18</v>
      </c>
      <c r="T251" s="145" t="s">
        <v>18</v>
      </c>
      <c r="U251" s="159" t="s">
        <v>18</v>
      </c>
      <c r="V251" s="159" t="s">
        <v>20</v>
      </c>
      <c r="W251" s="159" t="s">
        <v>18</v>
      </c>
      <c r="X251" s="159" t="s">
        <v>18</v>
      </c>
      <c r="Y251" s="159" t="s">
        <v>18</v>
      </c>
      <c r="Z251" s="161">
        <v>45869</v>
      </c>
      <c r="AA251" s="188">
        <v>46965</v>
      </c>
      <c r="AB251" s="159" t="s">
        <v>218</v>
      </c>
      <c r="AC251" s="293">
        <v>5</v>
      </c>
      <c r="AD251" s="145" t="s">
        <v>18</v>
      </c>
      <c r="AE251" s="145" t="s">
        <v>18</v>
      </c>
      <c r="AF251" s="150"/>
      <c r="AG251" s="155" t="s">
        <v>17</v>
      </c>
      <c r="AH251" s="294"/>
      <c r="AI251" s="300" t="s">
        <v>1489</v>
      </c>
      <c r="AJ251" s="195">
        <f>SUMIF('TK 15661.Bản quyền phim '!F:F,'KK1. Movies'!D251,'TK 15661.Bản quyền phim '!X:X)</f>
        <v>67760000</v>
      </c>
      <c r="AK251" s="195">
        <f>SUMIF('TK 15661.Bản quyền phim '!F:F,'KK1. Movies'!AI251,'TK 15661.Bản quyền phim '!X:X)</f>
        <v>67760000</v>
      </c>
      <c r="AL251" s="295">
        <f>COUNTIF('242.BQ Phim hợp tác'!$C:$C,'KK1. Movies'!AI251)</f>
        <v>0</v>
      </c>
      <c r="AM251" s="295">
        <f>COUNTIF('TK 15661.Bản quyền phim '!F:F,'KK1. Movies'!AI251)</f>
        <v>1</v>
      </c>
      <c r="AN251" s="296">
        <f t="shared" si="3"/>
        <v>1</v>
      </c>
      <c r="AO251" s="295"/>
      <c r="AP251" s="295"/>
      <c r="AQ251" s="295"/>
      <c r="AR251" s="295"/>
      <c r="AS251" s="295"/>
    </row>
    <row r="252" spans="1:45" s="296" customFormat="1" ht="26.4" x14ac:dyDescent="0.3">
      <c r="A252" s="292">
        <f>_xlfn.AGGREGATE(3,3,$D$7:D252)</f>
        <v>246</v>
      </c>
      <c r="B252" s="143" t="s">
        <v>1422</v>
      </c>
      <c r="C252" s="144" t="s">
        <v>1488</v>
      </c>
      <c r="D252" s="146" t="s">
        <v>1487</v>
      </c>
      <c r="E252" s="144" t="s">
        <v>1486</v>
      </c>
      <c r="F252" s="144" t="s">
        <v>385</v>
      </c>
      <c r="G252" s="143" t="s">
        <v>1324</v>
      </c>
      <c r="H252" s="144" t="s">
        <v>1418</v>
      </c>
      <c r="I252" s="297">
        <v>2021</v>
      </c>
      <c r="J252" s="150" t="s">
        <v>161</v>
      </c>
      <c r="K252" s="297">
        <v>107</v>
      </c>
      <c r="L252" s="148">
        <v>44931</v>
      </c>
      <c r="M252" s="148">
        <v>46026</v>
      </c>
      <c r="N252" s="152">
        <v>44931</v>
      </c>
      <c r="O252" s="309" t="s">
        <v>584</v>
      </c>
      <c r="P252" s="141">
        <v>12</v>
      </c>
      <c r="Q252" s="145" t="s">
        <v>20</v>
      </c>
      <c r="R252" s="145" t="s">
        <v>18</v>
      </c>
      <c r="S252" s="145" t="s">
        <v>18</v>
      </c>
      <c r="T252" s="145" t="s">
        <v>18</v>
      </c>
      <c r="U252" s="145" t="s">
        <v>18</v>
      </c>
      <c r="V252" s="145" t="s">
        <v>18</v>
      </c>
      <c r="W252" s="145" t="s">
        <v>18</v>
      </c>
      <c r="X252" s="159" t="s">
        <v>20</v>
      </c>
      <c r="Y252" s="145" t="s">
        <v>18</v>
      </c>
      <c r="Z252" s="148">
        <v>44931</v>
      </c>
      <c r="AA252" s="148">
        <v>46026</v>
      </c>
      <c r="AB252" s="141" t="s">
        <v>1394</v>
      </c>
      <c r="AC252" s="293">
        <v>32</v>
      </c>
      <c r="AD252" s="145" t="s">
        <v>18</v>
      </c>
      <c r="AE252" s="145" t="s">
        <v>18</v>
      </c>
      <c r="AF252" s="150"/>
      <c r="AG252" s="155" t="s">
        <v>17</v>
      </c>
      <c r="AH252" s="294"/>
      <c r="AI252" s="300" t="s">
        <v>1485</v>
      </c>
      <c r="AJ252" s="195">
        <f>SUMIF('TK 15661.Bản quyền phim '!F:F,'KK1. Movies'!D252,'TK 15661.Bản quyền phim '!X:X)</f>
        <v>0</v>
      </c>
      <c r="AK252" s="195">
        <f>SUMIF('TK 15661.Bản quyền phim '!F:F,'KK1. Movies'!AI252,'TK 15661.Bản quyền phim '!X:X)</f>
        <v>0</v>
      </c>
      <c r="AL252" s="295">
        <f>COUNTIF('242.BQ Phim hợp tác'!$C:$C,'KK1. Movies'!AI252)</f>
        <v>0</v>
      </c>
      <c r="AM252" s="295">
        <f>COUNTIF('TK 15661.Bản quyền phim '!F:F,'KK1. Movies'!AI252)</f>
        <v>1</v>
      </c>
      <c r="AN252" s="296">
        <f t="shared" si="3"/>
        <v>1</v>
      </c>
      <c r="AO252" s="295"/>
      <c r="AP252" s="295"/>
      <c r="AQ252" s="295"/>
      <c r="AR252" s="295"/>
      <c r="AS252" s="295"/>
    </row>
    <row r="253" spans="1:45" s="296" customFormat="1" x14ac:dyDescent="0.3">
      <c r="A253" s="292">
        <f>_xlfn.AGGREGATE(3,3,$D$7:D253)</f>
        <v>247</v>
      </c>
      <c r="B253" s="143" t="s">
        <v>1392</v>
      </c>
      <c r="C253" s="341" t="s">
        <v>1484</v>
      </c>
      <c r="D253" s="160" t="s">
        <v>1482</v>
      </c>
      <c r="E253" s="166" t="s">
        <v>1483</v>
      </c>
      <c r="F253" s="164" t="s">
        <v>561</v>
      </c>
      <c r="G253" s="164" t="s">
        <v>198</v>
      </c>
      <c r="H253" s="164" t="s">
        <v>197</v>
      </c>
      <c r="I253" s="159">
        <v>2019</v>
      </c>
      <c r="J253" s="162" t="s">
        <v>196</v>
      </c>
      <c r="K253" s="159">
        <v>109</v>
      </c>
      <c r="L253" s="148">
        <v>45616</v>
      </c>
      <c r="M253" s="148">
        <v>46345</v>
      </c>
      <c r="N253" s="157">
        <v>45616</v>
      </c>
      <c r="O253" s="145" t="s">
        <v>584</v>
      </c>
      <c r="P253" s="168">
        <v>12</v>
      </c>
      <c r="Q253" s="159" t="s">
        <v>20</v>
      </c>
      <c r="R253" s="145" t="s">
        <v>18</v>
      </c>
      <c r="S253" s="159" t="s">
        <v>18</v>
      </c>
      <c r="T253" s="145" t="s">
        <v>18</v>
      </c>
      <c r="U253" s="159" t="s">
        <v>20</v>
      </c>
      <c r="V253" s="159" t="s">
        <v>20</v>
      </c>
      <c r="W253" s="159" t="s">
        <v>20</v>
      </c>
      <c r="X253" s="159" t="s">
        <v>20</v>
      </c>
      <c r="Y253" s="159" t="s">
        <v>18</v>
      </c>
      <c r="Z253" s="148">
        <v>45616</v>
      </c>
      <c r="AA253" s="148">
        <v>46345</v>
      </c>
      <c r="AB253" s="162">
        <v>6</v>
      </c>
      <c r="AC253" s="160">
        <v>3</v>
      </c>
      <c r="AD253" s="145" t="s">
        <v>18</v>
      </c>
      <c r="AE253" s="145" t="s">
        <v>18</v>
      </c>
      <c r="AF253" s="150"/>
      <c r="AG253" s="155" t="s">
        <v>17</v>
      </c>
      <c r="AH253" s="294"/>
      <c r="AI253" s="299" t="s">
        <v>1482</v>
      </c>
      <c r="AJ253" s="195">
        <f>SUMIF('TK 15661.Bản quyền phim '!F:F,'KK1. Movies'!D253,'TK 15661.Bản quyền phim '!X:X)</f>
        <v>0</v>
      </c>
      <c r="AK253" s="195">
        <f>SUMIF('TK 15661.Bản quyền phim '!F:F,'KK1. Movies'!AI253,'TK 15661.Bản quyền phim '!X:X)</f>
        <v>0</v>
      </c>
      <c r="AL253" s="295">
        <f>COUNTIF('242.BQ Phim hợp tác'!$C:$C,'KK1. Movies'!AI253)</f>
        <v>0</v>
      </c>
      <c r="AM253" s="295">
        <f>COUNTIF('TK 15661.Bản quyền phim '!F:F,'KK1. Movies'!AI253)</f>
        <v>1</v>
      </c>
      <c r="AN253" s="296">
        <f t="shared" si="3"/>
        <v>1</v>
      </c>
      <c r="AO253" s="295"/>
      <c r="AP253" s="295"/>
      <c r="AQ253" s="295"/>
      <c r="AR253" s="295"/>
      <c r="AS253" s="295"/>
    </row>
    <row r="254" spans="1:45" s="296" customFormat="1" ht="26.4" x14ac:dyDescent="0.3">
      <c r="A254" s="292">
        <f>_xlfn.AGGREGATE(3,3,$D$7:D254)</f>
        <v>248</v>
      </c>
      <c r="B254" s="143" t="s">
        <v>1422</v>
      </c>
      <c r="C254" s="341" t="s">
        <v>1481</v>
      </c>
      <c r="D254" s="146" t="s">
        <v>1477</v>
      </c>
      <c r="E254" s="144" t="s">
        <v>1480</v>
      </c>
      <c r="F254" s="144" t="s">
        <v>350</v>
      </c>
      <c r="G254" s="303" t="s">
        <v>1056</v>
      </c>
      <c r="H254" s="144" t="s">
        <v>1479</v>
      </c>
      <c r="I254" s="297">
        <v>2017</v>
      </c>
      <c r="J254" s="150" t="s">
        <v>196</v>
      </c>
      <c r="K254" s="297">
        <v>125</v>
      </c>
      <c r="L254" s="148">
        <v>45176</v>
      </c>
      <c r="M254" s="148">
        <v>46271</v>
      </c>
      <c r="N254" s="157">
        <v>45176</v>
      </c>
      <c r="O254" s="309" t="s">
        <v>584</v>
      </c>
      <c r="P254" s="145" t="s">
        <v>1478</v>
      </c>
      <c r="Q254" s="150" t="s">
        <v>20</v>
      </c>
      <c r="R254" s="145" t="s">
        <v>18</v>
      </c>
      <c r="S254" s="145" t="s">
        <v>18</v>
      </c>
      <c r="T254" s="145" t="s">
        <v>18</v>
      </c>
      <c r="U254" s="145" t="s">
        <v>18</v>
      </c>
      <c r="V254" s="145" t="s">
        <v>18</v>
      </c>
      <c r="W254" s="145" t="s">
        <v>18</v>
      </c>
      <c r="X254" s="145" t="s">
        <v>18</v>
      </c>
      <c r="Y254" s="145" t="s">
        <v>18</v>
      </c>
      <c r="Z254" s="148">
        <v>45176</v>
      </c>
      <c r="AA254" s="148">
        <v>46271</v>
      </c>
      <c r="AB254" s="141" t="s">
        <v>1394</v>
      </c>
      <c r="AC254" s="293">
        <v>22</v>
      </c>
      <c r="AD254" s="145" t="s">
        <v>18</v>
      </c>
      <c r="AE254" s="145" t="s">
        <v>18</v>
      </c>
      <c r="AF254" s="150"/>
      <c r="AG254" s="155" t="s">
        <v>17</v>
      </c>
      <c r="AH254" s="294"/>
      <c r="AI254" s="144" t="s">
        <v>1477</v>
      </c>
      <c r="AJ254" s="195">
        <f>SUMIF('TK 15661.Bản quyền phim '!F:F,'KK1. Movies'!D254,'TK 15661.Bản quyền phim '!X:X)</f>
        <v>0</v>
      </c>
      <c r="AK254" s="195">
        <f>SUMIF('TK 15661.Bản quyền phim '!F:F,'KK1. Movies'!AI254,'TK 15661.Bản quyền phim '!X:X)</f>
        <v>0</v>
      </c>
      <c r="AL254" s="295">
        <f>COUNTIF('242.BQ Phim hợp tác'!$C:$C,'KK1. Movies'!AI254)</f>
        <v>0</v>
      </c>
      <c r="AM254" s="295">
        <f>COUNTIF('TK 15661.Bản quyền phim '!F:F,'KK1. Movies'!AI254)</f>
        <v>1</v>
      </c>
      <c r="AN254" s="296">
        <f t="shared" si="3"/>
        <v>1</v>
      </c>
      <c r="AO254" s="295"/>
      <c r="AP254" s="295"/>
      <c r="AQ254" s="295"/>
      <c r="AR254" s="295"/>
      <c r="AS254" s="295"/>
    </row>
    <row r="255" spans="1:45" s="296" customFormat="1" x14ac:dyDescent="0.3">
      <c r="A255" s="292">
        <f>_xlfn.AGGREGATE(3,3,$D$7:D255)</f>
        <v>249</v>
      </c>
      <c r="B255" s="143" t="s">
        <v>1402</v>
      </c>
      <c r="C255" s="144" t="s">
        <v>1476</v>
      </c>
      <c r="D255" s="160" t="s">
        <v>1475</v>
      </c>
      <c r="E255" s="160" t="s">
        <v>1474</v>
      </c>
      <c r="F255" s="164" t="s">
        <v>1473</v>
      </c>
      <c r="G255" s="164" t="s">
        <v>1372</v>
      </c>
      <c r="H255" s="144" t="s">
        <v>1371</v>
      </c>
      <c r="I255" s="162">
        <v>2018</v>
      </c>
      <c r="J255" s="162" t="s">
        <v>1472</v>
      </c>
      <c r="K255" s="162">
        <v>86</v>
      </c>
      <c r="L255" s="163">
        <v>45680</v>
      </c>
      <c r="M255" s="165">
        <v>46560</v>
      </c>
      <c r="N255" s="163">
        <v>45680</v>
      </c>
      <c r="O255" s="145"/>
      <c r="P255" s="159">
        <v>12</v>
      </c>
      <c r="Q255" s="162" t="s">
        <v>20</v>
      </c>
      <c r="R255" s="145" t="s">
        <v>18</v>
      </c>
      <c r="S255" s="159" t="s">
        <v>18</v>
      </c>
      <c r="T255" s="145" t="s">
        <v>18</v>
      </c>
      <c r="U255" s="159" t="s">
        <v>18</v>
      </c>
      <c r="V255" s="159" t="s">
        <v>18</v>
      </c>
      <c r="W255" s="159" t="s">
        <v>18</v>
      </c>
      <c r="X255" s="159" t="s">
        <v>18</v>
      </c>
      <c r="Y255" s="159" t="s">
        <v>20</v>
      </c>
      <c r="Z255" s="165">
        <v>45680</v>
      </c>
      <c r="AA255" s="165">
        <v>46560</v>
      </c>
      <c r="AB255" s="162">
        <v>24</v>
      </c>
      <c r="AC255" s="293">
        <v>8</v>
      </c>
      <c r="AD255" s="145" t="s">
        <v>18</v>
      </c>
      <c r="AE255" s="145" t="s">
        <v>18</v>
      </c>
      <c r="AF255" s="150"/>
      <c r="AG255" s="155" t="s">
        <v>17</v>
      </c>
      <c r="AH255" s="294"/>
      <c r="AI255" s="198" t="s">
        <v>1471</v>
      </c>
      <c r="AJ255" s="195">
        <f>SUMIF('TK 15661.Bản quyền phim '!F:F,'KK1. Movies'!D255,'TK 15661.Bản quyền phim '!X:X)</f>
        <v>0</v>
      </c>
      <c r="AK255" s="195">
        <f>SUMIF('TK 15661.Bản quyền phim '!F:F,'KK1. Movies'!AI255,'TK 15661.Bản quyền phim '!X:X)</f>
        <v>59932952.666666672</v>
      </c>
      <c r="AL255" s="295">
        <f>COUNTIF('242.BQ Phim hợp tác'!$C:$C,'KK1. Movies'!AI255)</f>
        <v>0</v>
      </c>
      <c r="AM255" s="295">
        <f>COUNTIF('TK 15661.Bản quyền phim '!F:F,'KK1. Movies'!AI255)</f>
        <v>1</v>
      </c>
      <c r="AN255" s="296">
        <f t="shared" si="3"/>
        <v>1</v>
      </c>
      <c r="AO255" s="295"/>
      <c r="AP255" s="295"/>
      <c r="AQ255" s="295"/>
      <c r="AR255" s="295"/>
      <c r="AS255" s="295"/>
    </row>
    <row r="256" spans="1:45" s="296" customFormat="1" ht="26.4" x14ac:dyDescent="0.3">
      <c r="A256" s="292">
        <f>_xlfn.AGGREGATE(3,3,$D$7:D256)</f>
        <v>250</v>
      </c>
      <c r="B256" s="143" t="s">
        <v>1392</v>
      </c>
      <c r="C256" s="144" t="s">
        <v>1470</v>
      </c>
      <c r="D256" s="160" t="s">
        <v>1469</v>
      </c>
      <c r="E256" s="166" t="s">
        <v>1468</v>
      </c>
      <c r="F256" s="144" t="s">
        <v>350</v>
      </c>
      <c r="G256" s="158" t="s">
        <v>1324</v>
      </c>
      <c r="H256" s="144" t="s">
        <v>1449</v>
      </c>
      <c r="I256" s="159">
        <v>2022</v>
      </c>
      <c r="J256" s="162" t="s">
        <v>196</v>
      </c>
      <c r="K256" s="159">
        <v>151</v>
      </c>
      <c r="L256" s="148">
        <v>45632</v>
      </c>
      <c r="M256" s="148">
        <v>46726</v>
      </c>
      <c r="N256" s="157">
        <v>45632</v>
      </c>
      <c r="O256" s="145" t="s">
        <v>584</v>
      </c>
      <c r="P256" s="151">
        <v>12</v>
      </c>
      <c r="Q256" s="159" t="s">
        <v>20</v>
      </c>
      <c r="R256" s="145" t="s">
        <v>18</v>
      </c>
      <c r="S256" s="145" t="s">
        <v>18</v>
      </c>
      <c r="T256" s="145" t="s">
        <v>18</v>
      </c>
      <c r="U256" s="145" t="s">
        <v>18</v>
      </c>
      <c r="V256" s="145" t="s">
        <v>18</v>
      </c>
      <c r="W256" s="145" t="s">
        <v>18</v>
      </c>
      <c r="X256" s="159" t="s">
        <v>20</v>
      </c>
      <c r="Y256" s="145" t="s">
        <v>18</v>
      </c>
      <c r="Z256" s="148">
        <v>45632</v>
      </c>
      <c r="AA256" s="148">
        <v>46726</v>
      </c>
      <c r="AB256" s="145" t="s">
        <v>218</v>
      </c>
      <c r="AC256" s="293">
        <v>13</v>
      </c>
      <c r="AD256" s="145" t="s">
        <v>18</v>
      </c>
      <c r="AE256" s="145" t="s">
        <v>18</v>
      </c>
      <c r="AF256" s="150"/>
      <c r="AG256" s="155" t="s">
        <v>17</v>
      </c>
      <c r="AH256" s="294"/>
      <c r="AI256" s="300" t="s">
        <v>1467</v>
      </c>
      <c r="AJ256" s="195">
        <f>SUMIF('TK 15661.Bản quyền phim '!F:F,'KK1. Movies'!D256,'TK 15661.Bản quyền phim '!X:X)</f>
        <v>0</v>
      </c>
      <c r="AK256" s="195">
        <f>SUMIF('TK 15661.Bản quyền phim '!F:F,'KK1. Movies'!AI256,'TK 15661.Bản quyền phim '!X:X)</f>
        <v>31746031.66666666</v>
      </c>
      <c r="AL256" s="295">
        <f>COUNTIF('242.BQ Phim hợp tác'!$C:$C,'KK1. Movies'!AI256)</f>
        <v>0</v>
      </c>
      <c r="AM256" s="295">
        <f>COUNTIF('TK 15661.Bản quyền phim '!F:F,'KK1. Movies'!AI256)</f>
        <v>1</v>
      </c>
      <c r="AN256" s="296">
        <f t="shared" si="3"/>
        <v>1</v>
      </c>
      <c r="AO256" s="295"/>
      <c r="AP256" s="295"/>
      <c r="AQ256" s="295"/>
      <c r="AR256" s="295"/>
      <c r="AS256" s="295"/>
    </row>
    <row r="257" spans="1:45" s="296" customFormat="1" ht="26.4" x14ac:dyDescent="0.3">
      <c r="A257" s="292">
        <f>_xlfn.AGGREGATE(3,3,$D$7:D257)</f>
        <v>251</v>
      </c>
      <c r="B257" s="143"/>
      <c r="C257" s="341" t="s">
        <v>1466</v>
      </c>
      <c r="D257" s="160" t="s">
        <v>1463</v>
      </c>
      <c r="E257" s="166" t="s">
        <v>1465</v>
      </c>
      <c r="F257" s="160" t="s">
        <v>1464</v>
      </c>
      <c r="G257" s="158" t="s">
        <v>1127</v>
      </c>
      <c r="H257" s="158" t="s">
        <v>1126</v>
      </c>
      <c r="I257" s="159">
        <v>2021</v>
      </c>
      <c r="J257" s="159" t="s">
        <v>196</v>
      </c>
      <c r="K257" s="159">
        <v>86</v>
      </c>
      <c r="L257" s="188">
        <v>45777</v>
      </c>
      <c r="M257" s="188">
        <v>46324</v>
      </c>
      <c r="N257" s="157"/>
      <c r="O257" s="145"/>
      <c r="P257" s="145"/>
      <c r="Q257" s="159" t="s">
        <v>20</v>
      </c>
      <c r="R257" s="145" t="s">
        <v>18</v>
      </c>
      <c r="S257" s="166" t="s">
        <v>18</v>
      </c>
      <c r="T257" s="159" t="s">
        <v>18</v>
      </c>
      <c r="U257" s="159" t="s">
        <v>20</v>
      </c>
      <c r="V257" s="159" t="s">
        <v>20</v>
      </c>
      <c r="W257" s="159" t="s">
        <v>20</v>
      </c>
      <c r="X257" s="159" t="s">
        <v>18</v>
      </c>
      <c r="Y257" s="159" t="s">
        <v>20</v>
      </c>
      <c r="Z257" s="188">
        <v>45777</v>
      </c>
      <c r="AA257" s="188">
        <v>46141</v>
      </c>
      <c r="AB257" s="166">
        <v>10</v>
      </c>
      <c r="AC257" s="293">
        <v>10</v>
      </c>
      <c r="AD257" s="145" t="s">
        <v>18</v>
      </c>
      <c r="AE257" s="145" t="s">
        <v>18</v>
      </c>
      <c r="AF257" s="150"/>
      <c r="AG257" s="155" t="s">
        <v>17</v>
      </c>
      <c r="AH257" s="294"/>
      <c r="AI257" s="300" t="s">
        <v>1463</v>
      </c>
      <c r="AJ257" s="195">
        <f>SUMIF('TK 15661.Bản quyền phim '!F:F,'KK1. Movies'!D257,'TK 15661.Bản quyền phim '!X:X)</f>
        <v>45463250</v>
      </c>
      <c r="AK257" s="195">
        <f>SUMIF('TK 15661.Bản quyền phim '!F:F,'KK1. Movies'!AI257,'TK 15661.Bản quyền phim '!X:X)</f>
        <v>45463250</v>
      </c>
      <c r="AL257" s="295">
        <f>COUNTIF('242.BQ Phim hợp tác'!$C:$C,'KK1. Movies'!AI257)</f>
        <v>0</v>
      </c>
      <c r="AM257" s="295">
        <f>COUNTIF('TK 15661.Bản quyền phim '!F:F,'KK1. Movies'!AI257)</f>
        <v>1</v>
      </c>
      <c r="AN257" s="296">
        <f t="shared" si="3"/>
        <v>1</v>
      </c>
      <c r="AO257" s="295"/>
      <c r="AP257" s="295"/>
      <c r="AQ257" s="295"/>
      <c r="AR257" s="295"/>
      <c r="AS257" s="295"/>
    </row>
    <row r="258" spans="1:45" s="296" customFormat="1" ht="26.4" x14ac:dyDescent="0.3">
      <c r="A258" s="292">
        <f>_xlfn.AGGREGATE(3,3,$D$7:D258)</f>
        <v>252</v>
      </c>
      <c r="B258" s="143" t="s">
        <v>1402</v>
      </c>
      <c r="C258" s="144" t="s">
        <v>1461</v>
      </c>
      <c r="D258" s="160" t="s">
        <v>1460</v>
      </c>
      <c r="E258" s="166" t="s">
        <v>1462</v>
      </c>
      <c r="F258" s="144" t="s">
        <v>436</v>
      </c>
      <c r="G258" s="158" t="s">
        <v>1324</v>
      </c>
      <c r="H258" s="144" t="s">
        <v>1323</v>
      </c>
      <c r="I258" s="159">
        <v>2021</v>
      </c>
      <c r="J258" s="159" t="s">
        <v>133</v>
      </c>
      <c r="K258" s="159">
        <v>118</v>
      </c>
      <c r="L258" s="163">
        <v>45702</v>
      </c>
      <c r="M258" s="161">
        <v>46796</v>
      </c>
      <c r="N258" s="163"/>
      <c r="O258" s="145"/>
      <c r="P258" s="159">
        <v>12</v>
      </c>
      <c r="Q258" s="159" t="s">
        <v>20</v>
      </c>
      <c r="R258" s="159" t="s">
        <v>18</v>
      </c>
      <c r="S258" s="159" t="s">
        <v>18</v>
      </c>
      <c r="T258" s="145" t="s">
        <v>18</v>
      </c>
      <c r="U258" s="159" t="s">
        <v>18</v>
      </c>
      <c r="V258" s="159" t="s">
        <v>18</v>
      </c>
      <c r="W258" s="159" t="s">
        <v>18</v>
      </c>
      <c r="X258" s="159" t="s">
        <v>18</v>
      </c>
      <c r="Y258" s="159" t="s">
        <v>18</v>
      </c>
      <c r="Z258" s="161">
        <v>45870</v>
      </c>
      <c r="AA258" s="188">
        <v>46965</v>
      </c>
      <c r="AB258" s="159" t="s">
        <v>1322</v>
      </c>
      <c r="AC258" s="293">
        <v>41</v>
      </c>
      <c r="AD258" s="145" t="s">
        <v>18</v>
      </c>
      <c r="AE258" s="145" t="s">
        <v>18</v>
      </c>
      <c r="AF258" s="150"/>
      <c r="AG258" s="155" t="s">
        <v>17</v>
      </c>
      <c r="AH258" s="294" t="s">
        <v>1461</v>
      </c>
      <c r="AI258" s="300" t="s">
        <v>1460</v>
      </c>
      <c r="AJ258" s="195">
        <f>SUMIF('TK 15661.Bản quyền phim '!F:F,'KK1. Movies'!D258,'TK 15661.Bản quyền phim '!X:X)</f>
        <v>82539682.666666657</v>
      </c>
      <c r="AK258" s="195">
        <f>SUMIF('TK 15661.Bản quyền phim '!F:F,'KK1. Movies'!AI258,'TK 15661.Bản quyền phim '!X:X)</f>
        <v>82539682.666666657</v>
      </c>
      <c r="AL258" s="295">
        <f>COUNTIF('242.BQ Phim hợp tác'!$C:$C,'KK1. Movies'!AI258)</f>
        <v>0</v>
      </c>
      <c r="AM258" s="295">
        <f>COUNTIF('TK 15661.Bản quyền phim '!F:F,'KK1. Movies'!AI258)</f>
        <v>1</v>
      </c>
      <c r="AN258" s="296">
        <f t="shared" si="3"/>
        <v>1</v>
      </c>
      <c r="AO258" s="295"/>
      <c r="AP258" s="295"/>
      <c r="AQ258" s="295"/>
      <c r="AR258" s="295"/>
      <c r="AS258" s="295"/>
    </row>
    <row r="259" spans="1:45" s="296" customFormat="1" ht="26.4" x14ac:dyDescent="0.3">
      <c r="A259" s="292">
        <f>_xlfn.AGGREGATE(3,3,$D$7:D259)</f>
        <v>253</v>
      </c>
      <c r="B259" s="156" t="s">
        <v>1145</v>
      </c>
      <c r="C259" s="341" t="s">
        <v>1459</v>
      </c>
      <c r="D259" s="160" t="s">
        <v>1456</v>
      </c>
      <c r="E259" s="166" t="s">
        <v>1458</v>
      </c>
      <c r="F259" s="144" t="s">
        <v>1142</v>
      </c>
      <c r="G259" s="158" t="s">
        <v>1324</v>
      </c>
      <c r="H259" s="144" t="s">
        <v>1323</v>
      </c>
      <c r="I259" s="159">
        <v>2024</v>
      </c>
      <c r="J259" s="159" t="s">
        <v>1457</v>
      </c>
      <c r="K259" s="159">
        <v>118</v>
      </c>
      <c r="L259" s="163">
        <v>45997</v>
      </c>
      <c r="M259" s="161">
        <v>47092</v>
      </c>
      <c r="N259" s="157"/>
      <c r="O259" s="145"/>
      <c r="P259" s="159">
        <v>12</v>
      </c>
      <c r="Q259" s="159" t="s">
        <v>20</v>
      </c>
      <c r="R259" s="159" t="s">
        <v>18</v>
      </c>
      <c r="S259" s="159" t="s">
        <v>18</v>
      </c>
      <c r="T259" s="159" t="s">
        <v>18</v>
      </c>
      <c r="U259" s="159" t="s">
        <v>18</v>
      </c>
      <c r="V259" s="159" t="s">
        <v>18</v>
      </c>
      <c r="W259" s="159" t="s">
        <v>18</v>
      </c>
      <c r="X259" s="159" t="s">
        <v>18</v>
      </c>
      <c r="Y259" s="159" t="s">
        <v>18</v>
      </c>
      <c r="Z259" s="161">
        <v>45997</v>
      </c>
      <c r="AA259" s="188">
        <v>47092</v>
      </c>
      <c r="AB259" s="159" t="s">
        <v>1322</v>
      </c>
      <c r="AC259" s="293">
        <v>6</v>
      </c>
      <c r="AD259" s="145" t="s">
        <v>18</v>
      </c>
      <c r="AE259" s="145" t="s">
        <v>18</v>
      </c>
      <c r="AF259" s="150"/>
      <c r="AG259" s="155" t="s">
        <v>17</v>
      </c>
      <c r="AH259" s="294"/>
      <c r="AI259" s="300" t="s">
        <v>1456</v>
      </c>
      <c r="AJ259" s="195">
        <f>SUMIF('TK 15661.Bản quyền phim '!F:F,'KK1. Movies'!D259,'TK 15661.Bản quyền phim '!X:X)</f>
        <v>57142857.333333328</v>
      </c>
      <c r="AK259" s="195">
        <f>SUMIF('TK 15661.Bản quyền phim '!F:F,'KK1. Movies'!AI259,'TK 15661.Bản quyền phim '!X:X)</f>
        <v>57142857.333333328</v>
      </c>
      <c r="AL259" s="295">
        <f>COUNTIF('242.BQ Phim hợp tác'!$C:$C,'KK1. Movies'!AI259)</f>
        <v>0</v>
      </c>
      <c r="AM259" s="295">
        <f>COUNTIF('TK 15661.Bản quyền phim '!F:F,'KK1. Movies'!AI259)</f>
        <v>1</v>
      </c>
      <c r="AN259" s="296">
        <f t="shared" si="3"/>
        <v>1</v>
      </c>
      <c r="AO259" s="295"/>
      <c r="AP259" s="295"/>
      <c r="AQ259" s="295"/>
      <c r="AR259" s="295"/>
      <c r="AS259" s="295"/>
    </row>
    <row r="260" spans="1:45" s="296" customFormat="1" ht="26.4" x14ac:dyDescent="0.3">
      <c r="A260" s="292">
        <f>_xlfn.AGGREGATE(3,3,$D$7:D260)</f>
        <v>254</v>
      </c>
      <c r="B260" s="143" t="s">
        <v>1402</v>
      </c>
      <c r="C260" s="144" t="s">
        <v>1455</v>
      </c>
      <c r="D260" s="146" t="s">
        <v>1454</v>
      </c>
      <c r="E260" s="144" t="s">
        <v>1453</v>
      </c>
      <c r="F260" s="144" t="s">
        <v>350</v>
      </c>
      <c r="G260" s="143" t="s">
        <v>1324</v>
      </c>
      <c r="H260" s="144" t="s">
        <v>1418</v>
      </c>
      <c r="I260" s="297">
        <v>2017</v>
      </c>
      <c r="J260" s="150" t="s">
        <v>133</v>
      </c>
      <c r="K260" s="297">
        <v>119</v>
      </c>
      <c r="L260" s="148">
        <v>45212</v>
      </c>
      <c r="M260" s="153">
        <v>46307</v>
      </c>
      <c r="N260" s="152">
        <v>45212</v>
      </c>
      <c r="O260" s="309" t="s">
        <v>584</v>
      </c>
      <c r="P260" s="141">
        <v>12</v>
      </c>
      <c r="Q260" s="145" t="s">
        <v>20</v>
      </c>
      <c r="R260" s="145" t="s">
        <v>18</v>
      </c>
      <c r="S260" s="145" t="s">
        <v>18</v>
      </c>
      <c r="T260" s="145" t="s">
        <v>18</v>
      </c>
      <c r="U260" s="145" t="s">
        <v>18</v>
      </c>
      <c r="V260" s="145" t="s">
        <v>18</v>
      </c>
      <c r="W260" s="145" t="s">
        <v>18</v>
      </c>
      <c r="X260" s="145" t="s">
        <v>20</v>
      </c>
      <c r="Y260" s="145" t="s">
        <v>18</v>
      </c>
      <c r="Z260" s="148">
        <v>45212</v>
      </c>
      <c r="AA260" s="153">
        <v>46307</v>
      </c>
      <c r="AB260" s="141" t="s">
        <v>1394</v>
      </c>
      <c r="AC260" s="293">
        <v>25</v>
      </c>
      <c r="AD260" s="145" t="s">
        <v>18</v>
      </c>
      <c r="AE260" s="145" t="s">
        <v>18</v>
      </c>
      <c r="AF260" s="150"/>
      <c r="AG260" s="155" t="s">
        <v>17</v>
      </c>
      <c r="AH260" s="294"/>
      <c r="AI260" s="300" t="s">
        <v>1452</v>
      </c>
      <c r="AJ260" s="195">
        <f>SUMIF('TK 15661.Bản quyền phim '!F:F,'KK1. Movies'!D260,'TK 15661.Bản quyền phim '!X:X)</f>
        <v>0</v>
      </c>
      <c r="AK260" s="195">
        <f>SUMIF('TK 15661.Bản quyền phim '!F:F,'KK1. Movies'!AI260,'TK 15661.Bản quyền phim '!X:X)</f>
        <v>0</v>
      </c>
      <c r="AL260" s="295">
        <f>COUNTIF('242.BQ Phim hợp tác'!$C:$C,'KK1. Movies'!AI260)</f>
        <v>0</v>
      </c>
      <c r="AM260" s="295">
        <f>COUNTIF('TK 15661.Bản quyền phim '!F:F,'KK1. Movies'!AI260)</f>
        <v>1</v>
      </c>
      <c r="AN260" s="296">
        <f t="shared" si="3"/>
        <v>1</v>
      </c>
      <c r="AO260" s="295"/>
      <c r="AP260" s="295"/>
      <c r="AQ260" s="295"/>
      <c r="AR260" s="295"/>
      <c r="AS260" s="295"/>
    </row>
    <row r="261" spans="1:45" s="296" customFormat="1" ht="26.4" x14ac:dyDescent="0.3">
      <c r="A261" s="292">
        <f>_xlfn.AGGREGATE(3,3,$D$7:D261)</f>
        <v>255</v>
      </c>
      <c r="B261" s="143" t="s">
        <v>1402</v>
      </c>
      <c r="C261" s="144" t="s">
        <v>1451</v>
      </c>
      <c r="D261" s="160" t="s">
        <v>1448</v>
      </c>
      <c r="E261" s="166" t="s">
        <v>1450</v>
      </c>
      <c r="F261" s="144" t="s">
        <v>350</v>
      </c>
      <c r="G261" s="158" t="s">
        <v>1324</v>
      </c>
      <c r="H261" s="144" t="s">
        <v>1449</v>
      </c>
      <c r="I261" s="159">
        <v>2021</v>
      </c>
      <c r="J261" s="162" t="s">
        <v>196</v>
      </c>
      <c r="K261" s="159">
        <v>140</v>
      </c>
      <c r="L261" s="148">
        <v>45555</v>
      </c>
      <c r="M261" s="161">
        <v>46649</v>
      </c>
      <c r="N261" s="157">
        <v>45548</v>
      </c>
      <c r="O261" s="145" t="s">
        <v>584</v>
      </c>
      <c r="P261" s="151">
        <v>12</v>
      </c>
      <c r="Q261" s="159" t="s">
        <v>20</v>
      </c>
      <c r="R261" s="145" t="s">
        <v>18</v>
      </c>
      <c r="S261" s="145" t="s">
        <v>18</v>
      </c>
      <c r="T261" s="145" t="s">
        <v>18</v>
      </c>
      <c r="U261" s="145" t="s">
        <v>18</v>
      </c>
      <c r="V261" s="145" t="s">
        <v>18</v>
      </c>
      <c r="W261" s="145" t="s">
        <v>18</v>
      </c>
      <c r="X261" s="159" t="s">
        <v>20</v>
      </c>
      <c r="Y261" s="145" t="s">
        <v>18</v>
      </c>
      <c r="Z261" s="148">
        <v>45555</v>
      </c>
      <c r="AA261" s="161">
        <v>46649</v>
      </c>
      <c r="AB261" s="145" t="s">
        <v>218</v>
      </c>
      <c r="AC261" s="293">
        <v>11</v>
      </c>
      <c r="AD261" s="145" t="s">
        <v>18</v>
      </c>
      <c r="AE261" s="145" t="s">
        <v>18</v>
      </c>
      <c r="AF261" s="150"/>
      <c r="AG261" s="155" t="s">
        <v>17</v>
      </c>
      <c r="AH261" s="294"/>
      <c r="AI261" s="300" t="s">
        <v>1448</v>
      </c>
      <c r="AJ261" s="195">
        <f>SUMIF('TK 15661.Bản quyền phim '!F:F,'KK1. Movies'!D261,'TK 15661.Bản quyền phim '!X:X)</f>
        <v>31746031.66666666</v>
      </c>
      <c r="AK261" s="195">
        <f>SUMIF('TK 15661.Bản quyền phim '!F:F,'KK1. Movies'!AI261,'TK 15661.Bản quyền phim '!X:X)</f>
        <v>31746031.66666666</v>
      </c>
      <c r="AL261" s="295">
        <f>COUNTIF('242.BQ Phim hợp tác'!$C:$C,'KK1. Movies'!AI261)</f>
        <v>0</v>
      </c>
      <c r="AM261" s="295">
        <f>COUNTIF('TK 15661.Bản quyền phim '!F:F,'KK1. Movies'!AI261)</f>
        <v>1</v>
      </c>
      <c r="AN261" s="296">
        <f t="shared" si="3"/>
        <v>1</v>
      </c>
      <c r="AO261" s="295"/>
      <c r="AP261" s="295"/>
      <c r="AQ261" s="295"/>
      <c r="AR261" s="295"/>
      <c r="AS261" s="295"/>
    </row>
    <row r="262" spans="1:45" s="296" customFormat="1" ht="26.4" x14ac:dyDescent="0.3">
      <c r="A262" s="292">
        <f>_xlfn.AGGREGATE(3,3,$D$7:D262)</f>
        <v>256</v>
      </c>
      <c r="B262" s="143" t="s">
        <v>1402</v>
      </c>
      <c r="C262" s="144" t="s">
        <v>1447</v>
      </c>
      <c r="D262" s="144" t="s">
        <v>1444</v>
      </c>
      <c r="E262" s="143" t="s">
        <v>1446</v>
      </c>
      <c r="F262" s="144" t="s">
        <v>385</v>
      </c>
      <c r="G262" s="143" t="s">
        <v>1397</v>
      </c>
      <c r="H262" s="144" t="s">
        <v>1445</v>
      </c>
      <c r="I262" s="141">
        <v>2020</v>
      </c>
      <c r="J262" s="145" t="s">
        <v>88</v>
      </c>
      <c r="K262" s="162">
        <v>114</v>
      </c>
      <c r="L262" s="148">
        <v>44253</v>
      </c>
      <c r="M262" s="148">
        <v>46078</v>
      </c>
      <c r="N262" s="302">
        <v>44253</v>
      </c>
      <c r="O262" s="145" t="s">
        <v>584</v>
      </c>
      <c r="P262" s="145"/>
      <c r="Q262" s="145" t="s">
        <v>20</v>
      </c>
      <c r="R262" s="145" t="s">
        <v>18</v>
      </c>
      <c r="S262" s="145" t="s">
        <v>18</v>
      </c>
      <c r="T262" s="145" t="s">
        <v>18</v>
      </c>
      <c r="U262" s="145" t="s">
        <v>319</v>
      </c>
      <c r="V262" s="145" t="s">
        <v>319</v>
      </c>
      <c r="W262" s="145" t="s">
        <v>319</v>
      </c>
      <c r="X262" s="145" t="s">
        <v>18</v>
      </c>
      <c r="Y262" s="145" t="s">
        <v>18</v>
      </c>
      <c r="Z262" s="148">
        <v>44253</v>
      </c>
      <c r="AA262" s="148">
        <v>46078</v>
      </c>
      <c r="AB262" s="141" t="s">
        <v>1394</v>
      </c>
      <c r="AC262" s="151">
        <v>61</v>
      </c>
      <c r="AD262" s="145" t="s">
        <v>18</v>
      </c>
      <c r="AE262" s="145" t="s">
        <v>18</v>
      </c>
      <c r="AF262" s="150"/>
      <c r="AG262" s="155" t="s">
        <v>17</v>
      </c>
      <c r="AH262" s="294"/>
      <c r="AI262" s="299" t="s">
        <v>1444</v>
      </c>
      <c r="AJ262" s="195">
        <f>SUMIF('TK 15661.Bản quyền phim '!F:F,'KK1. Movies'!D262,'TK 15661.Bản quyền phim '!X:X)</f>
        <v>0</v>
      </c>
      <c r="AK262" s="195">
        <f>SUMIF('TK 15661.Bản quyền phim '!F:F,'KK1. Movies'!AI262,'TK 15661.Bản quyền phim '!X:X)</f>
        <v>0</v>
      </c>
      <c r="AL262" s="295">
        <f>COUNTIF('242.BQ Phim hợp tác'!$C:$C,'KK1. Movies'!AI262)</f>
        <v>0</v>
      </c>
      <c r="AM262" s="295">
        <f>COUNTIF('TK 15661.Bản quyền phim '!F:F,'KK1. Movies'!AI262)</f>
        <v>1</v>
      </c>
      <c r="AN262" s="296">
        <f t="shared" si="3"/>
        <v>1</v>
      </c>
      <c r="AO262" s="295"/>
      <c r="AP262" s="295"/>
      <c r="AQ262" s="295"/>
      <c r="AR262" s="295"/>
      <c r="AS262" s="295"/>
    </row>
    <row r="263" spans="1:45" s="296" customFormat="1" x14ac:dyDescent="0.3">
      <c r="A263" s="292">
        <f>_xlfn.AGGREGATE(3,3,$D$7:D263)</f>
        <v>257</v>
      </c>
      <c r="B263" s="143" t="s">
        <v>1422</v>
      </c>
      <c r="C263" s="341" t="s">
        <v>1443</v>
      </c>
      <c r="D263" s="146" t="s">
        <v>1441</v>
      </c>
      <c r="E263" s="144" t="s">
        <v>1442</v>
      </c>
      <c r="F263" s="144" t="s">
        <v>511</v>
      </c>
      <c r="G263" s="303" t="s">
        <v>1372</v>
      </c>
      <c r="H263" s="144" t="s">
        <v>1415</v>
      </c>
      <c r="I263" s="297">
        <v>2020</v>
      </c>
      <c r="J263" s="150" t="s">
        <v>178</v>
      </c>
      <c r="K263" s="297">
        <v>120</v>
      </c>
      <c r="L263" s="148">
        <v>44965</v>
      </c>
      <c r="M263" s="163">
        <v>46060</v>
      </c>
      <c r="N263" s="157">
        <v>44965</v>
      </c>
      <c r="O263" s="309" t="s">
        <v>584</v>
      </c>
      <c r="P263" s="145" t="s">
        <v>1414</v>
      </c>
      <c r="Q263" s="150" t="s">
        <v>20</v>
      </c>
      <c r="R263" s="145" t="s">
        <v>18</v>
      </c>
      <c r="S263" s="145" t="s">
        <v>18</v>
      </c>
      <c r="T263" s="145" t="s">
        <v>18</v>
      </c>
      <c r="U263" s="145" t="s">
        <v>18</v>
      </c>
      <c r="V263" s="145" t="s">
        <v>18</v>
      </c>
      <c r="W263" s="145" t="s">
        <v>18</v>
      </c>
      <c r="X263" s="145" t="s">
        <v>18</v>
      </c>
      <c r="Y263" s="145" t="s">
        <v>18</v>
      </c>
      <c r="Z263" s="148">
        <v>44965</v>
      </c>
      <c r="AA263" s="163">
        <v>46060</v>
      </c>
      <c r="AB263" s="141" t="s">
        <v>1394</v>
      </c>
      <c r="AC263" s="293">
        <v>40</v>
      </c>
      <c r="AD263" s="145" t="s">
        <v>18</v>
      </c>
      <c r="AE263" s="145" t="s">
        <v>18</v>
      </c>
      <c r="AF263" s="150"/>
      <c r="AG263" s="155" t="s">
        <v>17</v>
      </c>
      <c r="AH263" s="294"/>
      <c r="AI263" s="299" t="s">
        <v>1441</v>
      </c>
      <c r="AJ263" s="195">
        <f>SUMIF('TK 15661.Bản quyền phim '!F:F,'KK1. Movies'!D263,'TK 15661.Bản quyền phim '!X:X)</f>
        <v>0</v>
      </c>
      <c r="AK263" s="195">
        <f>SUMIF('TK 15661.Bản quyền phim '!F:F,'KK1. Movies'!AI263,'TK 15661.Bản quyền phim '!X:X)</f>
        <v>0</v>
      </c>
      <c r="AL263" s="295">
        <f>COUNTIF('242.BQ Phim hợp tác'!$C:$C,'KK1. Movies'!AI263)</f>
        <v>0</v>
      </c>
      <c r="AM263" s="295">
        <f>COUNTIF('TK 15661.Bản quyền phim '!F:F,'KK1. Movies'!AI263)</f>
        <v>1</v>
      </c>
      <c r="AN263" s="296">
        <f t="shared" ref="AN263:AN326" si="4">AL263+AM263</f>
        <v>1</v>
      </c>
      <c r="AO263" s="295"/>
      <c r="AP263" s="295"/>
      <c r="AQ263" s="295"/>
      <c r="AR263" s="295"/>
      <c r="AS263" s="295"/>
    </row>
    <row r="264" spans="1:45" s="296" customFormat="1" ht="52.8" x14ac:dyDescent="0.3">
      <c r="A264" s="292">
        <f>_xlfn.AGGREGATE(3,3,$D$7:D264)</f>
        <v>258</v>
      </c>
      <c r="B264" s="166" t="s">
        <v>1402</v>
      </c>
      <c r="C264" s="144" t="s">
        <v>1438</v>
      </c>
      <c r="D264" s="146" t="s">
        <v>1437</v>
      </c>
      <c r="E264" s="155" t="s">
        <v>1440</v>
      </c>
      <c r="F264" s="144" t="s">
        <v>1013</v>
      </c>
      <c r="G264" s="143" t="s">
        <v>1389</v>
      </c>
      <c r="H264" s="144" t="s">
        <v>1439</v>
      </c>
      <c r="I264" s="297">
        <v>2021</v>
      </c>
      <c r="J264" s="145" t="s">
        <v>196</v>
      </c>
      <c r="K264" s="297">
        <v>99</v>
      </c>
      <c r="L264" s="148">
        <v>45168</v>
      </c>
      <c r="M264" s="148">
        <v>46263</v>
      </c>
      <c r="N264" s="157">
        <v>45168</v>
      </c>
      <c r="O264" s="309" t="s">
        <v>584</v>
      </c>
      <c r="P264" s="145" t="s">
        <v>1387</v>
      </c>
      <c r="Q264" s="150" t="s">
        <v>20</v>
      </c>
      <c r="R264" s="145" t="s">
        <v>18</v>
      </c>
      <c r="S264" s="145" t="s">
        <v>18</v>
      </c>
      <c r="T264" s="145" t="s">
        <v>18</v>
      </c>
      <c r="U264" s="145" t="s">
        <v>18</v>
      </c>
      <c r="V264" s="145" t="s">
        <v>18</v>
      </c>
      <c r="W264" s="145" t="s">
        <v>18</v>
      </c>
      <c r="X264" s="145" t="s">
        <v>18</v>
      </c>
      <c r="Y264" s="159" t="s">
        <v>20</v>
      </c>
      <c r="Z264" s="148">
        <v>45168</v>
      </c>
      <c r="AA264" s="148">
        <v>46263</v>
      </c>
      <c r="AB264" s="141">
        <v>24</v>
      </c>
      <c r="AC264" s="293">
        <v>20</v>
      </c>
      <c r="AD264" s="145" t="s">
        <v>18</v>
      </c>
      <c r="AE264" s="145" t="s">
        <v>18</v>
      </c>
      <c r="AF264" s="150"/>
      <c r="AG264" s="155" t="s">
        <v>17</v>
      </c>
      <c r="AH264" s="294" t="s">
        <v>1438</v>
      </c>
      <c r="AI264" s="299" t="s">
        <v>1437</v>
      </c>
      <c r="AJ264" s="195">
        <f>SUMIF('TK 15661.Bản quyền phim '!F:F,'KK1. Movies'!D264,'TK 15661.Bản quyền phim '!X:X)</f>
        <v>0</v>
      </c>
      <c r="AK264" s="195">
        <f>SUMIF('TK 15661.Bản quyền phim '!F:F,'KK1. Movies'!AI264,'TK 15661.Bản quyền phim '!X:X)</f>
        <v>0</v>
      </c>
      <c r="AL264" s="295">
        <f>COUNTIF('242.BQ Phim hợp tác'!$C:$C,'KK1. Movies'!AI264)</f>
        <v>0</v>
      </c>
      <c r="AM264" s="295">
        <f>COUNTIF('TK 15661.Bản quyền phim '!F:F,'KK1. Movies'!AI264)</f>
        <v>1</v>
      </c>
      <c r="AN264" s="296">
        <f t="shared" si="4"/>
        <v>1</v>
      </c>
      <c r="AO264" s="295"/>
      <c r="AP264" s="295"/>
      <c r="AQ264" s="295"/>
      <c r="AR264" s="295"/>
      <c r="AS264" s="295"/>
    </row>
    <row r="265" spans="1:45" s="296" customFormat="1" x14ac:dyDescent="0.3">
      <c r="A265" s="292">
        <f>_xlfn.AGGREGATE(3,3,$D$7:D265)</f>
        <v>259</v>
      </c>
      <c r="B265" s="143" t="s">
        <v>1422</v>
      </c>
      <c r="C265" s="144" t="s">
        <v>1435</v>
      </c>
      <c r="D265" s="146" t="s">
        <v>1434</v>
      </c>
      <c r="E265" s="144" t="s">
        <v>1436</v>
      </c>
      <c r="F265" s="144" t="s">
        <v>511</v>
      </c>
      <c r="G265" s="303" t="s">
        <v>1372</v>
      </c>
      <c r="H265" s="144" t="s">
        <v>1415</v>
      </c>
      <c r="I265" s="297">
        <v>2017</v>
      </c>
      <c r="J265" s="150" t="s">
        <v>178</v>
      </c>
      <c r="K265" s="297">
        <v>119</v>
      </c>
      <c r="L265" s="148">
        <v>44958</v>
      </c>
      <c r="M265" s="148">
        <v>46053</v>
      </c>
      <c r="N265" s="157">
        <v>44958</v>
      </c>
      <c r="O265" s="309" t="s">
        <v>584</v>
      </c>
      <c r="P265" s="145" t="s">
        <v>1414</v>
      </c>
      <c r="Q265" s="150" t="s">
        <v>20</v>
      </c>
      <c r="R265" s="145" t="s">
        <v>18</v>
      </c>
      <c r="S265" s="145" t="s">
        <v>18</v>
      </c>
      <c r="T265" s="145" t="s">
        <v>18</v>
      </c>
      <c r="U265" s="145" t="s">
        <v>18</v>
      </c>
      <c r="V265" s="145" t="s">
        <v>18</v>
      </c>
      <c r="W265" s="145" t="s">
        <v>18</v>
      </c>
      <c r="X265" s="145" t="s">
        <v>18</v>
      </c>
      <c r="Y265" s="145" t="s">
        <v>18</v>
      </c>
      <c r="Z265" s="148">
        <v>44958</v>
      </c>
      <c r="AA265" s="148">
        <v>46053</v>
      </c>
      <c r="AB265" s="141" t="s">
        <v>1394</v>
      </c>
      <c r="AC265" s="293">
        <v>37</v>
      </c>
      <c r="AD265" s="145" t="s">
        <v>18</v>
      </c>
      <c r="AE265" s="145" t="s">
        <v>18</v>
      </c>
      <c r="AF265" s="150"/>
      <c r="AG265" s="155" t="s">
        <v>17</v>
      </c>
      <c r="AH265" s="294" t="s">
        <v>1435</v>
      </c>
      <c r="AI265" s="299" t="s">
        <v>1434</v>
      </c>
      <c r="AJ265" s="195">
        <f>SUMIF('TK 15661.Bản quyền phim '!F:F,'KK1. Movies'!D265,'TK 15661.Bản quyền phim '!X:X)</f>
        <v>0</v>
      </c>
      <c r="AK265" s="195">
        <f>SUMIF('TK 15661.Bản quyền phim '!F:F,'KK1. Movies'!AI265,'TK 15661.Bản quyền phim '!X:X)</f>
        <v>0</v>
      </c>
      <c r="AL265" s="295">
        <f>COUNTIF('242.BQ Phim hợp tác'!$C:$C,'KK1. Movies'!AI265)</f>
        <v>0</v>
      </c>
      <c r="AM265" s="295">
        <f>COUNTIF('TK 15661.Bản quyền phim '!F:F,'KK1. Movies'!AI265)</f>
        <v>1</v>
      </c>
      <c r="AN265" s="296">
        <f t="shared" si="4"/>
        <v>1</v>
      </c>
      <c r="AO265" s="295"/>
      <c r="AP265" s="295"/>
      <c r="AQ265" s="295"/>
      <c r="AR265" s="295"/>
      <c r="AS265" s="295"/>
    </row>
    <row r="266" spans="1:45" s="296" customFormat="1" ht="26.4" x14ac:dyDescent="0.3">
      <c r="A266" s="292">
        <f>_xlfn.AGGREGATE(3,3,$D$7:D266)</f>
        <v>260</v>
      </c>
      <c r="B266" s="143" t="s">
        <v>1422</v>
      </c>
      <c r="C266" s="341" t="s">
        <v>1433</v>
      </c>
      <c r="D266" s="160" t="s">
        <v>1432</v>
      </c>
      <c r="E266" s="142" t="s">
        <v>1431</v>
      </c>
      <c r="F266" s="158" t="s">
        <v>350</v>
      </c>
      <c r="G266" s="158" t="s">
        <v>1397</v>
      </c>
      <c r="H266" s="144" t="s">
        <v>1404</v>
      </c>
      <c r="I266" s="159">
        <v>2018</v>
      </c>
      <c r="J266" s="145" t="s">
        <v>88</v>
      </c>
      <c r="K266" s="159">
        <v>95</v>
      </c>
      <c r="L266" s="163">
        <v>45658</v>
      </c>
      <c r="M266" s="148">
        <v>46388</v>
      </c>
      <c r="N266" s="163">
        <v>44795</v>
      </c>
      <c r="O266" s="145"/>
      <c r="P266" s="159">
        <v>0</v>
      </c>
      <c r="Q266" s="162" t="s">
        <v>20</v>
      </c>
      <c r="R266" s="145" t="s">
        <v>18</v>
      </c>
      <c r="S266" s="162" t="s">
        <v>18</v>
      </c>
      <c r="T266" s="145" t="s">
        <v>18</v>
      </c>
      <c r="U266" s="162" t="s">
        <v>18</v>
      </c>
      <c r="V266" s="162" t="s">
        <v>18</v>
      </c>
      <c r="W266" s="162" t="s">
        <v>18</v>
      </c>
      <c r="X266" s="162" t="s">
        <v>18</v>
      </c>
      <c r="Y266" s="162" t="s">
        <v>18</v>
      </c>
      <c r="Z266" s="161">
        <v>45658</v>
      </c>
      <c r="AA266" s="188">
        <v>46388</v>
      </c>
      <c r="AB266" s="159" t="s">
        <v>218</v>
      </c>
      <c r="AC266" s="293">
        <v>4</v>
      </c>
      <c r="AD266" s="145" t="s">
        <v>18</v>
      </c>
      <c r="AE266" s="145" t="s">
        <v>18</v>
      </c>
      <c r="AF266" s="150"/>
      <c r="AG266" s="155" t="s">
        <v>17</v>
      </c>
      <c r="AH266" s="294"/>
      <c r="AI266" s="300" t="s">
        <v>1430</v>
      </c>
      <c r="AJ266" s="195">
        <f>SUMIF('TK 15661.Bản quyền phim '!F:F,'KK1. Movies'!D266,'TK 15661.Bản quyền phim '!X:X)</f>
        <v>0</v>
      </c>
      <c r="AK266" s="195">
        <f>SUMIF('TK 15661.Bản quyền phim '!F:F,'KK1. Movies'!AI266,'TK 15661.Bản quyền phim '!X:X)</f>
        <v>31746031.333333336</v>
      </c>
      <c r="AL266" s="295">
        <f>COUNTIF('242.BQ Phim hợp tác'!$C:$C,'KK1. Movies'!AI266)</f>
        <v>0</v>
      </c>
      <c r="AM266" s="295">
        <f>COUNTIF('TK 15661.Bản quyền phim '!F:F,'KK1. Movies'!AI266)</f>
        <v>1</v>
      </c>
      <c r="AN266" s="296">
        <f t="shared" si="4"/>
        <v>1</v>
      </c>
      <c r="AO266" s="295"/>
      <c r="AP266" s="295"/>
      <c r="AQ266" s="295"/>
      <c r="AR266" s="295"/>
      <c r="AS266" s="295"/>
    </row>
    <row r="267" spans="1:45" s="296" customFormat="1" x14ac:dyDescent="0.3">
      <c r="A267" s="292">
        <f>_xlfn.AGGREGATE(3,3,$D$7:D267)</f>
        <v>261</v>
      </c>
      <c r="B267" s="143"/>
      <c r="C267" s="144" t="s">
        <v>1429</v>
      </c>
      <c r="D267" s="160" t="s">
        <v>1426</v>
      </c>
      <c r="E267" s="166" t="s">
        <v>1428</v>
      </c>
      <c r="F267" s="158" t="s">
        <v>1427</v>
      </c>
      <c r="G267" s="158" t="s">
        <v>513</v>
      </c>
      <c r="H267" s="144" t="s">
        <v>1135</v>
      </c>
      <c r="I267" s="159">
        <v>2023</v>
      </c>
      <c r="J267" s="159" t="s">
        <v>178</v>
      </c>
      <c r="K267" s="159">
        <v>120</v>
      </c>
      <c r="L267" s="161">
        <v>45731</v>
      </c>
      <c r="M267" s="161">
        <v>46827</v>
      </c>
      <c r="N267" s="157"/>
      <c r="O267" s="145"/>
      <c r="P267" s="159">
        <v>36</v>
      </c>
      <c r="Q267" s="159" t="s">
        <v>20</v>
      </c>
      <c r="R267" s="159" t="s">
        <v>18</v>
      </c>
      <c r="S267" s="159" t="s">
        <v>18</v>
      </c>
      <c r="T267" s="145" t="s">
        <v>18</v>
      </c>
      <c r="U267" s="159" t="s">
        <v>18</v>
      </c>
      <c r="V267" s="159" t="s">
        <v>20</v>
      </c>
      <c r="W267" s="159" t="s">
        <v>18</v>
      </c>
      <c r="X267" s="159" t="s">
        <v>18</v>
      </c>
      <c r="Y267" s="159" t="s">
        <v>18</v>
      </c>
      <c r="Z267" s="161">
        <v>45731</v>
      </c>
      <c r="AA267" s="188">
        <v>46827</v>
      </c>
      <c r="AB267" s="159" t="s">
        <v>218</v>
      </c>
      <c r="AC267" s="293">
        <v>6</v>
      </c>
      <c r="AD267" s="145" t="s">
        <v>18</v>
      </c>
      <c r="AE267" s="145" t="s">
        <v>18</v>
      </c>
      <c r="AF267" s="150"/>
      <c r="AG267" s="155" t="s">
        <v>17</v>
      </c>
      <c r="AH267" s="294"/>
      <c r="AI267" s="300" t="s">
        <v>1426</v>
      </c>
      <c r="AJ267" s="195">
        <f>SUMIF('TK 15661.Bản quyền phim '!F:F,'KK1. Movies'!D267,'TK 15661.Bản quyền phim '!X:X)</f>
        <v>101640000</v>
      </c>
      <c r="AK267" s="195">
        <f>SUMIF('TK 15661.Bản quyền phim '!F:F,'KK1. Movies'!AI267,'TK 15661.Bản quyền phim '!X:X)</f>
        <v>101640000</v>
      </c>
      <c r="AL267" s="295">
        <f>COUNTIF('242.BQ Phim hợp tác'!$C:$C,'KK1. Movies'!AI267)</f>
        <v>0</v>
      </c>
      <c r="AM267" s="295">
        <f>COUNTIF('TK 15661.Bản quyền phim '!F:F,'KK1. Movies'!AI267)</f>
        <v>1</v>
      </c>
      <c r="AN267" s="296">
        <f t="shared" si="4"/>
        <v>1</v>
      </c>
      <c r="AO267" s="295"/>
      <c r="AP267" s="295"/>
      <c r="AQ267" s="295"/>
      <c r="AR267" s="295"/>
      <c r="AS267" s="295"/>
    </row>
    <row r="268" spans="1:45" s="296" customFormat="1" ht="26.4" x14ac:dyDescent="0.3">
      <c r="A268" s="292">
        <f>_xlfn.AGGREGATE(3,3,$D$7:D268)</f>
        <v>262</v>
      </c>
      <c r="B268" s="143" t="s">
        <v>1422</v>
      </c>
      <c r="C268" s="144" t="s">
        <v>1425</v>
      </c>
      <c r="D268" s="146" t="s">
        <v>1423</v>
      </c>
      <c r="E268" s="144" t="s">
        <v>1424</v>
      </c>
      <c r="F268" s="143" t="s">
        <v>350</v>
      </c>
      <c r="G268" s="143" t="s">
        <v>1389</v>
      </c>
      <c r="H268" s="144" t="s">
        <v>1388</v>
      </c>
      <c r="I268" s="297">
        <v>2019</v>
      </c>
      <c r="J268" s="145" t="s">
        <v>196</v>
      </c>
      <c r="K268" s="297">
        <v>119</v>
      </c>
      <c r="L268" s="148">
        <v>45029</v>
      </c>
      <c r="M268" s="148">
        <v>46124</v>
      </c>
      <c r="N268" s="152">
        <v>45029</v>
      </c>
      <c r="O268" s="309" t="s">
        <v>584</v>
      </c>
      <c r="P268" s="145" t="s">
        <v>1387</v>
      </c>
      <c r="Q268" s="145" t="s">
        <v>20</v>
      </c>
      <c r="R268" s="145" t="s">
        <v>18</v>
      </c>
      <c r="S268" s="145" t="s">
        <v>20</v>
      </c>
      <c r="T268" s="145" t="s">
        <v>18</v>
      </c>
      <c r="U268" s="145" t="s">
        <v>18</v>
      </c>
      <c r="V268" s="145" t="s">
        <v>18</v>
      </c>
      <c r="W268" s="145" t="s">
        <v>18</v>
      </c>
      <c r="X268" s="145" t="s">
        <v>18</v>
      </c>
      <c r="Y268" s="145" t="s">
        <v>20</v>
      </c>
      <c r="Z268" s="148">
        <v>45029</v>
      </c>
      <c r="AA268" s="148">
        <v>46124</v>
      </c>
      <c r="AB268" s="293">
        <v>24</v>
      </c>
      <c r="AC268" s="293">
        <v>24</v>
      </c>
      <c r="AD268" s="145" t="s">
        <v>18</v>
      </c>
      <c r="AE268" s="145" t="s">
        <v>18</v>
      </c>
      <c r="AF268" s="150"/>
      <c r="AG268" s="155" t="s">
        <v>17</v>
      </c>
      <c r="AH268" s="294"/>
      <c r="AI268" s="299" t="s">
        <v>1423</v>
      </c>
      <c r="AJ268" s="195">
        <f>SUMIF('TK 15661.Bản quyền phim '!F:F,'KK1. Movies'!D268,'TK 15661.Bản quyền phim '!X:X)</f>
        <v>0</v>
      </c>
      <c r="AK268" s="195">
        <f>SUMIF('TK 15661.Bản quyền phim '!F:F,'KK1. Movies'!AI268,'TK 15661.Bản quyền phim '!X:X)</f>
        <v>0</v>
      </c>
      <c r="AL268" s="295">
        <f>COUNTIF('242.BQ Phim hợp tác'!$C:$C,'KK1. Movies'!AI268)</f>
        <v>0</v>
      </c>
      <c r="AM268" s="295">
        <f>COUNTIF('TK 15661.Bản quyền phim '!F:F,'KK1. Movies'!AI268)</f>
        <v>1</v>
      </c>
      <c r="AN268" s="296">
        <f t="shared" si="4"/>
        <v>1</v>
      </c>
      <c r="AO268" s="295"/>
      <c r="AP268" s="295"/>
      <c r="AQ268" s="295"/>
      <c r="AR268" s="295"/>
      <c r="AS268" s="295"/>
    </row>
    <row r="269" spans="1:45" s="296" customFormat="1" ht="26.4" x14ac:dyDescent="0.3">
      <c r="A269" s="292">
        <f>_xlfn.AGGREGATE(3,3,$D$7:D269)</f>
        <v>263</v>
      </c>
      <c r="B269" s="143" t="s">
        <v>1422</v>
      </c>
      <c r="C269" s="144" t="s">
        <v>1421</v>
      </c>
      <c r="D269" s="146" t="s">
        <v>1420</v>
      </c>
      <c r="E269" s="144" t="s">
        <v>1419</v>
      </c>
      <c r="F269" s="144" t="s">
        <v>385</v>
      </c>
      <c r="G269" s="143" t="s">
        <v>1324</v>
      </c>
      <c r="H269" s="144" t="s">
        <v>1418</v>
      </c>
      <c r="I269" s="297">
        <v>2022</v>
      </c>
      <c r="J269" s="150" t="s">
        <v>703</v>
      </c>
      <c r="K269" s="297">
        <v>100</v>
      </c>
      <c r="L269" s="148">
        <v>45246</v>
      </c>
      <c r="M269" s="148">
        <v>46341</v>
      </c>
      <c r="N269" s="152">
        <v>45246</v>
      </c>
      <c r="O269" s="309" t="s">
        <v>584</v>
      </c>
      <c r="P269" s="141">
        <v>12</v>
      </c>
      <c r="Q269" s="145" t="s">
        <v>20</v>
      </c>
      <c r="R269" s="145" t="s">
        <v>18</v>
      </c>
      <c r="S269" s="145" t="s">
        <v>18</v>
      </c>
      <c r="T269" s="145" t="s">
        <v>18</v>
      </c>
      <c r="U269" s="145" t="s">
        <v>18</v>
      </c>
      <c r="V269" s="145" t="s">
        <v>18</v>
      </c>
      <c r="W269" s="145" t="s">
        <v>18</v>
      </c>
      <c r="X269" s="145" t="s">
        <v>20</v>
      </c>
      <c r="Y269" s="145" t="s">
        <v>18</v>
      </c>
      <c r="Z269" s="148">
        <v>45246</v>
      </c>
      <c r="AA269" s="148">
        <v>46341</v>
      </c>
      <c r="AB269" s="141" t="s">
        <v>1394</v>
      </c>
      <c r="AC269" s="293">
        <v>17</v>
      </c>
      <c r="AD269" s="145" t="s">
        <v>18</v>
      </c>
      <c r="AE269" s="145" t="s">
        <v>18</v>
      </c>
      <c r="AF269" s="150"/>
      <c r="AG269" s="155" t="s">
        <v>17</v>
      </c>
      <c r="AH269" s="294"/>
      <c r="AI269" s="300" t="s">
        <v>1417</v>
      </c>
      <c r="AJ269" s="195">
        <f>SUMIF('TK 15661.Bản quyền phim '!F:F,'KK1. Movies'!D269,'TK 15661.Bản quyền phim '!X:X)</f>
        <v>0</v>
      </c>
      <c r="AK269" s="195">
        <f>SUMIF('TK 15661.Bản quyền phim '!F:F,'KK1. Movies'!AI269,'TK 15661.Bản quyền phim '!X:X)</f>
        <v>0</v>
      </c>
      <c r="AL269" s="295">
        <f>COUNTIF('242.BQ Phim hợp tác'!$C:$C,'KK1. Movies'!AI269)</f>
        <v>0</v>
      </c>
      <c r="AM269" s="295">
        <f>COUNTIF('TK 15661.Bản quyền phim '!F:F,'KK1. Movies'!AI269)</f>
        <v>1</v>
      </c>
      <c r="AN269" s="296">
        <f t="shared" si="4"/>
        <v>1</v>
      </c>
      <c r="AO269" s="295"/>
      <c r="AP269" s="295"/>
      <c r="AQ269" s="295"/>
      <c r="AR269" s="295"/>
      <c r="AS269" s="295"/>
    </row>
    <row r="270" spans="1:45" s="296" customFormat="1" x14ac:dyDescent="0.3">
      <c r="A270" s="292">
        <f>_xlfn.AGGREGATE(3,3,$D$7:D270)</f>
        <v>264</v>
      </c>
      <c r="B270" s="143" t="s">
        <v>1402</v>
      </c>
      <c r="C270" s="144" t="s">
        <v>1413</v>
      </c>
      <c r="D270" s="146" t="s">
        <v>1412</v>
      </c>
      <c r="E270" s="144" t="s">
        <v>1416</v>
      </c>
      <c r="F270" s="144" t="s">
        <v>1013</v>
      </c>
      <c r="G270" s="303" t="s">
        <v>1372</v>
      </c>
      <c r="H270" s="144" t="s">
        <v>1415</v>
      </c>
      <c r="I270" s="297">
        <v>2021</v>
      </c>
      <c r="J270" s="150" t="s">
        <v>133</v>
      </c>
      <c r="K270" s="297">
        <v>108</v>
      </c>
      <c r="L270" s="148">
        <v>45000</v>
      </c>
      <c r="M270" s="163">
        <v>46095</v>
      </c>
      <c r="N270" s="157">
        <v>45000</v>
      </c>
      <c r="O270" s="309" t="s">
        <v>584</v>
      </c>
      <c r="P270" s="145" t="s">
        <v>1414</v>
      </c>
      <c r="Q270" s="150" t="s">
        <v>20</v>
      </c>
      <c r="R270" s="145" t="s">
        <v>18</v>
      </c>
      <c r="S270" s="145" t="s">
        <v>18</v>
      </c>
      <c r="T270" s="145" t="s">
        <v>18</v>
      </c>
      <c r="U270" s="145" t="s">
        <v>18</v>
      </c>
      <c r="V270" s="145" t="s">
        <v>18</v>
      </c>
      <c r="W270" s="145" t="s">
        <v>18</v>
      </c>
      <c r="X270" s="145" t="s">
        <v>18</v>
      </c>
      <c r="Y270" s="145" t="s">
        <v>18</v>
      </c>
      <c r="Z270" s="148">
        <v>45000</v>
      </c>
      <c r="AA270" s="163">
        <v>46095</v>
      </c>
      <c r="AB270" s="141" t="s">
        <v>1394</v>
      </c>
      <c r="AC270" s="293">
        <v>30</v>
      </c>
      <c r="AD270" s="145" t="s">
        <v>18</v>
      </c>
      <c r="AE270" s="145" t="s">
        <v>18</v>
      </c>
      <c r="AF270" s="150"/>
      <c r="AG270" s="155" t="s">
        <v>17</v>
      </c>
      <c r="AH270" s="294" t="s">
        <v>1413</v>
      </c>
      <c r="AI270" s="299" t="s">
        <v>1412</v>
      </c>
      <c r="AJ270" s="195">
        <f>SUMIF('TK 15661.Bản quyền phim '!F:F,'KK1. Movies'!D270,'TK 15661.Bản quyền phim '!X:X)</f>
        <v>0</v>
      </c>
      <c r="AK270" s="195">
        <f>SUMIF('TK 15661.Bản quyền phim '!F:F,'KK1. Movies'!AI270,'TK 15661.Bản quyền phim '!X:X)</f>
        <v>0</v>
      </c>
      <c r="AL270" s="295">
        <f>COUNTIF('242.BQ Phim hợp tác'!$C:$C,'KK1. Movies'!AI270)</f>
        <v>0</v>
      </c>
      <c r="AM270" s="295">
        <f>COUNTIF('TK 15661.Bản quyền phim '!F:F,'KK1. Movies'!AI270)</f>
        <v>1</v>
      </c>
      <c r="AN270" s="296">
        <f t="shared" si="4"/>
        <v>1</v>
      </c>
      <c r="AO270" s="295"/>
      <c r="AP270" s="295"/>
      <c r="AQ270" s="295"/>
      <c r="AR270" s="295"/>
      <c r="AS270" s="295"/>
    </row>
    <row r="271" spans="1:45" s="296" customFormat="1" ht="26.4" x14ac:dyDescent="0.3">
      <c r="A271" s="292">
        <f>_xlfn.AGGREGATE(3,3,$D$7:D271)</f>
        <v>265</v>
      </c>
      <c r="B271" s="143" t="s">
        <v>1402</v>
      </c>
      <c r="C271" s="144" t="s">
        <v>1411</v>
      </c>
      <c r="D271" s="160" t="s">
        <v>1410</v>
      </c>
      <c r="E271" s="142" t="s">
        <v>1409</v>
      </c>
      <c r="F271" s="158" t="s">
        <v>350</v>
      </c>
      <c r="G271" s="158" t="s">
        <v>1397</v>
      </c>
      <c r="H271" s="144" t="s">
        <v>1404</v>
      </c>
      <c r="I271" s="159">
        <v>2019</v>
      </c>
      <c r="J271" s="145" t="s">
        <v>88</v>
      </c>
      <c r="K271" s="159">
        <v>100</v>
      </c>
      <c r="L271" s="163">
        <v>45657</v>
      </c>
      <c r="M271" s="148">
        <v>46387</v>
      </c>
      <c r="N271" s="163">
        <v>44628</v>
      </c>
      <c r="O271" s="145"/>
      <c r="P271" s="159">
        <v>0</v>
      </c>
      <c r="Q271" s="162" t="s">
        <v>20</v>
      </c>
      <c r="R271" s="145" t="s">
        <v>18</v>
      </c>
      <c r="S271" s="162" t="s">
        <v>18</v>
      </c>
      <c r="T271" s="145" t="s">
        <v>18</v>
      </c>
      <c r="U271" s="162" t="s">
        <v>18</v>
      </c>
      <c r="V271" s="162" t="s">
        <v>18</v>
      </c>
      <c r="W271" s="162" t="s">
        <v>18</v>
      </c>
      <c r="X271" s="162" t="s">
        <v>18</v>
      </c>
      <c r="Y271" s="162" t="s">
        <v>18</v>
      </c>
      <c r="Z271" s="161">
        <v>45657</v>
      </c>
      <c r="AA271" s="188">
        <v>46387</v>
      </c>
      <c r="AB271" s="159" t="s">
        <v>218</v>
      </c>
      <c r="AC271" s="293">
        <v>15</v>
      </c>
      <c r="AD271" s="145" t="s">
        <v>18</v>
      </c>
      <c r="AE271" s="145" t="s">
        <v>18</v>
      </c>
      <c r="AF271" s="150"/>
      <c r="AG271" s="155" t="s">
        <v>17</v>
      </c>
      <c r="AH271" s="294"/>
      <c r="AI271" s="198" t="s">
        <v>1408</v>
      </c>
      <c r="AJ271" s="195">
        <f>SUMIF('TK 15661.Bản quyền phim '!F:F,'KK1. Movies'!D271,'TK 15661.Bản quyền phim '!X:X)</f>
        <v>0</v>
      </c>
      <c r="AK271" s="195">
        <f>SUMIF('TK 15661.Bản quyền phim '!F:F,'KK1. Movies'!AI271,'TK 15661.Bản quyền phim '!X:X)</f>
        <v>30000000</v>
      </c>
      <c r="AL271" s="295">
        <f>COUNTIF('242.BQ Phim hợp tác'!$C:$C,'KK1. Movies'!AI271)</f>
        <v>0</v>
      </c>
      <c r="AM271" s="295">
        <f>COUNTIF('TK 15661.Bản quyền phim '!F:F,'KK1. Movies'!AI271)</f>
        <v>1</v>
      </c>
      <c r="AN271" s="296">
        <f t="shared" si="4"/>
        <v>1</v>
      </c>
      <c r="AO271" s="295"/>
      <c r="AP271" s="295"/>
      <c r="AQ271" s="295"/>
      <c r="AR271" s="295"/>
      <c r="AS271" s="295"/>
    </row>
    <row r="272" spans="1:45" s="296" customFormat="1" ht="26.4" x14ac:dyDescent="0.3">
      <c r="A272" s="292">
        <f>_xlfn.AGGREGATE(3,3,$D$7:D272)</f>
        <v>266</v>
      </c>
      <c r="B272" s="143" t="s">
        <v>1402</v>
      </c>
      <c r="C272" s="144" t="s">
        <v>1407</v>
      </c>
      <c r="D272" s="160" t="s">
        <v>1406</v>
      </c>
      <c r="E272" s="142" t="s">
        <v>1405</v>
      </c>
      <c r="F272" s="158" t="s">
        <v>350</v>
      </c>
      <c r="G272" s="158" t="s">
        <v>1397</v>
      </c>
      <c r="H272" s="144" t="s">
        <v>1404</v>
      </c>
      <c r="I272" s="159">
        <v>2017</v>
      </c>
      <c r="J272" s="145" t="s">
        <v>88</v>
      </c>
      <c r="K272" s="159">
        <v>90</v>
      </c>
      <c r="L272" s="163">
        <v>45658</v>
      </c>
      <c r="M272" s="148">
        <v>46388</v>
      </c>
      <c r="N272" s="163">
        <v>44683</v>
      </c>
      <c r="O272" s="145"/>
      <c r="P272" s="159">
        <v>0</v>
      </c>
      <c r="Q272" s="162" t="s">
        <v>20</v>
      </c>
      <c r="R272" s="145" t="s">
        <v>18</v>
      </c>
      <c r="S272" s="162" t="s">
        <v>18</v>
      </c>
      <c r="T272" s="145" t="s">
        <v>18</v>
      </c>
      <c r="U272" s="162" t="s">
        <v>18</v>
      </c>
      <c r="V272" s="162" t="s">
        <v>18</v>
      </c>
      <c r="W272" s="162" t="s">
        <v>18</v>
      </c>
      <c r="X272" s="162" t="s">
        <v>18</v>
      </c>
      <c r="Y272" s="162" t="s">
        <v>18</v>
      </c>
      <c r="Z272" s="161">
        <v>45658</v>
      </c>
      <c r="AA272" s="188">
        <v>46388</v>
      </c>
      <c r="AB272" s="159" t="s">
        <v>218</v>
      </c>
      <c r="AC272" s="293">
        <v>10</v>
      </c>
      <c r="AD272" s="145" t="s">
        <v>18</v>
      </c>
      <c r="AE272" s="145" t="s">
        <v>18</v>
      </c>
      <c r="AF272" s="150"/>
      <c r="AG272" s="155" t="s">
        <v>17</v>
      </c>
      <c r="AH272" s="294"/>
      <c r="AI272" s="300" t="s">
        <v>1403</v>
      </c>
      <c r="AJ272" s="195">
        <f>SUMIF('TK 15661.Bản quyền phim '!F:F,'KK1. Movies'!D272,'TK 15661.Bản quyền phim '!X:X)</f>
        <v>0</v>
      </c>
      <c r="AK272" s="195">
        <f>SUMIF('TK 15661.Bản quyền phim '!F:F,'KK1. Movies'!AI272,'TK 15661.Bản quyền phim '!X:X)</f>
        <v>23809523.5</v>
      </c>
      <c r="AL272" s="295">
        <f>COUNTIF('242.BQ Phim hợp tác'!$C:$C,'KK1. Movies'!AI272)</f>
        <v>0</v>
      </c>
      <c r="AM272" s="295">
        <f>COUNTIF('TK 15661.Bản quyền phim '!F:F,'KK1. Movies'!AI272)</f>
        <v>1</v>
      </c>
      <c r="AN272" s="296">
        <f t="shared" si="4"/>
        <v>1</v>
      </c>
      <c r="AO272" s="295"/>
      <c r="AP272" s="295"/>
      <c r="AQ272" s="295"/>
      <c r="AR272" s="295"/>
      <c r="AS272" s="295"/>
    </row>
    <row r="273" spans="1:45" s="296" customFormat="1" ht="26.4" x14ac:dyDescent="0.3">
      <c r="A273" s="292">
        <f>_xlfn.AGGREGATE(3,3,$D$7:D273)</f>
        <v>267</v>
      </c>
      <c r="B273" s="150" t="s">
        <v>1402</v>
      </c>
      <c r="C273" s="341" t="s">
        <v>1401</v>
      </c>
      <c r="D273" s="144" t="s">
        <v>1400</v>
      </c>
      <c r="E273" s="144" t="s">
        <v>1399</v>
      </c>
      <c r="F273" s="144" t="s">
        <v>1398</v>
      </c>
      <c r="G273" s="164" t="s">
        <v>1397</v>
      </c>
      <c r="H273" s="144" t="s">
        <v>1396</v>
      </c>
      <c r="I273" s="297">
        <v>2021</v>
      </c>
      <c r="J273" s="145" t="s">
        <v>88</v>
      </c>
      <c r="K273" s="297">
        <v>100</v>
      </c>
      <c r="L273" s="347">
        <v>44708</v>
      </c>
      <c r="M273" s="347">
        <v>46533</v>
      </c>
      <c r="N273" s="163">
        <v>44708</v>
      </c>
      <c r="O273" s="145"/>
      <c r="P273" s="145" t="s">
        <v>1395</v>
      </c>
      <c r="Q273" s="150" t="s">
        <v>20</v>
      </c>
      <c r="R273" s="145" t="s">
        <v>18</v>
      </c>
      <c r="S273" s="145" t="s">
        <v>194</v>
      </c>
      <c r="T273" s="145" t="s">
        <v>18</v>
      </c>
      <c r="U273" s="145" t="s">
        <v>194</v>
      </c>
      <c r="V273" s="145" t="s">
        <v>194</v>
      </c>
      <c r="W273" s="145" t="s">
        <v>194</v>
      </c>
      <c r="X273" s="145" t="s">
        <v>20</v>
      </c>
      <c r="Y273" s="145" t="s">
        <v>18</v>
      </c>
      <c r="Z273" s="347">
        <v>44708</v>
      </c>
      <c r="AA273" s="347">
        <v>46533</v>
      </c>
      <c r="AB273" s="313" t="s">
        <v>1394</v>
      </c>
      <c r="AC273" s="293">
        <v>18</v>
      </c>
      <c r="AD273" s="145" t="s">
        <v>18</v>
      </c>
      <c r="AE273" s="145" t="s">
        <v>18</v>
      </c>
      <c r="AF273" s="150"/>
      <c r="AG273" s="155" t="s">
        <v>17</v>
      </c>
      <c r="AH273" s="294"/>
      <c r="AI273" s="300" t="s">
        <v>1393</v>
      </c>
      <c r="AJ273" s="195">
        <f>SUMIF('TK 15661.Bản quyền phim '!F:F,'KK1. Movies'!D273,'TK 15661.Bản quyền phim '!X:X)</f>
        <v>0</v>
      </c>
      <c r="AK273" s="195">
        <f>SUMIF('TK 15661.Bản quyền phim '!F:F,'KK1. Movies'!AI273,'TK 15661.Bản quyền phim '!X:X)</f>
        <v>109523809.59999996</v>
      </c>
      <c r="AL273" s="295">
        <f>COUNTIF('242.BQ Phim hợp tác'!$C:$C,'KK1. Movies'!AI273)</f>
        <v>0</v>
      </c>
      <c r="AM273" s="295">
        <f>COUNTIF('TK 15661.Bản quyền phim '!F:F,'KK1. Movies'!AI273)</f>
        <v>1</v>
      </c>
      <c r="AN273" s="296">
        <f t="shared" si="4"/>
        <v>1</v>
      </c>
      <c r="AO273" s="295"/>
      <c r="AP273" s="295"/>
      <c r="AQ273" s="295"/>
      <c r="AR273" s="295"/>
      <c r="AS273" s="295"/>
    </row>
    <row r="274" spans="1:45" s="296" customFormat="1" ht="26.4" x14ac:dyDescent="0.3">
      <c r="A274" s="292">
        <f>_xlfn.AGGREGATE(3,3,$D$7:D274)</f>
        <v>268</v>
      </c>
      <c r="B274" s="143" t="s">
        <v>1392</v>
      </c>
      <c r="C274" s="144" t="s">
        <v>1391</v>
      </c>
      <c r="D274" s="146" t="s">
        <v>1386</v>
      </c>
      <c r="E274" s="144" t="s">
        <v>1390</v>
      </c>
      <c r="F274" s="144" t="s">
        <v>350</v>
      </c>
      <c r="G274" s="143" t="s">
        <v>1389</v>
      </c>
      <c r="H274" s="144" t="s">
        <v>1388</v>
      </c>
      <c r="I274" s="297">
        <v>2019</v>
      </c>
      <c r="J274" s="145" t="s">
        <v>196</v>
      </c>
      <c r="K274" s="297">
        <v>100</v>
      </c>
      <c r="L274" s="148">
        <v>45169</v>
      </c>
      <c r="M274" s="148">
        <v>46264</v>
      </c>
      <c r="N274" s="152">
        <v>45169</v>
      </c>
      <c r="O274" s="309" t="s">
        <v>584</v>
      </c>
      <c r="P274" s="145" t="s">
        <v>1387</v>
      </c>
      <c r="Q274" s="145" t="s">
        <v>20</v>
      </c>
      <c r="R274" s="145" t="s">
        <v>18</v>
      </c>
      <c r="S274" s="145" t="s">
        <v>20</v>
      </c>
      <c r="T274" s="145" t="s">
        <v>18</v>
      </c>
      <c r="U274" s="145" t="s">
        <v>18</v>
      </c>
      <c r="V274" s="145" t="s">
        <v>18</v>
      </c>
      <c r="W274" s="145" t="s">
        <v>18</v>
      </c>
      <c r="X274" s="145" t="s">
        <v>18</v>
      </c>
      <c r="Y274" s="145" t="s">
        <v>20</v>
      </c>
      <c r="Z274" s="148">
        <v>45169</v>
      </c>
      <c r="AA274" s="148">
        <v>46264</v>
      </c>
      <c r="AB274" s="293">
        <v>24</v>
      </c>
      <c r="AC274" s="293">
        <v>19</v>
      </c>
      <c r="AD274" s="145" t="s">
        <v>18</v>
      </c>
      <c r="AE274" s="145" t="s">
        <v>18</v>
      </c>
      <c r="AF274" s="150"/>
      <c r="AG274" s="155" t="s">
        <v>17</v>
      </c>
      <c r="AH274" s="294"/>
      <c r="AI274" s="299" t="s">
        <v>1386</v>
      </c>
      <c r="AJ274" s="195">
        <f>SUMIF('TK 15661.Bản quyền phim '!F:F,'KK1. Movies'!D274,'TK 15661.Bản quyền phim '!X:X)</f>
        <v>0</v>
      </c>
      <c r="AK274" s="195">
        <f>SUMIF('TK 15661.Bản quyền phim '!F:F,'KK1. Movies'!AI274,'TK 15661.Bản quyền phim '!X:X)</f>
        <v>0</v>
      </c>
      <c r="AL274" s="295">
        <f>COUNTIF('242.BQ Phim hợp tác'!$C:$C,'KK1. Movies'!AI274)</f>
        <v>0</v>
      </c>
      <c r="AM274" s="295">
        <f>COUNTIF('TK 15661.Bản quyền phim '!F:F,'KK1. Movies'!AI274)</f>
        <v>1</v>
      </c>
      <c r="AN274" s="296">
        <f t="shared" si="4"/>
        <v>1</v>
      </c>
      <c r="AO274" s="295"/>
      <c r="AP274" s="295"/>
      <c r="AQ274" s="295"/>
      <c r="AR274" s="295"/>
      <c r="AS274" s="295"/>
    </row>
    <row r="275" spans="1:45" s="296" customFormat="1" ht="26.4" x14ac:dyDescent="0.3">
      <c r="A275" s="292">
        <f>_xlfn.AGGREGATE(3,3,$D$7:D275)</f>
        <v>269</v>
      </c>
      <c r="B275" s="156" t="s">
        <v>1145</v>
      </c>
      <c r="C275" s="341" t="s">
        <v>1385</v>
      </c>
      <c r="D275" s="160" t="s">
        <v>1384</v>
      </c>
      <c r="E275" s="160" t="s">
        <v>1383</v>
      </c>
      <c r="F275" s="164" t="s">
        <v>1382</v>
      </c>
      <c r="G275" s="164" t="s">
        <v>1372</v>
      </c>
      <c r="H275" s="144" t="s">
        <v>1371</v>
      </c>
      <c r="I275" s="162">
        <v>2016</v>
      </c>
      <c r="J275" s="162" t="s">
        <v>1381</v>
      </c>
      <c r="K275" s="162">
        <v>89</v>
      </c>
      <c r="L275" s="163">
        <v>45787</v>
      </c>
      <c r="M275" s="148">
        <v>46507</v>
      </c>
      <c r="N275" s="157" t="s">
        <v>1145</v>
      </c>
      <c r="O275" s="145"/>
      <c r="P275" s="159">
        <v>12</v>
      </c>
      <c r="Q275" s="162" t="s">
        <v>20</v>
      </c>
      <c r="R275" s="145" t="s">
        <v>18</v>
      </c>
      <c r="S275" s="159" t="s">
        <v>18</v>
      </c>
      <c r="T275" s="159" t="s">
        <v>18</v>
      </c>
      <c r="U275" s="159" t="s">
        <v>18</v>
      </c>
      <c r="V275" s="159" t="s">
        <v>18</v>
      </c>
      <c r="W275" s="159" t="s">
        <v>18</v>
      </c>
      <c r="X275" s="159" t="s">
        <v>18</v>
      </c>
      <c r="Y275" s="159" t="s">
        <v>20</v>
      </c>
      <c r="Z275" s="165">
        <v>45787</v>
      </c>
      <c r="AA275" s="148">
        <v>46507</v>
      </c>
      <c r="AB275" s="162">
        <v>24</v>
      </c>
      <c r="AC275" s="293">
        <v>6</v>
      </c>
      <c r="AD275" s="145" t="s">
        <v>18</v>
      </c>
      <c r="AE275" s="145" t="s">
        <v>18</v>
      </c>
      <c r="AF275" s="150"/>
      <c r="AG275" s="155" t="s">
        <v>17</v>
      </c>
      <c r="AH275" s="294"/>
      <c r="AI275" s="300" t="s">
        <v>1380</v>
      </c>
      <c r="AJ275" s="195">
        <f>SUMIF('TK 15661.Bản quyền phim '!F:F,'KK1. Movies'!D275,'TK 15661.Bản quyền phim '!X:X)</f>
        <v>0</v>
      </c>
      <c r="AK275" s="195">
        <f>SUMIF('TK 15661.Bản quyền phim '!F:F,'KK1. Movies'!AI275,'TK 15661.Bản quyền phim '!X:X)</f>
        <v>35199238.666666672</v>
      </c>
      <c r="AL275" s="295">
        <f>COUNTIF('242.BQ Phim hợp tác'!$C:$C,'KK1. Movies'!AI275)</f>
        <v>0</v>
      </c>
      <c r="AM275" s="295">
        <f>COUNTIF('TK 15661.Bản quyền phim '!F:F,'KK1. Movies'!AI275)</f>
        <v>1</v>
      </c>
      <c r="AN275" s="296">
        <f t="shared" si="4"/>
        <v>1</v>
      </c>
      <c r="AO275" s="295"/>
      <c r="AP275" s="295"/>
      <c r="AQ275" s="295"/>
      <c r="AR275" s="295"/>
      <c r="AS275" s="295"/>
    </row>
    <row r="276" spans="1:45" s="296" customFormat="1" ht="39.6" x14ac:dyDescent="0.3">
      <c r="A276" s="292">
        <f>_xlfn.AGGREGATE(3,3,$D$7:D276)</f>
        <v>270</v>
      </c>
      <c r="B276" s="156" t="s">
        <v>1145</v>
      </c>
      <c r="C276" s="341" t="s">
        <v>1379</v>
      </c>
      <c r="D276" s="160" t="s">
        <v>1376</v>
      </c>
      <c r="E276" s="160" t="s">
        <v>1378</v>
      </c>
      <c r="F276" s="164" t="s">
        <v>1377</v>
      </c>
      <c r="G276" s="164" t="s">
        <v>1372</v>
      </c>
      <c r="H276" s="144" t="s">
        <v>1371</v>
      </c>
      <c r="I276" s="162">
        <v>2020</v>
      </c>
      <c r="J276" s="162" t="s">
        <v>196</v>
      </c>
      <c r="K276" s="162">
        <v>90</v>
      </c>
      <c r="L276" s="163">
        <v>45983</v>
      </c>
      <c r="M276" s="148">
        <v>46697</v>
      </c>
      <c r="N276" s="157" t="s">
        <v>1145</v>
      </c>
      <c r="O276" s="145"/>
      <c r="P276" s="159">
        <v>12</v>
      </c>
      <c r="Q276" s="162" t="s">
        <v>20</v>
      </c>
      <c r="R276" s="145" t="s">
        <v>18</v>
      </c>
      <c r="S276" s="159" t="s">
        <v>18</v>
      </c>
      <c r="T276" s="159" t="s">
        <v>18</v>
      </c>
      <c r="U276" s="159" t="s">
        <v>18</v>
      </c>
      <c r="V276" s="159" t="s">
        <v>18</v>
      </c>
      <c r="W276" s="159" t="s">
        <v>18</v>
      </c>
      <c r="X276" s="159" t="s">
        <v>18</v>
      </c>
      <c r="Y276" s="159" t="s">
        <v>20</v>
      </c>
      <c r="Z276" s="165">
        <v>45983</v>
      </c>
      <c r="AA276" s="148">
        <v>46697</v>
      </c>
      <c r="AB276" s="162">
        <v>24</v>
      </c>
      <c r="AC276" s="293"/>
      <c r="AD276" s="145" t="s">
        <v>18</v>
      </c>
      <c r="AE276" s="145" t="s">
        <v>18</v>
      </c>
      <c r="AF276" s="150"/>
      <c r="AG276" s="155" t="s">
        <v>17</v>
      </c>
      <c r="AH276" s="294"/>
      <c r="AI276" s="300" t="s">
        <v>1376</v>
      </c>
      <c r="AJ276" s="195">
        <f>SUMIF('TK 15661.Bản quyền phim '!F:F,'KK1. Movies'!D276,'TK 15661.Bản quyền phim '!X:X)</f>
        <v>59932952.666666672</v>
      </c>
      <c r="AK276" s="195">
        <f>SUMIF('TK 15661.Bản quyền phim '!F:F,'KK1. Movies'!AI276,'TK 15661.Bản quyền phim '!X:X)</f>
        <v>59932952.666666672</v>
      </c>
      <c r="AL276" s="295">
        <f>COUNTIF('242.BQ Phim hợp tác'!$C:$C,'KK1. Movies'!AI276)</f>
        <v>0</v>
      </c>
      <c r="AM276" s="295">
        <f>COUNTIF('TK 15661.Bản quyền phim '!F:F,'KK1. Movies'!AI276)</f>
        <v>1</v>
      </c>
      <c r="AN276" s="296">
        <f t="shared" si="4"/>
        <v>1</v>
      </c>
      <c r="AO276" s="295"/>
      <c r="AP276" s="295"/>
      <c r="AQ276" s="295"/>
      <c r="AR276" s="295"/>
      <c r="AS276" s="295"/>
    </row>
    <row r="277" spans="1:45" s="296" customFormat="1" ht="26.4" x14ac:dyDescent="0.3">
      <c r="A277" s="292">
        <f>_xlfn.AGGREGATE(3,3,$D$7:D277)</f>
        <v>271</v>
      </c>
      <c r="B277" s="156" t="s">
        <v>1145</v>
      </c>
      <c r="C277" s="144" t="s">
        <v>1375</v>
      </c>
      <c r="D277" s="160" t="s">
        <v>1369</v>
      </c>
      <c r="E277" s="160" t="s">
        <v>1374</v>
      </c>
      <c r="F277" s="164" t="s">
        <v>1373</v>
      </c>
      <c r="G277" s="164" t="s">
        <v>1372</v>
      </c>
      <c r="H277" s="144" t="s">
        <v>1371</v>
      </c>
      <c r="I277" s="162">
        <v>2024</v>
      </c>
      <c r="J277" s="162" t="s">
        <v>1370</v>
      </c>
      <c r="K277" s="162">
        <v>100</v>
      </c>
      <c r="L277" s="163">
        <v>45988</v>
      </c>
      <c r="M277" s="148">
        <v>47448</v>
      </c>
      <c r="N277" s="157" t="s">
        <v>1145</v>
      </c>
      <c r="O277" s="145"/>
      <c r="P277" s="159">
        <v>12</v>
      </c>
      <c r="Q277" s="162" t="s">
        <v>20</v>
      </c>
      <c r="R277" s="145" t="s">
        <v>18</v>
      </c>
      <c r="S277" s="159" t="s">
        <v>18</v>
      </c>
      <c r="T277" s="145" t="s">
        <v>18</v>
      </c>
      <c r="U277" s="159" t="s">
        <v>18</v>
      </c>
      <c r="V277" s="159" t="s">
        <v>18</v>
      </c>
      <c r="W277" s="159" t="s">
        <v>18</v>
      </c>
      <c r="X277" s="159" t="s">
        <v>18</v>
      </c>
      <c r="Y277" s="159" t="s">
        <v>20</v>
      </c>
      <c r="Z277" s="165">
        <v>45988</v>
      </c>
      <c r="AA277" s="148">
        <v>47448</v>
      </c>
      <c r="AB277" s="162">
        <v>24</v>
      </c>
      <c r="AC277" s="293"/>
      <c r="AD277" s="145" t="s">
        <v>18</v>
      </c>
      <c r="AE277" s="145" t="s">
        <v>18</v>
      </c>
      <c r="AF277" s="150"/>
      <c r="AG277" s="155" t="s">
        <v>17</v>
      </c>
      <c r="AH277" s="294"/>
      <c r="AI277" s="300" t="s">
        <v>1369</v>
      </c>
      <c r="AJ277" s="195">
        <f>SUMIF('TK 15661.Bản quyền phim '!F:F,'KK1. Movies'!D277,'TK 15661.Bản quyền phim '!X:X)</f>
        <v>59932952.666666672</v>
      </c>
      <c r="AK277" s="195">
        <f>SUMIF('TK 15661.Bản quyền phim '!F:F,'KK1. Movies'!AI277,'TK 15661.Bản quyền phim '!X:X)</f>
        <v>59932952.666666672</v>
      </c>
      <c r="AL277" s="295">
        <f>COUNTIF('242.BQ Phim hợp tác'!$C:$C,'KK1. Movies'!AI277)</f>
        <v>0</v>
      </c>
      <c r="AM277" s="295">
        <f>COUNTIF('TK 15661.Bản quyền phim '!F:F,'KK1. Movies'!AI277)</f>
        <v>1</v>
      </c>
      <c r="AN277" s="296">
        <f t="shared" si="4"/>
        <v>1</v>
      </c>
      <c r="AO277" s="295"/>
      <c r="AP277" s="295"/>
      <c r="AQ277" s="295"/>
      <c r="AR277" s="295"/>
      <c r="AS277" s="295"/>
    </row>
    <row r="278" spans="1:45" s="296" customFormat="1" ht="26.4" x14ac:dyDescent="0.3">
      <c r="A278" s="292">
        <f>_xlfn.AGGREGATE(3,3,$D$7:D278)</f>
        <v>272</v>
      </c>
      <c r="B278" s="156" t="s">
        <v>1145</v>
      </c>
      <c r="C278" s="144" t="s">
        <v>1368</v>
      </c>
      <c r="D278" s="160" t="s">
        <v>1365</v>
      </c>
      <c r="E278" s="144" t="s">
        <v>1367</v>
      </c>
      <c r="F278" s="158" t="s">
        <v>1366</v>
      </c>
      <c r="G278" s="158" t="s">
        <v>1351</v>
      </c>
      <c r="H278" s="144" t="s">
        <v>1350</v>
      </c>
      <c r="I278" s="159">
        <v>2023</v>
      </c>
      <c r="J278" s="159" t="s">
        <v>178</v>
      </c>
      <c r="K278" s="159">
        <v>112</v>
      </c>
      <c r="L278" s="163">
        <v>45877</v>
      </c>
      <c r="M278" s="148">
        <v>46972</v>
      </c>
      <c r="N278" s="157" t="s">
        <v>1145</v>
      </c>
      <c r="O278" s="145"/>
      <c r="P278" s="159">
        <v>12</v>
      </c>
      <c r="Q278" s="159" t="s">
        <v>20</v>
      </c>
      <c r="R278" s="145" t="s">
        <v>18</v>
      </c>
      <c r="S278" s="162" t="s">
        <v>18</v>
      </c>
      <c r="T278" s="145" t="s">
        <v>18</v>
      </c>
      <c r="U278" s="162" t="s">
        <v>18</v>
      </c>
      <c r="V278" s="162" t="s">
        <v>18</v>
      </c>
      <c r="W278" s="162" t="s">
        <v>18</v>
      </c>
      <c r="X278" s="162" t="s">
        <v>18</v>
      </c>
      <c r="Y278" s="159" t="s">
        <v>18</v>
      </c>
      <c r="Z278" s="169">
        <v>45877</v>
      </c>
      <c r="AA278" s="344">
        <v>46972</v>
      </c>
      <c r="AB278" s="159">
        <v>24</v>
      </c>
      <c r="AC278" s="293"/>
      <c r="AD278" s="145" t="s">
        <v>18</v>
      </c>
      <c r="AE278" s="145" t="s">
        <v>18</v>
      </c>
      <c r="AF278" s="150"/>
      <c r="AG278" s="155" t="s">
        <v>17</v>
      </c>
      <c r="AH278" s="294"/>
      <c r="AI278" s="300" t="s">
        <v>1365</v>
      </c>
      <c r="AJ278" s="195">
        <f>SUMIF('TK 15661.Bản quyền phim '!F:F,'KK1. Movies'!D278,'TK 15661.Bản quyền phim '!X:X)</f>
        <v>54831746</v>
      </c>
      <c r="AK278" s="195">
        <f>SUMIF('TK 15661.Bản quyền phim '!F:F,'KK1. Movies'!AI278,'TK 15661.Bản quyền phim '!X:X)</f>
        <v>54831746</v>
      </c>
      <c r="AL278" s="295">
        <f>COUNTIF('242.BQ Phim hợp tác'!$C:$C,'KK1. Movies'!AI278)</f>
        <v>0</v>
      </c>
      <c r="AM278" s="295">
        <f>COUNTIF('TK 15661.Bản quyền phim '!F:F,'KK1. Movies'!AI278)</f>
        <v>1</v>
      </c>
      <c r="AN278" s="296">
        <f t="shared" si="4"/>
        <v>1</v>
      </c>
      <c r="AO278" s="295"/>
      <c r="AP278" s="295"/>
      <c r="AQ278" s="295"/>
      <c r="AR278" s="295"/>
      <c r="AS278" s="295"/>
    </row>
    <row r="279" spans="1:45" s="296" customFormat="1" ht="26.4" x14ac:dyDescent="0.3">
      <c r="A279" s="292">
        <f>_xlfn.AGGREGATE(3,3,$D$7:D279)</f>
        <v>273</v>
      </c>
      <c r="B279" s="156" t="s">
        <v>1145</v>
      </c>
      <c r="C279" s="144" t="s">
        <v>1364</v>
      </c>
      <c r="D279" s="160" t="s">
        <v>1361</v>
      </c>
      <c r="E279" s="144" t="s">
        <v>1363</v>
      </c>
      <c r="F279" s="158" t="s">
        <v>1362</v>
      </c>
      <c r="G279" s="158" t="s">
        <v>1351</v>
      </c>
      <c r="H279" s="144" t="s">
        <v>1350</v>
      </c>
      <c r="I279" s="159">
        <v>2022</v>
      </c>
      <c r="J279" s="159" t="s">
        <v>178</v>
      </c>
      <c r="K279" s="159">
        <v>122</v>
      </c>
      <c r="L279" s="163">
        <v>45884</v>
      </c>
      <c r="M279" s="148">
        <v>46979</v>
      </c>
      <c r="N279" s="157" t="s">
        <v>1145</v>
      </c>
      <c r="O279" s="145"/>
      <c r="P279" s="159">
        <v>12</v>
      </c>
      <c r="Q279" s="159" t="s">
        <v>20</v>
      </c>
      <c r="R279" s="145" t="s">
        <v>18</v>
      </c>
      <c r="S279" s="162" t="s">
        <v>18</v>
      </c>
      <c r="T279" s="145" t="s">
        <v>18</v>
      </c>
      <c r="U279" s="162" t="s">
        <v>18</v>
      </c>
      <c r="V279" s="162" t="s">
        <v>18</v>
      </c>
      <c r="W279" s="162" t="s">
        <v>18</v>
      </c>
      <c r="X279" s="162" t="s">
        <v>18</v>
      </c>
      <c r="Y279" s="159" t="s">
        <v>18</v>
      </c>
      <c r="Z279" s="169">
        <v>45884</v>
      </c>
      <c r="AA279" s="344">
        <v>46979</v>
      </c>
      <c r="AB279" s="159">
        <v>24</v>
      </c>
      <c r="AC279" s="293"/>
      <c r="AD279" s="145" t="s">
        <v>18</v>
      </c>
      <c r="AE279" s="145" t="s">
        <v>18</v>
      </c>
      <c r="AF279" s="150"/>
      <c r="AG279" s="155" t="s">
        <v>17</v>
      </c>
      <c r="AH279" s="294"/>
      <c r="AI279" s="300" t="s">
        <v>1361</v>
      </c>
      <c r="AJ279" s="195">
        <f>SUMIF('TK 15661.Bản quyền phim '!F:F,'KK1. Movies'!D279,'TK 15661.Bản quyền phim '!X:X)</f>
        <v>59669841.333333328</v>
      </c>
      <c r="AK279" s="195">
        <f>SUMIF('TK 15661.Bản quyền phim '!F:F,'KK1. Movies'!AI279,'TK 15661.Bản quyền phim '!X:X)</f>
        <v>59669841.333333328</v>
      </c>
      <c r="AL279" s="295">
        <f>COUNTIF('242.BQ Phim hợp tác'!$C:$C,'KK1. Movies'!AI279)</f>
        <v>0</v>
      </c>
      <c r="AM279" s="295">
        <f>COUNTIF('TK 15661.Bản quyền phim '!F:F,'KK1. Movies'!AI279)</f>
        <v>1</v>
      </c>
      <c r="AN279" s="296">
        <f t="shared" si="4"/>
        <v>1</v>
      </c>
      <c r="AO279" s="295"/>
      <c r="AP279" s="295"/>
      <c r="AQ279" s="295"/>
      <c r="AR279" s="295"/>
      <c r="AS279" s="295"/>
    </row>
    <row r="280" spans="1:45" s="296" customFormat="1" ht="26.4" x14ac:dyDescent="0.3">
      <c r="A280" s="292">
        <f>_xlfn.AGGREGATE(3,3,$D$7:D280)</f>
        <v>274</v>
      </c>
      <c r="B280" s="156" t="s">
        <v>1145</v>
      </c>
      <c r="C280" s="144" t="s">
        <v>1360</v>
      </c>
      <c r="D280" s="160" t="s">
        <v>1356</v>
      </c>
      <c r="E280" s="144" t="s">
        <v>1359</v>
      </c>
      <c r="F280" s="158" t="s">
        <v>1358</v>
      </c>
      <c r="G280" s="158" t="s">
        <v>1351</v>
      </c>
      <c r="H280" s="144" t="s">
        <v>1350</v>
      </c>
      <c r="I280" s="159">
        <v>2023</v>
      </c>
      <c r="J280" s="159" t="s">
        <v>178</v>
      </c>
      <c r="K280" s="159">
        <v>134</v>
      </c>
      <c r="L280" s="163">
        <v>45896</v>
      </c>
      <c r="M280" s="148">
        <v>46991</v>
      </c>
      <c r="N280" s="157" t="s">
        <v>1145</v>
      </c>
      <c r="O280" s="145"/>
      <c r="P280" s="159">
        <v>12</v>
      </c>
      <c r="Q280" s="159" t="s">
        <v>20</v>
      </c>
      <c r="R280" s="145" t="s">
        <v>18</v>
      </c>
      <c r="S280" s="162" t="s">
        <v>18</v>
      </c>
      <c r="T280" s="145" t="s">
        <v>18</v>
      </c>
      <c r="U280" s="162" t="s">
        <v>18</v>
      </c>
      <c r="V280" s="162" t="s">
        <v>18</v>
      </c>
      <c r="W280" s="162" t="s">
        <v>18</v>
      </c>
      <c r="X280" s="162" t="s">
        <v>18</v>
      </c>
      <c r="Y280" s="159" t="s">
        <v>18</v>
      </c>
      <c r="Z280" s="348" t="s">
        <v>1357</v>
      </c>
      <c r="AA280" s="344">
        <v>46991</v>
      </c>
      <c r="AB280" s="159">
        <v>24</v>
      </c>
      <c r="AC280" s="293"/>
      <c r="AD280" s="145" t="s">
        <v>18</v>
      </c>
      <c r="AE280" s="145" t="s">
        <v>18</v>
      </c>
      <c r="AF280" s="150"/>
      <c r="AG280" s="155" t="s">
        <v>17</v>
      </c>
      <c r="AH280" s="294"/>
      <c r="AI280" s="300" t="s">
        <v>1356</v>
      </c>
      <c r="AJ280" s="195">
        <f>SUMIF('TK 15661.Bản quyền phim '!F:F,'KK1. Movies'!D280,'TK 15661.Bản quyền phim '!X:X)</f>
        <v>56444444.666666672</v>
      </c>
      <c r="AK280" s="195">
        <f>SUMIF('TK 15661.Bản quyền phim '!F:F,'KK1. Movies'!AI280,'TK 15661.Bản quyền phim '!X:X)</f>
        <v>56444444.666666672</v>
      </c>
      <c r="AL280" s="295">
        <f>COUNTIF('242.BQ Phim hợp tác'!$C:$C,'KK1. Movies'!AI280)</f>
        <v>0</v>
      </c>
      <c r="AM280" s="295">
        <f>COUNTIF('TK 15661.Bản quyền phim '!F:F,'KK1. Movies'!AI280)</f>
        <v>1</v>
      </c>
      <c r="AN280" s="296">
        <f t="shared" si="4"/>
        <v>1</v>
      </c>
      <c r="AO280" s="295"/>
      <c r="AP280" s="295"/>
      <c r="AQ280" s="295"/>
      <c r="AR280" s="295"/>
      <c r="AS280" s="295"/>
    </row>
    <row r="281" spans="1:45" s="296" customFormat="1" ht="26.4" x14ac:dyDescent="0.3">
      <c r="A281" s="292">
        <f>_xlfn.AGGREGATE(3,3,$D$7:D281)</f>
        <v>275</v>
      </c>
      <c r="B281" s="156" t="s">
        <v>1145</v>
      </c>
      <c r="C281" s="341" t="s">
        <v>1355</v>
      </c>
      <c r="D281" s="160" t="s">
        <v>1354</v>
      </c>
      <c r="E281" s="144" t="s">
        <v>1353</v>
      </c>
      <c r="F281" s="158" t="s">
        <v>1352</v>
      </c>
      <c r="G281" s="158" t="s">
        <v>1351</v>
      </c>
      <c r="H281" s="144" t="s">
        <v>1350</v>
      </c>
      <c r="I281" s="159">
        <v>2021</v>
      </c>
      <c r="J281" s="159" t="s">
        <v>178</v>
      </c>
      <c r="K281" s="159">
        <v>128</v>
      </c>
      <c r="L281" s="163">
        <v>45945</v>
      </c>
      <c r="M281" s="148">
        <v>47040</v>
      </c>
      <c r="N281" s="157" t="s">
        <v>1145</v>
      </c>
      <c r="O281" s="145"/>
      <c r="P281" s="159">
        <v>12</v>
      </c>
      <c r="Q281" s="159" t="s">
        <v>20</v>
      </c>
      <c r="R281" s="145" t="s">
        <v>18</v>
      </c>
      <c r="S281" s="162" t="s">
        <v>18</v>
      </c>
      <c r="T281" s="145" t="s">
        <v>18</v>
      </c>
      <c r="U281" s="162" t="s">
        <v>18</v>
      </c>
      <c r="V281" s="162" t="s">
        <v>18</v>
      </c>
      <c r="W281" s="162" t="s">
        <v>18</v>
      </c>
      <c r="X281" s="162" t="s">
        <v>18</v>
      </c>
      <c r="Y281" s="159" t="s">
        <v>18</v>
      </c>
      <c r="Z281" s="169">
        <v>45945</v>
      </c>
      <c r="AA281" s="344">
        <v>47040</v>
      </c>
      <c r="AB281" s="159">
        <v>24</v>
      </c>
      <c r="AC281" s="293"/>
      <c r="AD281" s="145" t="s">
        <v>18</v>
      </c>
      <c r="AE281" s="145" t="s">
        <v>18</v>
      </c>
      <c r="AF281" s="150"/>
      <c r="AG281" s="155" t="s">
        <v>17</v>
      </c>
      <c r="AH281" s="294"/>
      <c r="AI281" s="300" t="s">
        <v>1349</v>
      </c>
      <c r="AJ281" s="195">
        <f>SUMIF('TK 15661.Bản quyền phim '!F:F,'KK1. Movies'!D281,'TK 15661.Bản quyền phim '!X:X)</f>
        <v>0</v>
      </c>
      <c r="AK281" s="195">
        <f>SUMIF('TK 15661.Bản quyền phim '!F:F,'KK1. Movies'!AI281,'TK 15661.Bản quyền phim '!X:X)</f>
        <v>61282540</v>
      </c>
      <c r="AL281" s="295">
        <f>COUNTIF('242.BQ Phim hợp tác'!$C:$C,'KK1. Movies'!AI281)</f>
        <v>0</v>
      </c>
      <c r="AM281" s="295">
        <f>COUNTIF('TK 15661.Bản quyền phim '!F:F,'KK1. Movies'!AI281)</f>
        <v>1</v>
      </c>
      <c r="AN281" s="296">
        <f t="shared" si="4"/>
        <v>1</v>
      </c>
      <c r="AO281" s="295"/>
      <c r="AP281" s="295"/>
      <c r="AQ281" s="295"/>
      <c r="AR281" s="295"/>
      <c r="AS281" s="295"/>
    </row>
    <row r="282" spans="1:45" s="296" customFormat="1" ht="26.4" x14ac:dyDescent="0.3">
      <c r="A282" s="292">
        <f>_xlfn.AGGREGATE(3,3,$D$7:D282)</f>
        <v>276</v>
      </c>
      <c r="B282" s="156" t="s">
        <v>1145</v>
      </c>
      <c r="C282" s="144" t="s">
        <v>1348</v>
      </c>
      <c r="D282" s="160" t="s">
        <v>1347</v>
      </c>
      <c r="E282" s="142" t="s">
        <v>1346</v>
      </c>
      <c r="F282" s="158" t="s">
        <v>1345</v>
      </c>
      <c r="G282" s="158" t="s">
        <v>1341</v>
      </c>
      <c r="H282" s="144" t="s">
        <v>1340</v>
      </c>
      <c r="I282" s="159">
        <v>2021</v>
      </c>
      <c r="J282" s="159" t="s">
        <v>196</v>
      </c>
      <c r="K282" s="159">
        <v>100</v>
      </c>
      <c r="L282" s="163">
        <v>45694</v>
      </c>
      <c r="M282" s="161">
        <v>46788</v>
      </c>
      <c r="N282" s="157" t="s">
        <v>1145</v>
      </c>
      <c r="O282" s="145"/>
      <c r="P282" s="159">
        <v>12</v>
      </c>
      <c r="Q282" s="159" t="s">
        <v>20</v>
      </c>
      <c r="R282" s="145" t="s">
        <v>18</v>
      </c>
      <c r="S282" s="162" t="s">
        <v>18</v>
      </c>
      <c r="T282" s="145" t="s">
        <v>18</v>
      </c>
      <c r="U282" s="162" t="s">
        <v>18</v>
      </c>
      <c r="V282" s="162" t="s">
        <v>18</v>
      </c>
      <c r="W282" s="162" t="s">
        <v>18</v>
      </c>
      <c r="X282" s="162" t="s">
        <v>18</v>
      </c>
      <c r="Y282" s="159" t="s">
        <v>18</v>
      </c>
      <c r="Z282" s="163">
        <v>45694</v>
      </c>
      <c r="AA282" s="161">
        <v>46788</v>
      </c>
      <c r="AB282" s="159">
        <v>24</v>
      </c>
      <c r="AC282" s="293"/>
      <c r="AD282" s="145" t="s">
        <v>18</v>
      </c>
      <c r="AE282" s="145" t="s">
        <v>18</v>
      </c>
      <c r="AF282" s="150"/>
      <c r="AG282" s="155" t="s">
        <v>17</v>
      </c>
      <c r="AH282" s="294"/>
      <c r="AI282" s="300" t="s">
        <v>1344</v>
      </c>
      <c r="AJ282" s="195">
        <f>SUMIF('TK 15661.Bản quyền phim '!F:F,'KK1. Movies'!D282,'TK 15661.Bản quyền phim '!X:X)</f>
        <v>0</v>
      </c>
      <c r="AK282" s="195">
        <f>SUMIF('TK 15661.Bản quyền phim '!F:F,'KK1. Movies'!AI282,'TK 15661.Bản quyền phim '!X:X)</f>
        <v>57142857.333333328</v>
      </c>
      <c r="AL282" s="295">
        <f>COUNTIF('242.BQ Phim hợp tác'!$C:$C,'KK1. Movies'!AI282)</f>
        <v>0</v>
      </c>
      <c r="AM282" s="295">
        <f>COUNTIF('TK 15661.Bản quyền phim '!F:F,'KK1. Movies'!AI282)</f>
        <v>1</v>
      </c>
      <c r="AN282" s="296">
        <f t="shared" si="4"/>
        <v>1</v>
      </c>
      <c r="AO282" s="295"/>
      <c r="AP282" s="295"/>
      <c r="AQ282" s="295"/>
      <c r="AR282" s="295"/>
      <c r="AS282" s="295"/>
    </row>
    <row r="283" spans="1:45" s="296" customFormat="1" x14ac:dyDescent="0.3">
      <c r="A283" s="292">
        <f>_xlfn.AGGREGATE(3,3,$D$7:D283)</f>
        <v>277</v>
      </c>
      <c r="B283" s="156" t="s">
        <v>1145</v>
      </c>
      <c r="C283" s="144" t="s">
        <v>1343</v>
      </c>
      <c r="D283" s="160" t="s">
        <v>1339</v>
      </c>
      <c r="E283" s="142" t="s">
        <v>1342</v>
      </c>
      <c r="F283" s="158" t="s">
        <v>394</v>
      </c>
      <c r="G283" s="158" t="s">
        <v>1341</v>
      </c>
      <c r="H283" s="144" t="s">
        <v>1340</v>
      </c>
      <c r="I283" s="159">
        <v>2020</v>
      </c>
      <c r="J283" s="159" t="s">
        <v>196</v>
      </c>
      <c r="K283" s="159">
        <v>84</v>
      </c>
      <c r="L283" s="163">
        <v>45932</v>
      </c>
      <c r="M283" s="148">
        <v>46965</v>
      </c>
      <c r="N283" s="157" t="s">
        <v>1145</v>
      </c>
      <c r="O283" s="145"/>
      <c r="P283" s="159">
        <v>12</v>
      </c>
      <c r="Q283" s="159" t="s">
        <v>20</v>
      </c>
      <c r="R283" s="145" t="s">
        <v>18</v>
      </c>
      <c r="S283" s="162" t="s">
        <v>18</v>
      </c>
      <c r="T283" s="145" t="s">
        <v>18</v>
      </c>
      <c r="U283" s="162" t="s">
        <v>18</v>
      </c>
      <c r="V283" s="162" t="s">
        <v>18</v>
      </c>
      <c r="W283" s="162" t="s">
        <v>18</v>
      </c>
      <c r="X283" s="162" t="s">
        <v>18</v>
      </c>
      <c r="Y283" s="159" t="s">
        <v>18</v>
      </c>
      <c r="Z283" s="163">
        <v>45932</v>
      </c>
      <c r="AA283" s="148">
        <v>46965</v>
      </c>
      <c r="AB283" s="159">
        <v>24</v>
      </c>
      <c r="AC283" s="293"/>
      <c r="AD283" s="145" t="s">
        <v>18</v>
      </c>
      <c r="AE283" s="145" t="s">
        <v>18</v>
      </c>
      <c r="AF283" s="150"/>
      <c r="AG283" s="155" t="s">
        <v>17</v>
      </c>
      <c r="AH283" s="294"/>
      <c r="AI283" s="300" t="s">
        <v>1339</v>
      </c>
      <c r="AJ283" s="195">
        <f>SUMIF('TK 15661.Bản quyền phim '!F:F,'KK1. Movies'!D283,'TK 15661.Bản quyền phim '!X:X)</f>
        <v>50793650.666666672</v>
      </c>
      <c r="AK283" s="195">
        <f>SUMIF('TK 15661.Bản quyền phim '!F:F,'KK1. Movies'!AI283,'TK 15661.Bản quyền phim '!X:X)</f>
        <v>50793650.666666672</v>
      </c>
      <c r="AL283" s="295">
        <f>COUNTIF('242.BQ Phim hợp tác'!$C:$C,'KK1. Movies'!AI283)</f>
        <v>0</v>
      </c>
      <c r="AM283" s="295">
        <f>COUNTIF('TK 15661.Bản quyền phim '!F:F,'KK1. Movies'!AI283)</f>
        <v>1</v>
      </c>
      <c r="AN283" s="296">
        <f t="shared" si="4"/>
        <v>1</v>
      </c>
      <c r="AO283" s="295"/>
      <c r="AP283" s="295"/>
      <c r="AQ283" s="295"/>
      <c r="AR283" s="295"/>
      <c r="AS283" s="295"/>
    </row>
    <row r="284" spans="1:45" s="296" customFormat="1" ht="26.4" x14ac:dyDescent="0.3">
      <c r="A284" s="292">
        <f>_xlfn.AGGREGATE(3,3,$D$7:D284)</f>
        <v>278</v>
      </c>
      <c r="B284" s="156" t="s">
        <v>1145</v>
      </c>
      <c r="C284" s="144" t="s">
        <v>1338</v>
      </c>
      <c r="D284" s="160" t="s">
        <v>1334</v>
      </c>
      <c r="E284" s="142" t="s">
        <v>1337</v>
      </c>
      <c r="F284" s="144" t="s">
        <v>511</v>
      </c>
      <c r="G284" s="158" t="s">
        <v>1336</v>
      </c>
      <c r="H284" s="144" t="s">
        <v>1335</v>
      </c>
      <c r="I284" s="159">
        <v>2018</v>
      </c>
      <c r="J284" s="145" t="s">
        <v>88</v>
      </c>
      <c r="K284" s="159">
        <v>110</v>
      </c>
      <c r="L284" s="163">
        <v>45947</v>
      </c>
      <c r="M284" s="161">
        <v>47042</v>
      </c>
      <c r="N284" s="157" t="s">
        <v>1145</v>
      </c>
      <c r="O284" s="145"/>
      <c r="P284" s="145"/>
      <c r="Q284" s="159" t="s">
        <v>20</v>
      </c>
      <c r="R284" s="145" t="s">
        <v>18</v>
      </c>
      <c r="S284" s="162" t="s">
        <v>18</v>
      </c>
      <c r="T284" s="145" t="s">
        <v>18</v>
      </c>
      <c r="U284" s="162" t="s">
        <v>18</v>
      </c>
      <c r="V284" s="162" t="s">
        <v>18</v>
      </c>
      <c r="W284" s="162" t="s">
        <v>18</v>
      </c>
      <c r="X284" s="162" t="s">
        <v>18</v>
      </c>
      <c r="Y284" s="162" t="s">
        <v>18</v>
      </c>
      <c r="Z284" s="161">
        <v>45947</v>
      </c>
      <c r="AA284" s="188">
        <v>47042</v>
      </c>
      <c r="AB284" s="159">
        <v>24</v>
      </c>
      <c r="AC284" s="293"/>
      <c r="AD284" s="145" t="s">
        <v>18</v>
      </c>
      <c r="AE284" s="145" t="s">
        <v>18</v>
      </c>
      <c r="AF284" s="150"/>
      <c r="AG284" s="155" t="s">
        <v>17</v>
      </c>
      <c r="AH284" s="294"/>
      <c r="AI284" s="300" t="s">
        <v>1334</v>
      </c>
      <c r="AJ284" s="195">
        <f>SUMIF('TK 15661.Bản quyền phim '!F:F,'KK1. Movies'!D284,'TK 15661.Bản quyền phim '!X:X)</f>
        <v>44444444.666666672</v>
      </c>
      <c r="AK284" s="195">
        <f>SUMIF('TK 15661.Bản quyền phim '!F:F,'KK1. Movies'!AI284,'TK 15661.Bản quyền phim '!X:X)</f>
        <v>44444444.666666672</v>
      </c>
      <c r="AL284" s="295">
        <f>COUNTIF('242.BQ Phim hợp tác'!$C:$C,'KK1. Movies'!AI284)</f>
        <v>0</v>
      </c>
      <c r="AM284" s="295">
        <f>COUNTIF('TK 15661.Bản quyền phim '!F:F,'KK1. Movies'!AI284)</f>
        <v>1</v>
      </c>
      <c r="AN284" s="296">
        <f t="shared" si="4"/>
        <v>1</v>
      </c>
      <c r="AO284" s="295"/>
      <c r="AP284" s="295"/>
      <c r="AQ284" s="295"/>
      <c r="AR284" s="295"/>
      <c r="AS284" s="295"/>
    </row>
    <row r="285" spans="1:45" s="296" customFormat="1" ht="26.4" x14ac:dyDescent="0.3">
      <c r="A285" s="292">
        <f>_xlfn.AGGREGATE(3,3,$D$7:D285)</f>
        <v>279</v>
      </c>
      <c r="B285" s="156" t="s">
        <v>1145</v>
      </c>
      <c r="C285" s="144" t="s">
        <v>1333</v>
      </c>
      <c r="D285" s="160" t="s">
        <v>1331</v>
      </c>
      <c r="E285" s="166" t="s">
        <v>1332</v>
      </c>
      <c r="F285" s="144" t="s">
        <v>350</v>
      </c>
      <c r="G285" s="158" t="s">
        <v>1324</v>
      </c>
      <c r="H285" s="144" t="s">
        <v>1323</v>
      </c>
      <c r="I285" s="159">
        <v>2024</v>
      </c>
      <c r="J285" s="159" t="s">
        <v>196</v>
      </c>
      <c r="K285" s="159">
        <v>96</v>
      </c>
      <c r="L285" s="163">
        <v>45882</v>
      </c>
      <c r="M285" s="161">
        <v>46977</v>
      </c>
      <c r="N285" s="163"/>
      <c r="O285" s="145"/>
      <c r="P285" s="159">
        <v>12</v>
      </c>
      <c r="Q285" s="159" t="s">
        <v>20</v>
      </c>
      <c r="R285" s="159" t="s">
        <v>18</v>
      </c>
      <c r="S285" s="159" t="s">
        <v>18</v>
      </c>
      <c r="T285" s="145" t="s">
        <v>18</v>
      </c>
      <c r="U285" s="159" t="s">
        <v>18</v>
      </c>
      <c r="V285" s="159" t="s">
        <v>18</v>
      </c>
      <c r="W285" s="159" t="s">
        <v>18</v>
      </c>
      <c r="X285" s="159" t="s">
        <v>18</v>
      </c>
      <c r="Y285" s="159" t="s">
        <v>18</v>
      </c>
      <c r="Z285" s="161">
        <v>45882</v>
      </c>
      <c r="AA285" s="188">
        <v>46977</v>
      </c>
      <c r="AB285" s="159" t="s">
        <v>1322</v>
      </c>
      <c r="AC285" s="293"/>
      <c r="AD285" s="145" t="s">
        <v>18</v>
      </c>
      <c r="AE285" s="145" t="s">
        <v>18</v>
      </c>
      <c r="AF285" s="150"/>
      <c r="AG285" s="155" t="s">
        <v>17</v>
      </c>
      <c r="AH285" s="294"/>
      <c r="AI285" s="300" t="s">
        <v>1331</v>
      </c>
      <c r="AJ285" s="195">
        <f>SUMIF('TK 15661.Bản quyền phim '!F:F,'KK1. Movies'!D285,'TK 15661.Bản quyền phim '!X:X)</f>
        <v>31746032</v>
      </c>
      <c r="AK285" s="195">
        <f>SUMIF('TK 15661.Bản quyền phim '!F:F,'KK1. Movies'!AI285,'TK 15661.Bản quyền phim '!X:X)</f>
        <v>31746032</v>
      </c>
      <c r="AL285" s="295">
        <f>COUNTIF('242.BQ Phim hợp tác'!$C:$C,'KK1. Movies'!AI285)</f>
        <v>0</v>
      </c>
      <c r="AM285" s="295">
        <f>COUNTIF('TK 15661.Bản quyền phim '!F:F,'KK1. Movies'!AI285)</f>
        <v>1</v>
      </c>
      <c r="AN285" s="296">
        <f t="shared" si="4"/>
        <v>1</v>
      </c>
      <c r="AO285" s="295"/>
      <c r="AP285" s="295"/>
      <c r="AQ285" s="295"/>
      <c r="AR285" s="295"/>
      <c r="AS285" s="295"/>
    </row>
    <row r="286" spans="1:45" s="296" customFormat="1" ht="26.4" x14ac:dyDescent="0.3">
      <c r="A286" s="292">
        <f>_xlfn.AGGREGATE(3,3,$D$7:D286)</f>
        <v>280</v>
      </c>
      <c r="B286" s="156" t="s">
        <v>1145</v>
      </c>
      <c r="C286" s="341" t="s">
        <v>1330</v>
      </c>
      <c r="D286" s="160" t="s">
        <v>1327</v>
      </c>
      <c r="E286" s="166" t="s">
        <v>1329</v>
      </c>
      <c r="F286" s="144" t="s">
        <v>1142</v>
      </c>
      <c r="G286" s="158" t="s">
        <v>1324</v>
      </c>
      <c r="H286" s="144" t="s">
        <v>1323</v>
      </c>
      <c r="I286" s="159">
        <v>2024</v>
      </c>
      <c r="J286" s="150" t="s">
        <v>1328</v>
      </c>
      <c r="K286" s="159">
        <v>87</v>
      </c>
      <c r="L286" s="163">
        <v>46004</v>
      </c>
      <c r="M286" s="161">
        <v>47099</v>
      </c>
      <c r="N286" s="157"/>
      <c r="O286" s="145"/>
      <c r="P286" s="159">
        <v>12</v>
      </c>
      <c r="Q286" s="159" t="s">
        <v>20</v>
      </c>
      <c r="R286" s="159" t="s">
        <v>18</v>
      </c>
      <c r="S286" s="159" t="s">
        <v>18</v>
      </c>
      <c r="T286" s="159" t="s">
        <v>18</v>
      </c>
      <c r="U286" s="159" t="s">
        <v>18</v>
      </c>
      <c r="V286" s="159" t="s">
        <v>18</v>
      </c>
      <c r="W286" s="159" t="s">
        <v>18</v>
      </c>
      <c r="X286" s="159" t="s">
        <v>18</v>
      </c>
      <c r="Y286" s="159" t="s">
        <v>18</v>
      </c>
      <c r="Z286" s="161">
        <v>46004</v>
      </c>
      <c r="AA286" s="188">
        <v>47099</v>
      </c>
      <c r="AB286" s="159" t="s">
        <v>1322</v>
      </c>
      <c r="AC286" s="293">
        <v>10</v>
      </c>
      <c r="AD286" s="145" t="s">
        <v>18</v>
      </c>
      <c r="AE286" s="145" t="s">
        <v>18</v>
      </c>
      <c r="AF286" s="150"/>
      <c r="AG286" s="155" t="s">
        <v>17</v>
      </c>
      <c r="AH286" s="294"/>
      <c r="AI286" s="300" t="s">
        <v>1327</v>
      </c>
      <c r="AJ286" s="195">
        <f>SUMIF('TK 15661.Bản quyền phim '!F:F,'KK1. Movies'!D286,'TK 15661.Bản quyền phim '!X:X)</f>
        <v>57142857.333333328</v>
      </c>
      <c r="AK286" s="195">
        <f>SUMIF('TK 15661.Bản quyền phim '!F:F,'KK1. Movies'!AI286,'TK 15661.Bản quyền phim '!X:X)</f>
        <v>57142857.333333328</v>
      </c>
      <c r="AL286" s="295">
        <f>COUNTIF('242.BQ Phim hợp tác'!$C:$C,'KK1. Movies'!AI286)</f>
        <v>0</v>
      </c>
      <c r="AM286" s="295">
        <f>COUNTIF('TK 15661.Bản quyền phim '!F:F,'KK1. Movies'!AI286)</f>
        <v>1</v>
      </c>
      <c r="AN286" s="296">
        <f t="shared" si="4"/>
        <v>1</v>
      </c>
      <c r="AO286" s="295"/>
      <c r="AP286" s="295"/>
      <c r="AQ286" s="295"/>
      <c r="AR286" s="295"/>
      <c r="AS286" s="295"/>
    </row>
    <row r="287" spans="1:45" s="296" customFormat="1" ht="26.4" x14ac:dyDescent="0.3">
      <c r="A287" s="292">
        <f>_xlfn.AGGREGATE(3,3,$D$7:D287)</f>
        <v>281</v>
      </c>
      <c r="B287" s="156" t="s">
        <v>1145</v>
      </c>
      <c r="C287" s="341" t="s">
        <v>1326</v>
      </c>
      <c r="D287" s="160" t="s">
        <v>1321</v>
      </c>
      <c r="E287" s="166" t="s">
        <v>1325</v>
      </c>
      <c r="F287" s="144" t="s">
        <v>350</v>
      </c>
      <c r="G287" s="158" t="s">
        <v>1324</v>
      </c>
      <c r="H287" s="144" t="s">
        <v>1323</v>
      </c>
      <c r="I287" s="159">
        <v>2018</v>
      </c>
      <c r="J287" s="159" t="s">
        <v>196</v>
      </c>
      <c r="K287" s="159">
        <v>109</v>
      </c>
      <c r="L287" s="163">
        <v>46003</v>
      </c>
      <c r="M287" s="161">
        <v>47098</v>
      </c>
      <c r="N287" s="157"/>
      <c r="O287" s="145"/>
      <c r="P287" s="159">
        <v>12</v>
      </c>
      <c r="Q287" s="159" t="s">
        <v>20</v>
      </c>
      <c r="R287" s="159" t="s">
        <v>18</v>
      </c>
      <c r="S287" s="159" t="s">
        <v>18</v>
      </c>
      <c r="T287" s="145" t="s">
        <v>18</v>
      </c>
      <c r="U287" s="159" t="s">
        <v>18</v>
      </c>
      <c r="V287" s="159" t="s">
        <v>18</v>
      </c>
      <c r="W287" s="159" t="s">
        <v>18</v>
      </c>
      <c r="X287" s="159" t="s">
        <v>18</v>
      </c>
      <c r="Y287" s="159" t="s">
        <v>18</v>
      </c>
      <c r="Z287" s="161">
        <v>46003</v>
      </c>
      <c r="AA287" s="188">
        <v>47098</v>
      </c>
      <c r="AB287" s="159" t="s">
        <v>1322</v>
      </c>
      <c r="AC287" s="293"/>
      <c r="AD287" s="145" t="s">
        <v>18</v>
      </c>
      <c r="AE287" s="145" t="s">
        <v>18</v>
      </c>
      <c r="AF287" s="150"/>
      <c r="AG287" s="155" t="s">
        <v>17</v>
      </c>
      <c r="AH287" s="294"/>
      <c r="AI287" s="300" t="s">
        <v>1321</v>
      </c>
      <c r="AJ287" s="195">
        <f>SUMIF('TK 15661.Bản quyền phim '!F:F,'KK1. Movies'!D287,'TK 15661.Bản quyền phim '!X:X)</f>
        <v>31746032</v>
      </c>
      <c r="AK287" s="195">
        <f>SUMIF('TK 15661.Bản quyền phim '!F:F,'KK1. Movies'!AI287,'TK 15661.Bản quyền phim '!X:X)</f>
        <v>31746032</v>
      </c>
      <c r="AL287" s="295">
        <f>COUNTIF('242.BQ Phim hợp tác'!$C:$C,'KK1. Movies'!AI287)</f>
        <v>0</v>
      </c>
      <c r="AM287" s="295">
        <f>COUNTIF('TK 15661.Bản quyền phim '!F:F,'KK1. Movies'!AI287)</f>
        <v>1</v>
      </c>
      <c r="AN287" s="296">
        <f t="shared" si="4"/>
        <v>1</v>
      </c>
      <c r="AO287" s="295"/>
      <c r="AP287" s="295"/>
      <c r="AQ287" s="295"/>
      <c r="AR287" s="295"/>
      <c r="AS287" s="295"/>
    </row>
    <row r="288" spans="1:45" s="296" customFormat="1" ht="52.8" x14ac:dyDescent="0.3">
      <c r="A288" s="292">
        <f>_xlfn.AGGREGATE(3,3,$D$7:D288)</f>
        <v>282</v>
      </c>
      <c r="B288" s="156" t="s">
        <v>1145</v>
      </c>
      <c r="C288" s="144" t="s">
        <v>1320</v>
      </c>
      <c r="D288" s="160" t="s">
        <v>1318</v>
      </c>
      <c r="E288" s="166" t="s">
        <v>1319</v>
      </c>
      <c r="F288" s="144" t="s">
        <v>1013</v>
      </c>
      <c r="G288" s="158" t="s">
        <v>1141</v>
      </c>
      <c r="H288" s="144" t="s">
        <v>1140</v>
      </c>
      <c r="I288" s="159">
        <v>2002</v>
      </c>
      <c r="J288" s="159" t="s">
        <v>1283</v>
      </c>
      <c r="K288" s="159">
        <v>121</v>
      </c>
      <c r="L288" s="163">
        <v>45747</v>
      </c>
      <c r="M288" s="161">
        <v>46576</v>
      </c>
      <c r="N288" s="157"/>
      <c r="O288" s="145"/>
      <c r="P288" s="145"/>
      <c r="Q288" s="159" t="s">
        <v>20</v>
      </c>
      <c r="R288" s="159" t="s">
        <v>18</v>
      </c>
      <c r="S288" s="159" t="s">
        <v>18</v>
      </c>
      <c r="T288" s="145" t="s">
        <v>18</v>
      </c>
      <c r="U288" s="159" t="s">
        <v>20</v>
      </c>
      <c r="V288" s="159" t="s">
        <v>20</v>
      </c>
      <c r="W288" s="159" t="s">
        <v>20</v>
      </c>
      <c r="X288" s="159" t="s">
        <v>18</v>
      </c>
      <c r="Y288" s="159" t="s">
        <v>20</v>
      </c>
      <c r="Z288" s="161">
        <v>45747</v>
      </c>
      <c r="AA288" s="188">
        <v>46395</v>
      </c>
      <c r="AB288" s="159">
        <v>7</v>
      </c>
      <c r="AC288" s="293"/>
      <c r="AD288" s="145" t="s">
        <v>18</v>
      </c>
      <c r="AE288" s="145" t="s">
        <v>18</v>
      </c>
      <c r="AF288" s="150"/>
      <c r="AG288" s="155" t="s">
        <v>17</v>
      </c>
      <c r="AH288" s="294"/>
      <c r="AI288" s="300" t="s">
        <v>1318</v>
      </c>
      <c r="AJ288" s="195">
        <f>SUMIF('TK 15661.Bản quyền phim '!F:F,'KK1. Movies'!D288,'TK 15661.Bản quyền phim '!X:X)</f>
        <v>46627350</v>
      </c>
      <c r="AK288" s="195">
        <f>SUMIF('TK 15661.Bản quyền phim '!F:F,'KK1. Movies'!AI288,'TK 15661.Bản quyền phim '!X:X)</f>
        <v>46627350</v>
      </c>
      <c r="AL288" s="295">
        <f>COUNTIF('242.BQ Phim hợp tác'!$C:$C,'KK1. Movies'!AI288)</f>
        <v>0</v>
      </c>
      <c r="AM288" s="295">
        <f>COUNTIF('TK 15661.Bản quyền phim '!F:F,'KK1. Movies'!AI288)</f>
        <v>1</v>
      </c>
      <c r="AN288" s="296">
        <f t="shared" si="4"/>
        <v>1</v>
      </c>
      <c r="AO288" s="295"/>
      <c r="AP288" s="295"/>
      <c r="AQ288" s="295"/>
      <c r="AR288" s="295"/>
      <c r="AS288" s="295"/>
    </row>
    <row r="289" spans="1:45" s="296" customFormat="1" ht="52.8" x14ac:dyDescent="0.3">
      <c r="A289" s="292">
        <f>_xlfn.AGGREGATE(3,3,$D$7:D289)</f>
        <v>283</v>
      </c>
      <c r="B289" s="156" t="s">
        <v>1145</v>
      </c>
      <c r="C289" s="144" t="s">
        <v>1317</v>
      </c>
      <c r="D289" s="160" t="s">
        <v>1315</v>
      </c>
      <c r="E289" s="166" t="s">
        <v>1316</v>
      </c>
      <c r="F289" s="144" t="s">
        <v>1013</v>
      </c>
      <c r="G289" s="158" t="s">
        <v>1141</v>
      </c>
      <c r="H289" s="144" t="s">
        <v>1140</v>
      </c>
      <c r="I289" s="159">
        <v>2007</v>
      </c>
      <c r="J289" s="159" t="s">
        <v>1283</v>
      </c>
      <c r="K289" s="159">
        <v>139</v>
      </c>
      <c r="L289" s="163">
        <v>45747</v>
      </c>
      <c r="M289" s="161">
        <v>46576</v>
      </c>
      <c r="N289" s="157"/>
      <c r="O289" s="145"/>
      <c r="P289" s="145"/>
      <c r="Q289" s="159" t="s">
        <v>20</v>
      </c>
      <c r="R289" s="159" t="s">
        <v>18</v>
      </c>
      <c r="S289" s="159" t="s">
        <v>18</v>
      </c>
      <c r="T289" s="145" t="s">
        <v>18</v>
      </c>
      <c r="U289" s="159" t="s">
        <v>20</v>
      </c>
      <c r="V289" s="159" t="s">
        <v>20</v>
      </c>
      <c r="W289" s="159" t="s">
        <v>20</v>
      </c>
      <c r="X289" s="159" t="s">
        <v>18</v>
      </c>
      <c r="Y289" s="159" t="s">
        <v>20</v>
      </c>
      <c r="Z289" s="161">
        <v>45747</v>
      </c>
      <c r="AA289" s="188">
        <v>46395</v>
      </c>
      <c r="AB289" s="159">
        <v>7</v>
      </c>
      <c r="AC289" s="293"/>
      <c r="AD289" s="145" t="s">
        <v>18</v>
      </c>
      <c r="AE289" s="145" t="s">
        <v>18</v>
      </c>
      <c r="AF289" s="150"/>
      <c r="AG289" s="155" t="s">
        <v>17</v>
      </c>
      <c r="AH289" s="294"/>
      <c r="AI289" s="300" t="s">
        <v>1315</v>
      </c>
      <c r="AJ289" s="195">
        <f>SUMIF('TK 15661.Bản quyền phim '!F:F,'KK1. Movies'!D289,'TK 15661.Bản quyền phim '!X:X)</f>
        <v>46627350</v>
      </c>
      <c r="AK289" s="195">
        <f>SUMIF('TK 15661.Bản quyền phim '!F:F,'KK1. Movies'!AI289,'TK 15661.Bản quyền phim '!X:X)</f>
        <v>46627350</v>
      </c>
      <c r="AL289" s="295">
        <f>COUNTIF('242.BQ Phim hợp tác'!$C:$C,'KK1. Movies'!AI289)</f>
        <v>0</v>
      </c>
      <c r="AM289" s="295">
        <f>COUNTIF('TK 15661.Bản quyền phim '!F:F,'KK1. Movies'!AI289)</f>
        <v>1</v>
      </c>
      <c r="AN289" s="296">
        <f t="shared" si="4"/>
        <v>1</v>
      </c>
      <c r="AO289" s="295"/>
      <c r="AP289" s="295"/>
      <c r="AQ289" s="295"/>
      <c r="AR289" s="295"/>
      <c r="AS289" s="295"/>
    </row>
    <row r="290" spans="1:45" s="296" customFormat="1" ht="52.8" x14ac:dyDescent="0.3">
      <c r="A290" s="292">
        <f>_xlfn.AGGREGATE(3,3,$D$7:D290)</f>
        <v>284</v>
      </c>
      <c r="B290" s="156" t="s">
        <v>1145</v>
      </c>
      <c r="C290" s="144" t="s">
        <v>1314</v>
      </c>
      <c r="D290" s="160" t="s">
        <v>1312</v>
      </c>
      <c r="E290" s="166" t="s">
        <v>1313</v>
      </c>
      <c r="F290" s="144" t="s">
        <v>1013</v>
      </c>
      <c r="G290" s="158" t="s">
        <v>1141</v>
      </c>
      <c r="H290" s="144" t="s">
        <v>1140</v>
      </c>
      <c r="I290" s="159">
        <v>2021</v>
      </c>
      <c r="J290" s="159" t="s">
        <v>1283</v>
      </c>
      <c r="K290" s="159">
        <v>148</v>
      </c>
      <c r="L290" s="163">
        <v>45747</v>
      </c>
      <c r="M290" s="161">
        <v>46576</v>
      </c>
      <c r="N290" s="157"/>
      <c r="O290" s="145"/>
      <c r="P290" s="145"/>
      <c r="Q290" s="159" t="s">
        <v>20</v>
      </c>
      <c r="R290" s="159" t="s">
        <v>18</v>
      </c>
      <c r="S290" s="159" t="s">
        <v>18</v>
      </c>
      <c r="T290" s="145" t="s">
        <v>18</v>
      </c>
      <c r="U290" s="159" t="s">
        <v>20</v>
      </c>
      <c r="V290" s="159" t="s">
        <v>20</v>
      </c>
      <c r="W290" s="159" t="s">
        <v>20</v>
      </c>
      <c r="X290" s="159" t="s">
        <v>18</v>
      </c>
      <c r="Y290" s="159" t="s">
        <v>20</v>
      </c>
      <c r="Z290" s="161">
        <v>45747</v>
      </c>
      <c r="AA290" s="188">
        <v>46395</v>
      </c>
      <c r="AB290" s="159">
        <v>7</v>
      </c>
      <c r="AC290" s="293"/>
      <c r="AD290" s="145" t="s">
        <v>18</v>
      </c>
      <c r="AE290" s="145" t="s">
        <v>18</v>
      </c>
      <c r="AF290" s="150"/>
      <c r="AG290" s="155" t="s">
        <v>17</v>
      </c>
      <c r="AH290" s="294"/>
      <c r="AI290" s="300" t="s">
        <v>1312</v>
      </c>
      <c r="AJ290" s="195">
        <f>SUMIF('TK 15661.Bản quyền phim '!F:F,'KK1. Movies'!D290,'TK 15661.Bản quyền phim '!X:X)</f>
        <v>46627350</v>
      </c>
      <c r="AK290" s="195">
        <f>SUMIF('TK 15661.Bản quyền phim '!F:F,'KK1. Movies'!AI290,'TK 15661.Bản quyền phim '!X:X)</f>
        <v>46627350</v>
      </c>
      <c r="AL290" s="295">
        <f>COUNTIF('242.BQ Phim hợp tác'!$C:$C,'KK1. Movies'!AI290)</f>
        <v>0</v>
      </c>
      <c r="AM290" s="295">
        <f>COUNTIF('TK 15661.Bản quyền phim '!F:F,'KK1. Movies'!AI290)</f>
        <v>1</v>
      </c>
      <c r="AN290" s="296">
        <f t="shared" si="4"/>
        <v>1</v>
      </c>
      <c r="AO290" s="295"/>
      <c r="AP290" s="295"/>
      <c r="AQ290" s="295"/>
      <c r="AR290" s="295"/>
      <c r="AS290" s="295"/>
    </row>
    <row r="291" spans="1:45" s="296" customFormat="1" ht="52.8" x14ac:dyDescent="0.3">
      <c r="A291" s="292">
        <f>_xlfn.AGGREGATE(3,3,$D$7:D291)</f>
        <v>285</v>
      </c>
      <c r="B291" s="156" t="s">
        <v>1145</v>
      </c>
      <c r="C291" s="144" t="s">
        <v>1311</v>
      </c>
      <c r="D291" s="160" t="s">
        <v>1309</v>
      </c>
      <c r="E291" s="166" t="s">
        <v>1310</v>
      </c>
      <c r="F291" s="144" t="s">
        <v>1013</v>
      </c>
      <c r="G291" s="158" t="s">
        <v>1141</v>
      </c>
      <c r="H291" s="144" t="s">
        <v>1140</v>
      </c>
      <c r="I291" s="159">
        <v>2021</v>
      </c>
      <c r="J291" s="159" t="s">
        <v>1283</v>
      </c>
      <c r="K291" s="159">
        <v>98</v>
      </c>
      <c r="L291" s="163">
        <v>45747</v>
      </c>
      <c r="M291" s="161">
        <v>46600</v>
      </c>
      <c r="N291" s="157"/>
      <c r="O291" s="145"/>
      <c r="P291" s="145"/>
      <c r="Q291" s="159" t="s">
        <v>20</v>
      </c>
      <c r="R291" s="159" t="s">
        <v>18</v>
      </c>
      <c r="S291" s="159" t="s">
        <v>18</v>
      </c>
      <c r="T291" s="145" t="s">
        <v>18</v>
      </c>
      <c r="U291" s="159" t="s">
        <v>20</v>
      </c>
      <c r="V291" s="159" t="s">
        <v>20</v>
      </c>
      <c r="W291" s="159" t="s">
        <v>20</v>
      </c>
      <c r="X291" s="159" t="s">
        <v>18</v>
      </c>
      <c r="Y291" s="159" t="s">
        <v>20</v>
      </c>
      <c r="Z291" s="161">
        <v>45747</v>
      </c>
      <c r="AA291" s="188">
        <v>46419</v>
      </c>
      <c r="AB291" s="159">
        <v>7</v>
      </c>
      <c r="AC291" s="293"/>
      <c r="AD291" s="145" t="s">
        <v>18</v>
      </c>
      <c r="AE291" s="145" t="s">
        <v>18</v>
      </c>
      <c r="AF291" s="150"/>
      <c r="AG291" s="155" t="s">
        <v>17</v>
      </c>
      <c r="AH291" s="294"/>
      <c r="AI291" s="300" t="s">
        <v>1309</v>
      </c>
      <c r="AJ291" s="195">
        <f>SUMIF('TK 15661.Bản quyền phim '!F:F,'KK1. Movies'!D291,'TK 15661.Bản quyền phim '!X:X)</f>
        <v>46627350</v>
      </c>
      <c r="AK291" s="195">
        <f>SUMIF('TK 15661.Bản quyền phim '!F:F,'KK1. Movies'!AI291,'TK 15661.Bản quyền phim '!X:X)</f>
        <v>46627350</v>
      </c>
      <c r="AL291" s="295">
        <f>COUNTIF('242.BQ Phim hợp tác'!$C:$C,'KK1. Movies'!AI291)</f>
        <v>0</v>
      </c>
      <c r="AM291" s="295">
        <f>COUNTIF('TK 15661.Bản quyền phim '!F:F,'KK1. Movies'!AI291)</f>
        <v>1</v>
      </c>
      <c r="AN291" s="296">
        <f t="shared" si="4"/>
        <v>1</v>
      </c>
      <c r="AO291" s="295"/>
      <c r="AP291" s="295"/>
      <c r="AQ291" s="295"/>
      <c r="AR291" s="295"/>
      <c r="AS291" s="295"/>
    </row>
    <row r="292" spans="1:45" s="296" customFormat="1" ht="52.8" x14ac:dyDescent="0.3">
      <c r="A292" s="292">
        <f>_xlfn.AGGREGATE(3,3,$D$7:D292)</f>
        <v>286</v>
      </c>
      <c r="B292" s="156" t="s">
        <v>1145</v>
      </c>
      <c r="C292" s="341" t="s">
        <v>1308</v>
      </c>
      <c r="D292" s="160" t="s">
        <v>1306</v>
      </c>
      <c r="E292" s="166" t="s">
        <v>1307</v>
      </c>
      <c r="F292" s="144" t="s">
        <v>1142</v>
      </c>
      <c r="G292" s="158" t="s">
        <v>1141</v>
      </c>
      <c r="H292" s="144" t="s">
        <v>1140</v>
      </c>
      <c r="I292" s="159">
        <v>2018</v>
      </c>
      <c r="J292" s="159" t="s">
        <v>1283</v>
      </c>
      <c r="K292" s="159">
        <v>94</v>
      </c>
      <c r="L292" s="163">
        <v>45747</v>
      </c>
      <c r="M292" s="161">
        <v>46600</v>
      </c>
      <c r="N292" s="157"/>
      <c r="O292" s="145"/>
      <c r="P292" s="145"/>
      <c r="Q292" s="159" t="s">
        <v>20</v>
      </c>
      <c r="R292" s="159" t="s">
        <v>18</v>
      </c>
      <c r="S292" s="159" t="s">
        <v>18</v>
      </c>
      <c r="T292" s="159" t="s">
        <v>18</v>
      </c>
      <c r="U292" s="159" t="s">
        <v>20</v>
      </c>
      <c r="V292" s="159" t="s">
        <v>20</v>
      </c>
      <c r="W292" s="159" t="s">
        <v>20</v>
      </c>
      <c r="X292" s="159" t="s">
        <v>18</v>
      </c>
      <c r="Y292" s="159" t="s">
        <v>20</v>
      </c>
      <c r="Z292" s="161">
        <v>45747</v>
      </c>
      <c r="AA292" s="188">
        <v>46419</v>
      </c>
      <c r="AB292" s="159">
        <v>7</v>
      </c>
      <c r="AC292" s="293">
        <v>2</v>
      </c>
      <c r="AD292" s="145" t="s">
        <v>18</v>
      </c>
      <c r="AE292" s="145" t="s">
        <v>18</v>
      </c>
      <c r="AF292" s="150"/>
      <c r="AG292" s="155" t="s">
        <v>17</v>
      </c>
      <c r="AH292" s="294"/>
      <c r="AI292" s="300" t="s">
        <v>1306</v>
      </c>
      <c r="AJ292" s="195">
        <f>SUMIF('TK 15661.Bản quyền phim '!F:F,'KK1. Movies'!D292,'TK 15661.Bản quyền phim '!X:X)</f>
        <v>46627350</v>
      </c>
      <c r="AK292" s="195">
        <f>SUMIF('TK 15661.Bản quyền phim '!F:F,'KK1. Movies'!AI292,'TK 15661.Bản quyền phim '!X:X)</f>
        <v>46627350</v>
      </c>
      <c r="AL292" s="295">
        <f>COUNTIF('242.BQ Phim hợp tác'!$C:$C,'KK1. Movies'!AI292)</f>
        <v>0</v>
      </c>
      <c r="AM292" s="295">
        <f>COUNTIF('TK 15661.Bản quyền phim '!F:F,'KK1. Movies'!AI292)</f>
        <v>1</v>
      </c>
      <c r="AN292" s="296">
        <f t="shared" si="4"/>
        <v>1</v>
      </c>
      <c r="AO292" s="295"/>
      <c r="AP292" s="295"/>
      <c r="AQ292" s="295"/>
      <c r="AR292" s="295"/>
      <c r="AS292" s="295"/>
    </row>
    <row r="293" spans="1:45" s="296" customFormat="1" ht="52.8" x14ac:dyDescent="0.3">
      <c r="A293" s="292">
        <f>_xlfn.AGGREGATE(3,3,$D$7:D293)</f>
        <v>287</v>
      </c>
      <c r="B293" s="156" t="s">
        <v>1145</v>
      </c>
      <c r="C293" s="341" t="s">
        <v>1305</v>
      </c>
      <c r="D293" s="160" t="s">
        <v>1303</v>
      </c>
      <c r="E293" s="166" t="s">
        <v>1304</v>
      </c>
      <c r="F293" s="144" t="s">
        <v>385</v>
      </c>
      <c r="G293" s="158" t="s">
        <v>1141</v>
      </c>
      <c r="H293" s="144" t="s">
        <v>1140</v>
      </c>
      <c r="I293" s="159">
        <v>2013</v>
      </c>
      <c r="J293" s="159" t="s">
        <v>1283</v>
      </c>
      <c r="K293" s="159">
        <v>100</v>
      </c>
      <c r="L293" s="163">
        <v>45747</v>
      </c>
      <c r="M293" s="161">
        <v>46604</v>
      </c>
      <c r="N293" s="157"/>
      <c r="O293" s="145"/>
      <c r="P293" s="145"/>
      <c r="Q293" s="159" t="s">
        <v>20</v>
      </c>
      <c r="R293" s="159" t="s">
        <v>18</v>
      </c>
      <c r="S293" s="159" t="s">
        <v>18</v>
      </c>
      <c r="T293" s="145" t="s">
        <v>18</v>
      </c>
      <c r="U293" s="159" t="s">
        <v>20</v>
      </c>
      <c r="V293" s="159" t="s">
        <v>20</v>
      </c>
      <c r="W293" s="159" t="s">
        <v>20</v>
      </c>
      <c r="X293" s="159" t="s">
        <v>18</v>
      </c>
      <c r="Y293" s="159" t="s">
        <v>20</v>
      </c>
      <c r="Z293" s="161">
        <v>45747</v>
      </c>
      <c r="AA293" s="188">
        <v>46423</v>
      </c>
      <c r="AB293" s="159">
        <v>7</v>
      </c>
      <c r="AC293" s="293"/>
      <c r="AD293" s="145" t="s">
        <v>18</v>
      </c>
      <c r="AE293" s="145" t="s">
        <v>18</v>
      </c>
      <c r="AF293" s="150"/>
      <c r="AG293" s="155" t="s">
        <v>17</v>
      </c>
      <c r="AH293" s="294"/>
      <c r="AI293" s="300" t="s">
        <v>1303</v>
      </c>
      <c r="AJ293" s="195">
        <f>SUMIF('TK 15661.Bản quyền phim '!F:F,'KK1. Movies'!D293,'TK 15661.Bản quyền phim '!X:X)</f>
        <v>46627350</v>
      </c>
      <c r="AK293" s="195">
        <f>SUMIF('TK 15661.Bản quyền phim '!F:F,'KK1. Movies'!AI293,'TK 15661.Bản quyền phim '!X:X)</f>
        <v>46627350</v>
      </c>
      <c r="AL293" s="295">
        <f>COUNTIF('242.BQ Phim hợp tác'!$C:$C,'KK1. Movies'!AI293)</f>
        <v>0</v>
      </c>
      <c r="AM293" s="295">
        <f>COUNTIF('TK 15661.Bản quyền phim '!F:F,'KK1. Movies'!AI293)</f>
        <v>1</v>
      </c>
      <c r="AN293" s="296">
        <f t="shared" si="4"/>
        <v>1</v>
      </c>
      <c r="AO293" s="295"/>
      <c r="AP293" s="295"/>
      <c r="AQ293" s="295"/>
      <c r="AR293" s="295"/>
      <c r="AS293" s="295"/>
    </row>
    <row r="294" spans="1:45" s="296" customFormat="1" ht="52.8" x14ac:dyDescent="0.3">
      <c r="A294" s="292">
        <f>_xlfn.AGGREGATE(3,3,$D$7:D294)</f>
        <v>288</v>
      </c>
      <c r="B294" s="156" t="s">
        <v>1145</v>
      </c>
      <c r="C294" s="341" t="s">
        <v>1302</v>
      </c>
      <c r="D294" s="160" t="s">
        <v>1300</v>
      </c>
      <c r="E294" s="166" t="s">
        <v>1301</v>
      </c>
      <c r="F294" s="144" t="s">
        <v>385</v>
      </c>
      <c r="G294" s="158" t="s">
        <v>1141</v>
      </c>
      <c r="H294" s="144" t="s">
        <v>1140</v>
      </c>
      <c r="I294" s="159">
        <v>2011</v>
      </c>
      <c r="J294" s="159" t="s">
        <v>1283</v>
      </c>
      <c r="K294" s="159">
        <v>91</v>
      </c>
      <c r="L294" s="163">
        <v>45884</v>
      </c>
      <c r="M294" s="161">
        <v>46321</v>
      </c>
      <c r="N294" s="157"/>
      <c r="O294" s="145"/>
      <c r="P294" s="145"/>
      <c r="Q294" s="159" t="s">
        <v>20</v>
      </c>
      <c r="R294" s="159" t="s">
        <v>18</v>
      </c>
      <c r="S294" s="159" t="s">
        <v>18</v>
      </c>
      <c r="T294" s="145" t="s">
        <v>18</v>
      </c>
      <c r="U294" s="159" t="s">
        <v>20</v>
      </c>
      <c r="V294" s="159" t="s">
        <v>20</v>
      </c>
      <c r="W294" s="159" t="s">
        <v>20</v>
      </c>
      <c r="X294" s="159" t="s">
        <v>18</v>
      </c>
      <c r="Y294" s="159" t="s">
        <v>20</v>
      </c>
      <c r="Z294" s="161">
        <v>45884</v>
      </c>
      <c r="AA294" s="188">
        <v>46321</v>
      </c>
      <c r="AB294" s="159">
        <v>4</v>
      </c>
      <c r="AC294" s="293"/>
      <c r="AD294" s="145" t="s">
        <v>18</v>
      </c>
      <c r="AE294" s="145" t="s">
        <v>18</v>
      </c>
      <c r="AF294" s="150"/>
      <c r="AG294" s="155" t="s">
        <v>17</v>
      </c>
      <c r="AH294" s="294"/>
      <c r="AI294" s="299" t="s">
        <v>1300</v>
      </c>
      <c r="AJ294" s="195">
        <f>SUMIF('TK 15661.Bản quyền phim '!F:F,'KK1. Movies'!D294,'TK 15661.Bản quyền phim '!X:X)</f>
        <v>0</v>
      </c>
      <c r="AK294" s="195">
        <f>SUMIF('TK 15661.Bản quyền phim '!F:F,'KK1. Movies'!AI294,'TK 15661.Bản quyền phim '!X:X)</f>
        <v>0</v>
      </c>
      <c r="AL294" s="295">
        <f>COUNTIF('242.BQ Phim hợp tác'!$C:$C,'KK1. Movies'!AI294)</f>
        <v>0</v>
      </c>
      <c r="AM294" s="295">
        <f>COUNTIF('TK 15661.Bản quyền phim '!F:F,'KK1. Movies'!AI294)</f>
        <v>1</v>
      </c>
      <c r="AN294" s="296">
        <f t="shared" si="4"/>
        <v>1</v>
      </c>
      <c r="AO294" s="295"/>
      <c r="AP294" s="295"/>
      <c r="AQ294" s="295"/>
      <c r="AR294" s="295"/>
      <c r="AS294" s="295"/>
    </row>
    <row r="295" spans="1:45" s="296" customFormat="1" ht="52.8" x14ac:dyDescent="0.3">
      <c r="A295" s="292">
        <f>_xlfn.AGGREGATE(3,3,$D$7:D295)</f>
        <v>289</v>
      </c>
      <c r="B295" s="156" t="s">
        <v>1145</v>
      </c>
      <c r="C295" s="341" t="s">
        <v>1299</v>
      </c>
      <c r="D295" s="160" t="s">
        <v>1297</v>
      </c>
      <c r="E295" s="166" t="s">
        <v>1298</v>
      </c>
      <c r="F295" s="144" t="s">
        <v>350</v>
      </c>
      <c r="G295" s="158" t="s">
        <v>1141</v>
      </c>
      <c r="H295" s="144" t="s">
        <v>1140</v>
      </c>
      <c r="I295" s="159">
        <v>2023</v>
      </c>
      <c r="J295" s="159" t="s">
        <v>1283</v>
      </c>
      <c r="K295" s="159">
        <v>106</v>
      </c>
      <c r="L295" s="163">
        <v>45884</v>
      </c>
      <c r="M295" s="161">
        <v>46248</v>
      </c>
      <c r="N295" s="157"/>
      <c r="O295" s="145"/>
      <c r="P295" s="145"/>
      <c r="Q295" s="159" t="s">
        <v>20</v>
      </c>
      <c r="R295" s="159" t="s">
        <v>18</v>
      </c>
      <c r="S295" s="159" t="s">
        <v>18</v>
      </c>
      <c r="T295" s="145" t="s">
        <v>18</v>
      </c>
      <c r="U295" s="159" t="s">
        <v>20</v>
      </c>
      <c r="V295" s="159" t="s">
        <v>20</v>
      </c>
      <c r="W295" s="159" t="s">
        <v>20</v>
      </c>
      <c r="X295" s="159" t="s">
        <v>18</v>
      </c>
      <c r="Y295" s="159" t="s">
        <v>20</v>
      </c>
      <c r="Z295" s="161">
        <v>45884</v>
      </c>
      <c r="AA295" s="188">
        <v>46248</v>
      </c>
      <c r="AB295" s="159">
        <v>7</v>
      </c>
      <c r="AC295" s="293"/>
      <c r="AD295" s="145" t="s">
        <v>18</v>
      </c>
      <c r="AE295" s="145" t="s">
        <v>18</v>
      </c>
      <c r="AF295" s="150"/>
      <c r="AG295" s="155" t="s">
        <v>17</v>
      </c>
      <c r="AH295" s="294"/>
      <c r="AI295" s="299" t="s">
        <v>1297</v>
      </c>
      <c r="AJ295" s="195">
        <f>SUMIF('TK 15661.Bản quyền phim '!F:F,'KK1. Movies'!D295,'TK 15661.Bản quyền phim '!X:X)</f>
        <v>0</v>
      </c>
      <c r="AK295" s="195">
        <f>SUMIF('TK 15661.Bản quyền phim '!F:F,'KK1. Movies'!AI295,'TK 15661.Bản quyền phim '!X:X)</f>
        <v>0</v>
      </c>
      <c r="AL295" s="295">
        <f>COUNTIF('242.BQ Phim hợp tác'!$C:$C,'KK1. Movies'!AI295)</f>
        <v>0</v>
      </c>
      <c r="AM295" s="295">
        <f>COUNTIF('TK 15661.Bản quyền phim '!F:F,'KK1. Movies'!AI295)</f>
        <v>1</v>
      </c>
      <c r="AN295" s="296">
        <f t="shared" si="4"/>
        <v>1</v>
      </c>
      <c r="AO295" s="295"/>
      <c r="AP295" s="295"/>
      <c r="AQ295" s="295"/>
      <c r="AR295" s="295"/>
      <c r="AS295" s="295"/>
    </row>
    <row r="296" spans="1:45" s="296" customFormat="1" ht="52.8" x14ac:dyDescent="0.3">
      <c r="A296" s="292">
        <f>_xlfn.AGGREGATE(3,3,$D$7:D296)</f>
        <v>290</v>
      </c>
      <c r="B296" s="156" t="s">
        <v>1145</v>
      </c>
      <c r="C296" s="341" t="s">
        <v>1296</v>
      </c>
      <c r="D296" s="160" t="s">
        <v>1294</v>
      </c>
      <c r="E296" s="166" t="s">
        <v>1295</v>
      </c>
      <c r="F296" s="144" t="s">
        <v>511</v>
      </c>
      <c r="G296" s="158" t="s">
        <v>1141</v>
      </c>
      <c r="H296" s="144" t="s">
        <v>1140</v>
      </c>
      <c r="I296" s="159">
        <v>2006</v>
      </c>
      <c r="J296" s="159" t="s">
        <v>1283</v>
      </c>
      <c r="K296" s="159">
        <v>148</v>
      </c>
      <c r="L296" s="163">
        <v>45884</v>
      </c>
      <c r="M296" s="161">
        <v>46613</v>
      </c>
      <c r="N296" s="157"/>
      <c r="O296" s="145"/>
      <c r="P296" s="145"/>
      <c r="Q296" s="159" t="s">
        <v>20</v>
      </c>
      <c r="R296" s="159" t="s">
        <v>18</v>
      </c>
      <c r="S296" s="159" t="s">
        <v>18</v>
      </c>
      <c r="T296" s="145" t="s">
        <v>18</v>
      </c>
      <c r="U296" s="159" t="s">
        <v>20</v>
      </c>
      <c r="V296" s="159" t="s">
        <v>20</v>
      </c>
      <c r="W296" s="159" t="s">
        <v>20</v>
      </c>
      <c r="X296" s="159" t="s">
        <v>18</v>
      </c>
      <c r="Y296" s="159" t="s">
        <v>20</v>
      </c>
      <c r="Z296" s="161">
        <v>45884</v>
      </c>
      <c r="AA296" s="188">
        <v>46432</v>
      </c>
      <c r="AB296" s="159">
        <v>7</v>
      </c>
      <c r="AC296" s="293"/>
      <c r="AD296" s="145" t="s">
        <v>18</v>
      </c>
      <c r="AE296" s="145" t="s">
        <v>18</v>
      </c>
      <c r="AF296" s="150"/>
      <c r="AG296" s="155" t="s">
        <v>17</v>
      </c>
      <c r="AH296" s="294"/>
      <c r="AI296" s="300" t="s">
        <v>1294</v>
      </c>
      <c r="AJ296" s="195">
        <f>SUMIF('TK 15661.Bản quyền phim '!F:F,'KK1. Movies'!D296,'TK 15661.Bản quyền phim '!X:X)</f>
        <v>46627350</v>
      </c>
      <c r="AK296" s="195">
        <f>SUMIF('TK 15661.Bản quyền phim '!F:F,'KK1. Movies'!AI296,'TK 15661.Bản quyền phim '!X:X)</f>
        <v>46627350</v>
      </c>
      <c r="AL296" s="295">
        <f>COUNTIF('242.BQ Phim hợp tác'!$C:$C,'KK1. Movies'!AI296)</f>
        <v>0</v>
      </c>
      <c r="AM296" s="295">
        <f>COUNTIF('TK 15661.Bản quyền phim '!F:F,'KK1. Movies'!AI296)</f>
        <v>1</v>
      </c>
      <c r="AN296" s="296">
        <f t="shared" si="4"/>
        <v>1</v>
      </c>
      <c r="AO296" s="295"/>
      <c r="AP296" s="295"/>
      <c r="AQ296" s="295"/>
      <c r="AR296" s="295"/>
      <c r="AS296" s="295"/>
    </row>
    <row r="297" spans="1:45" s="296" customFormat="1" ht="52.8" x14ac:dyDescent="0.3">
      <c r="A297" s="292">
        <f>_xlfn.AGGREGATE(3,3,$D$7:D297)</f>
        <v>291</v>
      </c>
      <c r="B297" s="156" t="s">
        <v>1145</v>
      </c>
      <c r="C297" s="341" t="s">
        <v>1293</v>
      </c>
      <c r="D297" s="160" t="s">
        <v>1291</v>
      </c>
      <c r="E297" s="166" t="s">
        <v>1292</v>
      </c>
      <c r="F297" s="144" t="s">
        <v>511</v>
      </c>
      <c r="G297" s="158" t="s">
        <v>1141</v>
      </c>
      <c r="H297" s="144" t="s">
        <v>1140</v>
      </c>
      <c r="I297" s="159">
        <v>2019</v>
      </c>
      <c r="J297" s="159" t="s">
        <v>1283</v>
      </c>
      <c r="K297" s="159">
        <v>99</v>
      </c>
      <c r="L297" s="163">
        <v>45884</v>
      </c>
      <c r="M297" s="161">
        <v>46613</v>
      </c>
      <c r="N297" s="157"/>
      <c r="O297" s="145"/>
      <c r="P297" s="145"/>
      <c r="Q297" s="159" t="s">
        <v>20</v>
      </c>
      <c r="R297" s="159" t="s">
        <v>18</v>
      </c>
      <c r="S297" s="159" t="s">
        <v>18</v>
      </c>
      <c r="T297" s="145" t="s">
        <v>18</v>
      </c>
      <c r="U297" s="159" t="s">
        <v>20</v>
      </c>
      <c r="V297" s="159" t="s">
        <v>20</v>
      </c>
      <c r="W297" s="159" t="s">
        <v>20</v>
      </c>
      <c r="X297" s="159" t="s">
        <v>18</v>
      </c>
      <c r="Y297" s="159" t="s">
        <v>20</v>
      </c>
      <c r="Z297" s="161">
        <v>45884</v>
      </c>
      <c r="AA297" s="188">
        <v>46432</v>
      </c>
      <c r="AB297" s="159">
        <v>7</v>
      </c>
      <c r="AC297" s="293"/>
      <c r="AD297" s="145" t="s">
        <v>18</v>
      </c>
      <c r="AE297" s="145" t="s">
        <v>18</v>
      </c>
      <c r="AF297" s="150"/>
      <c r="AG297" s="155" t="s">
        <v>17</v>
      </c>
      <c r="AH297" s="294"/>
      <c r="AI297" s="300" t="s">
        <v>1291</v>
      </c>
      <c r="AJ297" s="195">
        <f>SUMIF('TK 15661.Bản quyền phim '!F:F,'KK1. Movies'!D297,'TK 15661.Bản quyền phim '!X:X)</f>
        <v>46627350</v>
      </c>
      <c r="AK297" s="195">
        <f>SUMIF('TK 15661.Bản quyền phim '!F:F,'KK1. Movies'!AI297,'TK 15661.Bản quyền phim '!X:X)</f>
        <v>46627350</v>
      </c>
      <c r="AL297" s="295">
        <f>COUNTIF('242.BQ Phim hợp tác'!$C:$C,'KK1. Movies'!AI297)</f>
        <v>0</v>
      </c>
      <c r="AM297" s="295">
        <f>COUNTIF('TK 15661.Bản quyền phim '!F:F,'KK1. Movies'!AI297)</f>
        <v>1</v>
      </c>
      <c r="AN297" s="296">
        <f t="shared" si="4"/>
        <v>1</v>
      </c>
      <c r="AO297" s="295"/>
      <c r="AP297" s="295"/>
      <c r="AQ297" s="295"/>
      <c r="AR297" s="295"/>
      <c r="AS297" s="295"/>
    </row>
    <row r="298" spans="1:45" s="296" customFormat="1" ht="52.8" x14ac:dyDescent="0.3">
      <c r="A298" s="292">
        <f>_xlfn.AGGREGATE(3,3,$D$7:D298)</f>
        <v>292</v>
      </c>
      <c r="B298" s="156" t="s">
        <v>1145</v>
      </c>
      <c r="C298" s="341" t="s">
        <v>1290</v>
      </c>
      <c r="D298" s="160" t="s">
        <v>1288</v>
      </c>
      <c r="E298" s="166" t="s">
        <v>1289</v>
      </c>
      <c r="F298" s="144" t="s">
        <v>511</v>
      </c>
      <c r="G298" s="158" t="s">
        <v>1141</v>
      </c>
      <c r="H298" s="144" t="s">
        <v>1140</v>
      </c>
      <c r="I298" s="159">
        <v>2021</v>
      </c>
      <c r="J298" s="159" t="s">
        <v>1283</v>
      </c>
      <c r="K298" s="159">
        <v>87</v>
      </c>
      <c r="L298" s="163">
        <v>45884</v>
      </c>
      <c r="M298" s="161">
        <v>46613</v>
      </c>
      <c r="N298" s="157"/>
      <c r="O298" s="145"/>
      <c r="P298" s="145"/>
      <c r="Q298" s="159" t="s">
        <v>20</v>
      </c>
      <c r="R298" s="159" t="s">
        <v>18</v>
      </c>
      <c r="S298" s="159" t="s">
        <v>18</v>
      </c>
      <c r="T298" s="145" t="s">
        <v>18</v>
      </c>
      <c r="U298" s="159" t="s">
        <v>20</v>
      </c>
      <c r="V298" s="159" t="s">
        <v>20</v>
      </c>
      <c r="W298" s="159" t="s">
        <v>20</v>
      </c>
      <c r="X298" s="159" t="s">
        <v>18</v>
      </c>
      <c r="Y298" s="159" t="s">
        <v>20</v>
      </c>
      <c r="Z298" s="161">
        <v>45884</v>
      </c>
      <c r="AA298" s="188">
        <v>46432</v>
      </c>
      <c r="AB298" s="159">
        <v>7</v>
      </c>
      <c r="AC298" s="293"/>
      <c r="AD298" s="145" t="s">
        <v>18</v>
      </c>
      <c r="AE298" s="145" t="s">
        <v>18</v>
      </c>
      <c r="AF298" s="150"/>
      <c r="AG298" s="155" t="s">
        <v>17</v>
      </c>
      <c r="AH298" s="294"/>
      <c r="AI298" s="300" t="s">
        <v>1288</v>
      </c>
      <c r="AJ298" s="195">
        <f>SUMIF('TK 15661.Bản quyền phim '!F:F,'KK1. Movies'!D298,'TK 15661.Bản quyền phim '!X:X)</f>
        <v>46627350</v>
      </c>
      <c r="AK298" s="195">
        <f>SUMIF('TK 15661.Bản quyền phim '!F:F,'KK1. Movies'!AI298,'TK 15661.Bản quyền phim '!X:X)</f>
        <v>46627350</v>
      </c>
      <c r="AL298" s="295">
        <f>COUNTIF('242.BQ Phim hợp tác'!$C:$C,'KK1. Movies'!AI298)</f>
        <v>0</v>
      </c>
      <c r="AM298" s="295">
        <f>COUNTIF('TK 15661.Bản quyền phim '!F:F,'KK1. Movies'!AI298)</f>
        <v>1</v>
      </c>
      <c r="AN298" s="296">
        <f t="shared" si="4"/>
        <v>1</v>
      </c>
      <c r="AO298" s="295"/>
      <c r="AP298" s="295"/>
      <c r="AQ298" s="295"/>
      <c r="AR298" s="295"/>
      <c r="AS298" s="295"/>
    </row>
    <row r="299" spans="1:45" s="296" customFormat="1" ht="52.8" x14ac:dyDescent="0.3">
      <c r="A299" s="292">
        <f>_xlfn.AGGREGATE(3,3,$D$7:D299)</f>
        <v>293</v>
      </c>
      <c r="B299" s="156" t="s">
        <v>1145</v>
      </c>
      <c r="C299" s="341" t="s">
        <v>1287</v>
      </c>
      <c r="D299" s="160" t="s">
        <v>1285</v>
      </c>
      <c r="E299" s="166" t="s">
        <v>1286</v>
      </c>
      <c r="F299" s="144" t="s">
        <v>1142</v>
      </c>
      <c r="G299" s="158" t="s">
        <v>1141</v>
      </c>
      <c r="H299" s="144" t="s">
        <v>1140</v>
      </c>
      <c r="I299" s="159">
        <v>2019</v>
      </c>
      <c r="J299" s="159" t="s">
        <v>1283</v>
      </c>
      <c r="K299" s="159">
        <v>103</v>
      </c>
      <c r="L299" s="163">
        <v>45884</v>
      </c>
      <c r="M299" s="161">
        <v>46613</v>
      </c>
      <c r="N299" s="157"/>
      <c r="O299" s="145"/>
      <c r="P299" s="145"/>
      <c r="Q299" s="159" t="s">
        <v>20</v>
      </c>
      <c r="R299" s="159" t="s">
        <v>18</v>
      </c>
      <c r="S299" s="159" t="s">
        <v>18</v>
      </c>
      <c r="T299" s="159" t="s">
        <v>18</v>
      </c>
      <c r="U299" s="159" t="s">
        <v>20</v>
      </c>
      <c r="V299" s="159" t="s">
        <v>20</v>
      </c>
      <c r="W299" s="159" t="s">
        <v>20</v>
      </c>
      <c r="X299" s="159" t="s">
        <v>18</v>
      </c>
      <c r="Y299" s="159" t="s">
        <v>20</v>
      </c>
      <c r="Z299" s="161">
        <v>45884</v>
      </c>
      <c r="AA299" s="188">
        <v>46432</v>
      </c>
      <c r="AB299" s="159">
        <v>7</v>
      </c>
      <c r="AC299" s="293">
        <v>2</v>
      </c>
      <c r="AD299" s="145" t="s">
        <v>18</v>
      </c>
      <c r="AE299" s="145" t="s">
        <v>18</v>
      </c>
      <c r="AF299" s="150"/>
      <c r="AG299" s="155" t="s">
        <v>17</v>
      </c>
      <c r="AH299" s="294"/>
      <c r="AI299" s="300" t="s">
        <v>1285</v>
      </c>
      <c r="AJ299" s="195">
        <f>SUMIF('TK 15661.Bản quyền phim '!F:F,'KK1. Movies'!D299,'TK 15661.Bản quyền phim '!X:X)</f>
        <v>46627350</v>
      </c>
      <c r="AK299" s="195">
        <f>SUMIF('TK 15661.Bản quyền phim '!F:F,'KK1. Movies'!AI299,'TK 15661.Bản quyền phim '!X:X)</f>
        <v>46627350</v>
      </c>
      <c r="AL299" s="295">
        <f>COUNTIF('242.BQ Phim hợp tác'!$C:$C,'KK1. Movies'!AI299)</f>
        <v>0</v>
      </c>
      <c r="AM299" s="295">
        <f>COUNTIF('TK 15661.Bản quyền phim '!F:F,'KK1. Movies'!AI299)</f>
        <v>1</v>
      </c>
      <c r="AN299" s="296">
        <f t="shared" si="4"/>
        <v>1</v>
      </c>
      <c r="AO299" s="295"/>
      <c r="AP299" s="295"/>
      <c r="AQ299" s="295"/>
      <c r="AR299" s="295"/>
      <c r="AS299" s="295"/>
    </row>
    <row r="300" spans="1:45" s="296" customFormat="1" ht="52.8" x14ac:dyDescent="0.3">
      <c r="A300" s="292">
        <f>_xlfn.AGGREGATE(3,3,$D$7:D300)</f>
        <v>294</v>
      </c>
      <c r="B300" s="156" t="s">
        <v>1145</v>
      </c>
      <c r="C300" s="341" t="s">
        <v>1284</v>
      </c>
      <c r="D300" s="164">
        <v>2012</v>
      </c>
      <c r="E300" s="166">
        <v>2012</v>
      </c>
      <c r="F300" s="144" t="s">
        <v>1013</v>
      </c>
      <c r="G300" s="158" t="s">
        <v>1141</v>
      </c>
      <c r="H300" s="144" t="s">
        <v>1140</v>
      </c>
      <c r="I300" s="159">
        <v>2009</v>
      </c>
      <c r="J300" s="159" t="s">
        <v>1283</v>
      </c>
      <c r="K300" s="159">
        <v>157</v>
      </c>
      <c r="L300" s="163">
        <v>45884</v>
      </c>
      <c r="M300" s="161">
        <v>46613</v>
      </c>
      <c r="N300" s="157"/>
      <c r="O300" s="145"/>
      <c r="P300" s="145"/>
      <c r="Q300" s="159" t="s">
        <v>20</v>
      </c>
      <c r="R300" s="159" t="s">
        <v>18</v>
      </c>
      <c r="S300" s="159" t="s">
        <v>18</v>
      </c>
      <c r="T300" s="145" t="s">
        <v>18</v>
      </c>
      <c r="U300" s="159" t="s">
        <v>20</v>
      </c>
      <c r="V300" s="159" t="s">
        <v>20</v>
      </c>
      <c r="W300" s="159" t="s">
        <v>20</v>
      </c>
      <c r="X300" s="159" t="s">
        <v>18</v>
      </c>
      <c r="Y300" s="159" t="s">
        <v>20</v>
      </c>
      <c r="Z300" s="161">
        <v>45884</v>
      </c>
      <c r="AA300" s="188">
        <v>46432</v>
      </c>
      <c r="AB300" s="159">
        <v>7</v>
      </c>
      <c r="AC300" s="293"/>
      <c r="AD300" s="145" t="s">
        <v>18</v>
      </c>
      <c r="AE300" s="145" t="s">
        <v>18</v>
      </c>
      <c r="AF300" s="150"/>
      <c r="AG300" s="155" t="s">
        <v>17</v>
      </c>
      <c r="AH300" s="294"/>
      <c r="AI300" s="300">
        <v>2012</v>
      </c>
      <c r="AJ300" s="195">
        <f>SUMIF('TK 15661.Bản quyền phim '!F:F,'KK1. Movies'!D300,'TK 15661.Bản quyền phim '!X:X)</f>
        <v>46627350</v>
      </c>
      <c r="AK300" s="195">
        <f>SUMIF('TK 15661.Bản quyền phim '!F:F,'KK1. Movies'!AI300,'TK 15661.Bản quyền phim '!X:X)</f>
        <v>46627350</v>
      </c>
      <c r="AL300" s="295">
        <f>COUNTIF('242.BQ Phim hợp tác'!$C:$C,'KK1. Movies'!AI300)</f>
        <v>0</v>
      </c>
      <c r="AM300" s="295">
        <f>COUNTIF('TK 15661.Bản quyền phim '!F:F,'KK1. Movies'!AI300)</f>
        <v>1</v>
      </c>
      <c r="AN300" s="296">
        <f t="shared" si="4"/>
        <v>1</v>
      </c>
      <c r="AO300" s="295"/>
      <c r="AP300" s="295"/>
      <c r="AQ300" s="295"/>
      <c r="AR300" s="295"/>
      <c r="AS300" s="295"/>
    </row>
    <row r="301" spans="1:45" s="296" customFormat="1" ht="26.4" x14ac:dyDescent="0.3">
      <c r="A301" s="292">
        <f>_xlfn.AGGREGATE(3,3,$D$7:D301)</f>
        <v>295</v>
      </c>
      <c r="B301" s="143"/>
      <c r="C301" s="341" t="s">
        <v>1282</v>
      </c>
      <c r="D301" s="160" t="s">
        <v>1280</v>
      </c>
      <c r="E301" s="166" t="s">
        <v>1281</v>
      </c>
      <c r="F301" s="164" t="s">
        <v>1224</v>
      </c>
      <c r="G301" s="158" t="s">
        <v>198</v>
      </c>
      <c r="H301" s="164" t="s">
        <v>1208</v>
      </c>
      <c r="I301" s="162">
        <v>2008</v>
      </c>
      <c r="J301" s="159" t="s">
        <v>196</v>
      </c>
      <c r="K301" s="162">
        <v>89</v>
      </c>
      <c r="L301" s="165">
        <v>45857</v>
      </c>
      <c r="M301" s="165">
        <v>46495</v>
      </c>
      <c r="N301" s="157"/>
      <c r="O301" s="145"/>
      <c r="P301" s="159">
        <v>12</v>
      </c>
      <c r="Q301" s="159" t="s">
        <v>20</v>
      </c>
      <c r="R301" s="159" t="s">
        <v>18</v>
      </c>
      <c r="S301" s="159" t="s">
        <v>18</v>
      </c>
      <c r="T301" s="159" t="s">
        <v>18</v>
      </c>
      <c r="U301" s="159" t="s">
        <v>20</v>
      </c>
      <c r="V301" s="159" t="s">
        <v>20</v>
      </c>
      <c r="W301" s="159" t="s">
        <v>20</v>
      </c>
      <c r="X301" s="159" t="s">
        <v>18</v>
      </c>
      <c r="Y301" s="159" t="s">
        <v>18</v>
      </c>
      <c r="Z301" s="165">
        <v>45857</v>
      </c>
      <c r="AA301" s="189">
        <v>46495</v>
      </c>
      <c r="AB301" s="159">
        <v>5</v>
      </c>
      <c r="AC301" s="293">
        <v>3</v>
      </c>
      <c r="AD301" s="145" t="s">
        <v>18</v>
      </c>
      <c r="AE301" s="145" t="s">
        <v>18</v>
      </c>
      <c r="AF301" s="150"/>
      <c r="AG301" s="155" t="s">
        <v>17</v>
      </c>
      <c r="AH301" s="294"/>
      <c r="AI301" s="300" t="s">
        <v>1280</v>
      </c>
      <c r="AJ301" s="195">
        <f>SUMIF('TK 15661.Bản quyền phim '!F:F,'KK1. Movies'!D301,'TK 15661.Bản quyền phim '!X:X)</f>
        <v>42688800</v>
      </c>
      <c r="AK301" s="195">
        <f>SUMIF('TK 15661.Bản quyền phim '!F:F,'KK1. Movies'!AI301,'TK 15661.Bản quyền phim '!X:X)</f>
        <v>42688800</v>
      </c>
      <c r="AL301" s="295">
        <f>COUNTIF('242.BQ Phim hợp tác'!$C:$C,'KK1. Movies'!AI301)</f>
        <v>0</v>
      </c>
      <c r="AM301" s="295">
        <f>COUNTIF('TK 15661.Bản quyền phim '!F:F,'KK1. Movies'!AI301)</f>
        <v>1</v>
      </c>
      <c r="AN301" s="296">
        <f t="shared" si="4"/>
        <v>1</v>
      </c>
      <c r="AO301" s="295"/>
      <c r="AP301" s="295"/>
      <c r="AQ301" s="295"/>
      <c r="AR301" s="295"/>
      <c r="AS301" s="295"/>
    </row>
    <row r="302" spans="1:45" s="296" customFormat="1" x14ac:dyDescent="0.3">
      <c r="A302" s="292">
        <f>_xlfn.AGGREGATE(3,3,$D$7:D302)</f>
        <v>296</v>
      </c>
      <c r="B302" s="143"/>
      <c r="C302" s="144" t="s">
        <v>1279</v>
      </c>
      <c r="D302" s="160" t="s">
        <v>1276</v>
      </c>
      <c r="E302" s="166" t="s">
        <v>1278</v>
      </c>
      <c r="F302" s="158" t="s">
        <v>1277</v>
      </c>
      <c r="G302" s="158" t="s">
        <v>198</v>
      </c>
      <c r="H302" s="164" t="s">
        <v>1208</v>
      </c>
      <c r="I302" s="162">
        <v>2018</v>
      </c>
      <c r="J302" s="159" t="s">
        <v>196</v>
      </c>
      <c r="K302" s="162">
        <v>102</v>
      </c>
      <c r="L302" s="165">
        <v>45891</v>
      </c>
      <c r="M302" s="165">
        <v>46528</v>
      </c>
      <c r="N302" s="157"/>
      <c r="O302" s="145"/>
      <c r="P302" s="159">
        <v>12</v>
      </c>
      <c r="Q302" s="159" t="s">
        <v>20</v>
      </c>
      <c r="R302" s="159" t="s">
        <v>18</v>
      </c>
      <c r="S302" s="159" t="s">
        <v>18</v>
      </c>
      <c r="T302" s="145" t="s">
        <v>18</v>
      </c>
      <c r="U302" s="159" t="s">
        <v>20</v>
      </c>
      <c r="V302" s="159" t="s">
        <v>20</v>
      </c>
      <c r="W302" s="159" t="s">
        <v>20</v>
      </c>
      <c r="X302" s="159" t="s">
        <v>18</v>
      </c>
      <c r="Y302" s="159" t="s">
        <v>18</v>
      </c>
      <c r="Z302" s="165">
        <v>45891</v>
      </c>
      <c r="AA302" s="189">
        <v>46528</v>
      </c>
      <c r="AB302" s="159">
        <v>5</v>
      </c>
      <c r="AC302" s="293"/>
      <c r="AD302" s="145" t="s">
        <v>18</v>
      </c>
      <c r="AE302" s="145" t="s">
        <v>18</v>
      </c>
      <c r="AF302" s="150"/>
      <c r="AG302" s="155" t="s">
        <v>17</v>
      </c>
      <c r="AH302" s="294"/>
      <c r="AI302" s="300" t="s">
        <v>1276</v>
      </c>
      <c r="AJ302" s="195">
        <f>SUMIF('TK 15661.Bản quyền phim '!F:F,'KK1. Movies'!D302,'TK 15661.Bản quyền phim '!X:X)</f>
        <v>42688800</v>
      </c>
      <c r="AK302" s="195">
        <f>SUMIF('TK 15661.Bản quyền phim '!F:F,'KK1. Movies'!AI302,'TK 15661.Bản quyền phim '!X:X)</f>
        <v>42688800</v>
      </c>
      <c r="AL302" s="295">
        <f>COUNTIF('242.BQ Phim hợp tác'!$C:$C,'KK1. Movies'!AI302)</f>
        <v>0</v>
      </c>
      <c r="AM302" s="295">
        <f>COUNTIF('TK 15661.Bản quyền phim '!F:F,'KK1. Movies'!AI302)</f>
        <v>1</v>
      </c>
      <c r="AN302" s="296">
        <f t="shared" si="4"/>
        <v>1</v>
      </c>
      <c r="AO302" s="295"/>
      <c r="AP302" s="295"/>
      <c r="AQ302" s="295"/>
      <c r="AR302" s="295"/>
      <c r="AS302" s="295"/>
    </row>
    <row r="303" spans="1:45" s="296" customFormat="1" ht="26.4" x14ac:dyDescent="0.3">
      <c r="A303" s="292">
        <f>_xlfn.AGGREGATE(3,3,$D$7:D303)</f>
        <v>297</v>
      </c>
      <c r="B303" s="143"/>
      <c r="C303" s="341" t="s">
        <v>1275</v>
      </c>
      <c r="D303" s="160" t="s">
        <v>1273</v>
      </c>
      <c r="E303" s="166" t="s">
        <v>1274</v>
      </c>
      <c r="F303" s="164" t="s">
        <v>1224</v>
      </c>
      <c r="G303" s="158" t="s">
        <v>198</v>
      </c>
      <c r="H303" s="164" t="s">
        <v>1208</v>
      </c>
      <c r="I303" s="162">
        <v>2022</v>
      </c>
      <c r="J303" s="159" t="s">
        <v>196</v>
      </c>
      <c r="K303" s="162">
        <v>92</v>
      </c>
      <c r="L303" s="165">
        <v>45892</v>
      </c>
      <c r="M303" s="165">
        <v>46621</v>
      </c>
      <c r="N303" s="157"/>
      <c r="O303" s="145"/>
      <c r="P303" s="159">
        <v>12</v>
      </c>
      <c r="Q303" s="159" t="s">
        <v>20</v>
      </c>
      <c r="R303" s="159" t="s">
        <v>18</v>
      </c>
      <c r="S303" s="159" t="s">
        <v>18</v>
      </c>
      <c r="T303" s="159" t="s">
        <v>18</v>
      </c>
      <c r="U303" s="159" t="s">
        <v>20</v>
      </c>
      <c r="V303" s="159" t="s">
        <v>20</v>
      </c>
      <c r="W303" s="159" t="s">
        <v>20</v>
      </c>
      <c r="X303" s="159" t="s">
        <v>18</v>
      </c>
      <c r="Y303" s="159" t="s">
        <v>18</v>
      </c>
      <c r="Z303" s="165">
        <v>45892</v>
      </c>
      <c r="AA303" s="189">
        <v>46621</v>
      </c>
      <c r="AB303" s="159">
        <v>6</v>
      </c>
      <c r="AC303" s="293">
        <v>3</v>
      </c>
      <c r="AD303" s="145" t="s">
        <v>18</v>
      </c>
      <c r="AE303" s="145" t="s">
        <v>18</v>
      </c>
      <c r="AF303" s="150"/>
      <c r="AG303" s="155" t="s">
        <v>17</v>
      </c>
      <c r="AH303" s="294"/>
      <c r="AI303" s="300" t="s">
        <v>1273</v>
      </c>
      <c r="AJ303" s="195">
        <f>SUMIF('TK 15661.Bản quyền phim '!F:F,'KK1. Movies'!D303,'TK 15661.Bản quyền phim '!X:X)</f>
        <v>93762900</v>
      </c>
      <c r="AK303" s="195">
        <f>SUMIF('TK 15661.Bản quyền phim '!F:F,'KK1. Movies'!AI303,'TK 15661.Bản quyền phim '!X:X)</f>
        <v>93762900</v>
      </c>
      <c r="AL303" s="295">
        <f>COUNTIF('242.BQ Phim hợp tác'!$C:$C,'KK1. Movies'!AI303)</f>
        <v>0</v>
      </c>
      <c r="AM303" s="295">
        <f>COUNTIF('TK 15661.Bản quyền phim '!F:F,'KK1. Movies'!AI303)</f>
        <v>1</v>
      </c>
      <c r="AN303" s="296">
        <f t="shared" si="4"/>
        <v>1</v>
      </c>
      <c r="AO303" s="295"/>
      <c r="AP303" s="295"/>
      <c r="AQ303" s="295"/>
      <c r="AR303" s="295"/>
      <c r="AS303" s="295"/>
    </row>
    <row r="304" spans="1:45" s="296" customFormat="1" x14ac:dyDescent="0.3">
      <c r="A304" s="292">
        <f>_xlfn.AGGREGATE(3,3,$D$7:D304)</f>
        <v>298</v>
      </c>
      <c r="B304" s="143"/>
      <c r="C304" s="144" t="s">
        <v>1272</v>
      </c>
      <c r="D304" s="160" t="s">
        <v>1269</v>
      </c>
      <c r="E304" s="166" t="s">
        <v>1271</v>
      </c>
      <c r="F304" s="158" t="s">
        <v>1270</v>
      </c>
      <c r="G304" s="158" t="s">
        <v>198</v>
      </c>
      <c r="H304" s="164" t="s">
        <v>1208</v>
      </c>
      <c r="I304" s="162">
        <v>2021</v>
      </c>
      <c r="J304" s="159" t="s">
        <v>196</v>
      </c>
      <c r="K304" s="162">
        <v>93</v>
      </c>
      <c r="L304" s="165">
        <v>45897</v>
      </c>
      <c r="M304" s="165">
        <v>46626</v>
      </c>
      <c r="N304" s="157"/>
      <c r="O304" s="145"/>
      <c r="P304" s="159">
        <v>0</v>
      </c>
      <c r="Q304" s="159" t="s">
        <v>20</v>
      </c>
      <c r="R304" s="159" t="s">
        <v>18</v>
      </c>
      <c r="S304" s="159" t="s">
        <v>18</v>
      </c>
      <c r="T304" s="145" t="s">
        <v>18</v>
      </c>
      <c r="U304" s="159" t="s">
        <v>20</v>
      </c>
      <c r="V304" s="159" t="s">
        <v>20</v>
      </c>
      <c r="W304" s="159" t="s">
        <v>20</v>
      </c>
      <c r="X304" s="159" t="s">
        <v>18</v>
      </c>
      <c r="Y304" s="159" t="s">
        <v>18</v>
      </c>
      <c r="Z304" s="165">
        <v>45897</v>
      </c>
      <c r="AA304" s="189">
        <v>46626</v>
      </c>
      <c r="AB304" s="159">
        <v>6</v>
      </c>
      <c r="AC304" s="293"/>
      <c r="AD304" s="145" t="s">
        <v>18</v>
      </c>
      <c r="AE304" s="145" t="s">
        <v>18</v>
      </c>
      <c r="AF304" s="150"/>
      <c r="AG304" s="155" t="s">
        <v>17</v>
      </c>
      <c r="AH304" s="294"/>
      <c r="AI304" s="300" t="s">
        <v>1269</v>
      </c>
      <c r="AJ304" s="195">
        <f>SUMIF('TK 15661.Bản quyền phim '!F:F,'KK1. Movies'!D304,'TK 15661.Bản quyền phim '!X:X)</f>
        <v>50311800</v>
      </c>
      <c r="AK304" s="195">
        <f>SUMIF('TK 15661.Bản quyền phim '!F:F,'KK1. Movies'!AI304,'TK 15661.Bản quyền phim '!X:X)</f>
        <v>50311800</v>
      </c>
      <c r="AL304" s="295">
        <f>COUNTIF('242.BQ Phim hợp tác'!$C:$C,'KK1. Movies'!AI304)</f>
        <v>0</v>
      </c>
      <c r="AM304" s="295">
        <f>COUNTIF('TK 15661.Bản quyền phim '!F:F,'KK1. Movies'!AI304)</f>
        <v>1</v>
      </c>
      <c r="AN304" s="296">
        <f t="shared" si="4"/>
        <v>1</v>
      </c>
      <c r="AO304" s="295"/>
      <c r="AP304" s="295"/>
      <c r="AQ304" s="295"/>
      <c r="AR304" s="295"/>
      <c r="AS304" s="295"/>
    </row>
    <row r="305" spans="1:45" s="296" customFormat="1" x14ac:dyDescent="0.3">
      <c r="A305" s="292">
        <f>_xlfn.AGGREGATE(3,3,$D$7:D305)</f>
        <v>299</v>
      </c>
      <c r="B305" s="143"/>
      <c r="C305" s="144" t="s">
        <v>1268</v>
      </c>
      <c r="D305" s="160" t="s">
        <v>1265</v>
      </c>
      <c r="E305" s="144" t="s">
        <v>1267</v>
      </c>
      <c r="F305" s="158" t="s">
        <v>1266</v>
      </c>
      <c r="G305" s="158" t="s">
        <v>198</v>
      </c>
      <c r="H305" s="164" t="s">
        <v>1208</v>
      </c>
      <c r="I305" s="162">
        <v>2014</v>
      </c>
      <c r="J305" s="159" t="s">
        <v>196</v>
      </c>
      <c r="K305" s="162">
        <v>137</v>
      </c>
      <c r="L305" s="165">
        <v>45905</v>
      </c>
      <c r="M305" s="165">
        <v>46542</v>
      </c>
      <c r="N305" s="157"/>
      <c r="O305" s="145"/>
      <c r="P305" s="159">
        <v>12</v>
      </c>
      <c r="Q305" s="159" t="s">
        <v>20</v>
      </c>
      <c r="R305" s="159" t="s">
        <v>18</v>
      </c>
      <c r="S305" s="159" t="s">
        <v>18</v>
      </c>
      <c r="T305" s="145" t="s">
        <v>18</v>
      </c>
      <c r="U305" s="159" t="s">
        <v>20</v>
      </c>
      <c r="V305" s="159" t="s">
        <v>20</v>
      </c>
      <c r="W305" s="159" t="s">
        <v>20</v>
      </c>
      <c r="X305" s="159" t="s">
        <v>18</v>
      </c>
      <c r="Y305" s="159" t="s">
        <v>18</v>
      </c>
      <c r="Z305" s="165">
        <v>45905</v>
      </c>
      <c r="AA305" s="189">
        <v>46542</v>
      </c>
      <c r="AB305" s="159">
        <v>5</v>
      </c>
      <c r="AC305" s="293"/>
      <c r="AD305" s="145" t="s">
        <v>18</v>
      </c>
      <c r="AE305" s="145" t="s">
        <v>18</v>
      </c>
      <c r="AF305" s="150"/>
      <c r="AG305" s="155" t="s">
        <v>17</v>
      </c>
      <c r="AH305" s="294"/>
      <c r="AI305" s="300" t="s">
        <v>1265</v>
      </c>
      <c r="AJ305" s="195">
        <f>SUMIF('TK 15661.Bản quyền phim '!F:F,'KK1. Movies'!D305,'TK 15661.Bản quyền phim '!X:X)</f>
        <v>42688800</v>
      </c>
      <c r="AK305" s="195">
        <f>SUMIF('TK 15661.Bản quyền phim '!F:F,'KK1. Movies'!AI305,'TK 15661.Bản quyền phim '!X:X)</f>
        <v>42688800</v>
      </c>
      <c r="AL305" s="295">
        <f>COUNTIF('242.BQ Phim hợp tác'!$C:$C,'KK1. Movies'!AI305)</f>
        <v>0</v>
      </c>
      <c r="AM305" s="295">
        <f>COUNTIF('TK 15661.Bản quyền phim '!F:F,'KK1. Movies'!AI305)</f>
        <v>1</v>
      </c>
      <c r="AN305" s="296">
        <f t="shared" si="4"/>
        <v>1</v>
      </c>
      <c r="AO305" s="295"/>
      <c r="AP305" s="295"/>
      <c r="AQ305" s="295"/>
      <c r="AR305" s="295"/>
      <c r="AS305" s="295"/>
    </row>
    <row r="306" spans="1:45" s="296" customFormat="1" ht="26.4" x14ac:dyDescent="0.3">
      <c r="A306" s="292">
        <f>_xlfn.AGGREGATE(3,3,$D$7:D306)</f>
        <v>300</v>
      </c>
      <c r="B306" s="143"/>
      <c r="C306" s="144" t="s">
        <v>1264</v>
      </c>
      <c r="D306" s="160" t="s">
        <v>1262</v>
      </c>
      <c r="E306" s="144" t="s">
        <v>1263</v>
      </c>
      <c r="F306" s="158" t="s">
        <v>1209</v>
      </c>
      <c r="G306" s="158" t="s">
        <v>198</v>
      </c>
      <c r="H306" s="164" t="s">
        <v>1208</v>
      </c>
      <c r="I306" s="162">
        <v>2016</v>
      </c>
      <c r="J306" s="159" t="s">
        <v>196</v>
      </c>
      <c r="K306" s="162">
        <v>107</v>
      </c>
      <c r="L306" s="165">
        <v>45912</v>
      </c>
      <c r="M306" s="165">
        <v>46549</v>
      </c>
      <c r="N306" s="157"/>
      <c r="O306" s="145"/>
      <c r="P306" s="159">
        <v>12</v>
      </c>
      <c r="Q306" s="159" t="s">
        <v>20</v>
      </c>
      <c r="R306" s="159" t="s">
        <v>18</v>
      </c>
      <c r="S306" s="159" t="s">
        <v>18</v>
      </c>
      <c r="T306" s="145" t="s">
        <v>18</v>
      </c>
      <c r="U306" s="159" t="s">
        <v>20</v>
      </c>
      <c r="V306" s="159" t="s">
        <v>20</v>
      </c>
      <c r="W306" s="159" t="s">
        <v>20</v>
      </c>
      <c r="X306" s="159" t="s">
        <v>18</v>
      </c>
      <c r="Y306" s="159" t="s">
        <v>18</v>
      </c>
      <c r="Z306" s="165">
        <v>45912</v>
      </c>
      <c r="AA306" s="189">
        <v>46549</v>
      </c>
      <c r="AB306" s="159">
        <v>5</v>
      </c>
      <c r="AC306" s="293"/>
      <c r="AD306" s="145" t="s">
        <v>18</v>
      </c>
      <c r="AE306" s="145" t="s">
        <v>18</v>
      </c>
      <c r="AF306" s="150"/>
      <c r="AG306" s="155" t="s">
        <v>17</v>
      </c>
      <c r="AH306" s="294"/>
      <c r="AI306" s="300" t="s">
        <v>1262</v>
      </c>
      <c r="AJ306" s="195">
        <f>SUMIF('TK 15661.Bản quyền phim '!F:F,'KK1. Movies'!D306,'TK 15661.Bản quyền phim '!X:X)</f>
        <v>42688800</v>
      </c>
      <c r="AK306" s="195">
        <f>SUMIF('TK 15661.Bản quyền phim '!F:F,'KK1. Movies'!AI306,'TK 15661.Bản quyền phim '!X:X)</f>
        <v>42688800</v>
      </c>
      <c r="AL306" s="295">
        <f>COUNTIF('242.BQ Phim hợp tác'!$C:$C,'KK1. Movies'!AI306)</f>
        <v>0</v>
      </c>
      <c r="AM306" s="295">
        <f>COUNTIF('TK 15661.Bản quyền phim '!F:F,'KK1. Movies'!AI306)</f>
        <v>1</v>
      </c>
      <c r="AN306" s="296">
        <f t="shared" si="4"/>
        <v>1</v>
      </c>
      <c r="AO306" s="295"/>
      <c r="AP306" s="295"/>
      <c r="AQ306" s="295"/>
      <c r="AR306" s="295"/>
      <c r="AS306" s="295"/>
    </row>
    <row r="307" spans="1:45" s="296" customFormat="1" x14ac:dyDescent="0.3">
      <c r="A307" s="292">
        <f>_xlfn.AGGREGATE(3,3,$D$7:D307)</f>
        <v>301</v>
      </c>
      <c r="B307" s="143"/>
      <c r="C307" s="341" t="s">
        <v>1261</v>
      </c>
      <c r="D307" s="160" t="s">
        <v>1257</v>
      </c>
      <c r="E307" s="144" t="s">
        <v>1260</v>
      </c>
      <c r="F307" s="158" t="s">
        <v>1259</v>
      </c>
      <c r="G307" s="158" t="s">
        <v>198</v>
      </c>
      <c r="H307" s="164" t="s">
        <v>1208</v>
      </c>
      <c r="I307" s="162">
        <v>2021</v>
      </c>
      <c r="J307" s="159" t="s">
        <v>1258</v>
      </c>
      <c r="K307" s="162">
        <v>105</v>
      </c>
      <c r="L307" s="165">
        <v>45925</v>
      </c>
      <c r="M307" s="165">
        <v>46654</v>
      </c>
      <c r="N307" s="157"/>
      <c r="O307" s="145"/>
      <c r="P307" s="159">
        <v>12</v>
      </c>
      <c r="Q307" s="159" t="s">
        <v>20</v>
      </c>
      <c r="R307" s="159" t="s">
        <v>18</v>
      </c>
      <c r="S307" s="159" t="s">
        <v>18</v>
      </c>
      <c r="T307" s="145" t="s">
        <v>18</v>
      </c>
      <c r="U307" s="159" t="s">
        <v>20</v>
      </c>
      <c r="V307" s="159" t="s">
        <v>20</v>
      </c>
      <c r="W307" s="159" t="s">
        <v>20</v>
      </c>
      <c r="X307" s="159" t="s">
        <v>18</v>
      </c>
      <c r="Y307" s="159" t="s">
        <v>18</v>
      </c>
      <c r="Z307" s="165">
        <v>45925</v>
      </c>
      <c r="AA307" s="189">
        <v>46654</v>
      </c>
      <c r="AB307" s="159">
        <v>6</v>
      </c>
      <c r="AC307" s="293"/>
      <c r="AD307" s="145" t="s">
        <v>18</v>
      </c>
      <c r="AE307" s="145" t="s">
        <v>18</v>
      </c>
      <c r="AF307" s="150"/>
      <c r="AG307" s="155" t="s">
        <v>17</v>
      </c>
      <c r="AH307" s="294"/>
      <c r="AI307" s="300" t="s">
        <v>1257</v>
      </c>
      <c r="AJ307" s="195">
        <f>SUMIF('TK 15661.Bản quyền phim '!F:F,'KK1. Movies'!D307,'TK 15661.Bản quyền phim '!X:X)</f>
        <v>39258450</v>
      </c>
      <c r="AK307" s="195">
        <f>SUMIF('TK 15661.Bản quyền phim '!F:F,'KK1. Movies'!AI307,'TK 15661.Bản quyền phim '!X:X)</f>
        <v>39258450</v>
      </c>
      <c r="AL307" s="295">
        <f>COUNTIF('242.BQ Phim hợp tác'!$C:$C,'KK1. Movies'!AI307)</f>
        <v>0</v>
      </c>
      <c r="AM307" s="295">
        <f>COUNTIF('TK 15661.Bản quyền phim '!F:F,'KK1. Movies'!AI307)</f>
        <v>1</v>
      </c>
      <c r="AN307" s="296">
        <f t="shared" si="4"/>
        <v>1</v>
      </c>
      <c r="AO307" s="295"/>
      <c r="AP307" s="295"/>
      <c r="AQ307" s="295"/>
      <c r="AR307" s="295"/>
      <c r="AS307" s="295"/>
    </row>
    <row r="308" spans="1:45" s="296" customFormat="1" ht="26.4" x14ac:dyDescent="0.3">
      <c r="A308" s="292">
        <f>_xlfn.AGGREGATE(3,3,$D$7:D308)</f>
        <v>302</v>
      </c>
      <c r="B308" s="143"/>
      <c r="C308" s="144" t="s">
        <v>1256</v>
      </c>
      <c r="D308" s="160" t="s">
        <v>1253</v>
      </c>
      <c r="E308" s="144" t="s">
        <v>1255</v>
      </c>
      <c r="F308" s="158" t="s">
        <v>1254</v>
      </c>
      <c r="G308" s="158" t="s">
        <v>198</v>
      </c>
      <c r="H308" s="164" t="s">
        <v>1208</v>
      </c>
      <c r="I308" s="162">
        <v>2023</v>
      </c>
      <c r="J308" s="159" t="s">
        <v>196</v>
      </c>
      <c r="K308" s="162">
        <v>141</v>
      </c>
      <c r="L308" s="165">
        <v>45926</v>
      </c>
      <c r="M308" s="165">
        <v>46655</v>
      </c>
      <c r="N308" s="157"/>
      <c r="O308" s="145"/>
      <c r="P308" s="159">
        <v>12</v>
      </c>
      <c r="Q308" s="159" t="s">
        <v>20</v>
      </c>
      <c r="R308" s="159" t="s">
        <v>18</v>
      </c>
      <c r="S308" s="159" t="s">
        <v>18</v>
      </c>
      <c r="T308" s="145" t="s">
        <v>18</v>
      </c>
      <c r="U308" s="159" t="s">
        <v>20</v>
      </c>
      <c r="V308" s="159" t="s">
        <v>20</v>
      </c>
      <c r="W308" s="159" t="s">
        <v>20</v>
      </c>
      <c r="X308" s="159" t="s">
        <v>18</v>
      </c>
      <c r="Y308" s="159" t="s">
        <v>18</v>
      </c>
      <c r="Z308" s="165">
        <v>45926</v>
      </c>
      <c r="AA308" s="189">
        <v>46655</v>
      </c>
      <c r="AB308" s="159">
        <v>6</v>
      </c>
      <c r="AC308" s="293"/>
      <c r="AD308" s="145" t="s">
        <v>18</v>
      </c>
      <c r="AE308" s="145" t="s">
        <v>18</v>
      </c>
      <c r="AF308" s="150"/>
      <c r="AG308" s="155" t="s">
        <v>17</v>
      </c>
      <c r="AH308" s="294"/>
      <c r="AI308" s="300" t="s">
        <v>1253</v>
      </c>
      <c r="AJ308" s="195">
        <f>SUMIF('TK 15661.Bản quyền phim '!F:F,'KK1. Movies'!D308,'TK 15661.Bản quyền phim '!X:X)</f>
        <v>93762900</v>
      </c>
      <c r="AK308" s="195">
        <f>SUMIF('TK 15661.Bản quyền phim '!F:F,'KK1. Movies'!AI308,'TK 15661.Bản quyền phim '!X:X)</f>
        <v>93762900</v>
      </c>
      <c r="AL308" s="295">
        <f>COUNTIF('242.BQ Phim hợp tác'!$C:$C,'KK1. Movies'!AI308)</f>
        <v>0</v>
      </c>
      <c r="AM308" s="295">
        <f>COUNTIF('TK 15661.Bản quyền phim '!F:F,'KK1. Movies'!AI308)</f>
        <v>1</v>
      </c>
      <c r="AN308" s="296">
        <f t="shared" si="4"/>
        <v>1</v>
      </c>
      <c r="AO308" s="295"/>
      <c r="AP308" s="295"/>
      <c r="AQ308" s="295"/>
      <c r="AR308" s="295"/>
      <c r="AS308" s="295"/>
    </row>
    <row r="309" spans="1:45" s="296" customFormat="1" x14ac:dyDescent="0.3">
      <c r="A309" s="292">
        <f>_xlfn.AGGREGATE(3,3,$D$7:D309)</f>
        <v>303</v>
      </c>
      <c r="B309" s="143"/>
      <c r="C309" s="341" t="s">
        <v>1252</v>
      </c>
      <c r="D309" s="160" t="s">
        <v>1249</v>
      </c>
      <c r="E309" s="144" t="s">
        <v>1251</v>
      </c>
      <c r="F309" s="158" t="s">
        <v>1250</v>
      </c>
      <c r="G309" s="158" t="s">
        <v>198</v>
      </c>
      <c r="H309" s="164" t="s">
        <v>1208</v>
      </c>
      <c r="I309" s="162">
        <v>2022</v>
      </c>
      <c r="J309" s="159" t="s">
        <v>196</v>
      </c>
      <c r="K309" s="162">
        <v>112</v>
      </c>
      <c r="L309" s="165">
        <v>45946</v>
      </c>
      <c r="M309" s="165">
        <v>46675</v>
      </c>
      <c r="N309" s="157"/>
      <c r="O309" s="145"/>
      <c r="P309" s="159">
        <v>0</v>
      </c>
      <c r="Q309" s="159" t="s">
        <v>20</v>
      </c>
      <c r="R309" s="159" t="s">
        <v>18</v>
      </c>
      <c r="S309" s="159" t="s">
        <v>18</v>
      </c>
      <c r="T309" s="145" t="s">
        <v>18</v>
      </c>
      <c r="U309" s="159" t="s">
        <v>20</v>
      </c>
      <c r="V309" s="159" t="s">
        <v>20</v>
      </c>
      <c r="W309" s="159" t="s">
        <v>20</v>
      </c>
      <c r="X309" s="159" t="s">
        <v>18</v>
      </c>
      <c r="Y309" s="159" t="s">
        <v>18</v>
      </c>
      <c r="Z309" s="165">
        <v>45946</v>
      </c>
      <c r="AA309" s="189">
        <v>46675</v>
      </c>
      <c r="AB309" s="159">
        <v>6</v>
      </c>
      <c r="AC309" s="293"/>
      <c r="AD309" s="145" t="s">
        <v>18</v>
      </c>
      <c r="AE309" s="145" t="s">
        <v>18</v>
      </c>
      <c r="AF309" s="150"/>
      <c r="AG309" s="155" t="s">
        <v>17</v>
      </c>
      <c r="AH309" s="294"/>
      <c r="AI309" s="300" t="s">
        <v>1249</v>
      </c>
      <c r="AJ309" s="195">
        <f>SUMIF('TK 15661.Bản quyền phim '!F:F,'KK1. Movies'!D309,'TK 15661.Bản quyền phim '!X:X)</f>
        <v>50311800</v>
      </c>
      <c r="AK309" s="195">
        <f>SUMIF('TK 15661.Bản quyền phim '!F:F,'KK1. Movies'!AI309,'TK 15661.Bản quyền phim '!X:X)</f>
        <v>50311800</v>
      </c>
      <c r="AL309" s="295">
        <f>COUNTIF('242.BQ Phim hợp tác'!$C:$C,'KK1. Movies'!AI309)</f>
        <v>0</v>
      </c>
      <c r="AM309" s="295">
        <f>COUNTIF('TK 15661.Bản quyền phim '!F:F,'KK1. Movies'!AI309)</f>
        <v>1</v>
      </c>
      <c r="AN309" s="296">
        <f t="shared" si="4"/>
        <v>1</v>
      </c>
      <c r="AO309" s="295"/>
      <c r="AP309" s="295"/>
      <c r="AQ309" s="295"/>
      <c r="AR309" s="295"/>
      <c r="AS309" s="295"/>
    </row>
    <row r="310" spans="1:45" s="296" customFormat="1" x14ac:dyDescent="0.3">
      <c r="A310" s="292">
        <f>_xlfn.AGGREGATE(3,3,$D$7:D310)</f>
        <v>304</v>
      </c>
      <c r="B310" s="143"/>
      <c r="C310" s="144" t="s">
        <v>1248</v>
      </c>
      <c r="D310" s="160" t="s">
        <v>1246</v>
      </c>
      <c r="E310" s="144" t="s">
        <v>1247</v>
      </c>
      <c r="F310" s="158" t="s">
        <v>385</v>
      </c>
      <c r="G310" s="158" t="s">
        <v>198</v>
      </c>
      <c r="H310" s="164" t="s">
        <v>1208</v>
      </c>
      <c r="I310" s="162">
        <v>2015</v>
      </c>
      <c r="J310" s="159" t="s">
        <v>196</v>
      </c>
      <c r="K310" s="162">
        <v>118</v>
      </c>
      <c r="L310" s="165">
        <v>45952</v>
      </c>
      <c r="M310" s="165">
        <v>46589</v>
      </c>
      <c r="N310" s="157"/>
      <c r="O310" s="145"/>
      <c r="P310" s="159">
        <v>0</v>
      </c>
      <c r="Q310" s="159" t="s">
        <v>20</v>
      </c>
      <c r="R310" s="159" t="s">
        <v>18</v>
      </c>
      <c r="S310" s="159" t="s">
        <v>18</v>
      </c>
      <c r="T310" s="145" t="s">
        <v>18</v>
      </c>
      <c r="U310" s="159" t="s">
        <v>20</v>
      </c>
      <c r="V310" s="159" t="s">
        <v>20</v>
      </c>
      <c r="W310" s="159" t="s">
        <v>20</v>
      </c>
      <c r="X310" s="159" t="s">
        <v>18</v>
      </c>
      <c r="Y310" s="159" t="s">
        <v>18</v>
      </c>
      <c r="Z310" s="165">
        <v>45952</v>
      </c>
      <c r="AA310" s="189">
        <v>46589</v>
      </c>
      <c r="AB310" s="159">
        <v>5</v>
      </c>
      <c r="AC310" s="293"/>
      <c r="AD310" s="145" t="s">
        <v>18</v>
      </c>
      <c r="AE310" s="145" t="s">
        <v>18</v>
      </c>
      <c r="AF310" s="150"/>
      <c r="AG310" s="155" t="s">
        <v>17</v>
      </c>
      <c r="AH310" s="294"/>
      <c r="AI310" s="300" t="s">
        <v>1246</v>
      </c>
      <c r="AJ310" s="195">
        <f>SUMIF('TK 15661.Bản quyền phim '!F:F,'KK1. Movies'!D310,'TK 15661.Bản quyền phim '!X:X)</f>
        <v>42688800</v>
      </c>
      <c r="AK310" s="195">
        <f>SUMIF('TK 15661.Bản quyền phim '!F:F,'KK1. Movies'!AI310,'TK 15661.Bản quyền phim '!X:X)</f>
        <v>42688800</v>
      </c>
      <c r="AL310" s="295">
        <f>COUNTIF('242.BQ Phim hợp tác'!$C:$C,'KK1. Movies'!AI310)</f>
        <v>0</v>
      </c>
      <c r="AM310" s="295">
        <f>COUNTIF('TK 15661.Bản quyền phim '!F:F,'KK1. Movies'!AI310)</f>
        <v>1</v>
      </c>
      <c r="AN310" s="296">
        <f t="shared" si="4"/>
        <v>1</v>
      </c>
      <c r="AO310" s="295"/>
      <c r="AP310" s="295"/>
      <c r="AQ310" s="295"/>
      <c r="AR310" s="295"/>
      <c r="AS310" s="295"/>
    </row>
    <row r="311" spans="1:45" s="296" customFormat="1" x14ac:dyDescent="0.3">
      <c r="A311" s="292">
        <f>_xlfn.AGGREGATE(3,3,$D$7:D311)</f>
        <v>305</v>
      </c>
      <c r="B311" s="143"/>
      <c r="C311" s="144" t="s">
        <v>1245</v>
      </c>
      <c r="D311" s="160" t="s">
        <v>1242</v>
      </c>
      <c r="E311" s="144" t="s">
        <v>1244</v>
      </c>
      <c r="F311" s="158" t="s">
        <v>1243</v>
      </c>
      <c r="G311" s="158" t="s">
        <v>198</v>
      </c>
      <c r="H311" s="164" t="s">
        <v>1208</v>
      </c>
      <c r="I311" s="162">
        <v>2020</v>
      </c>
      <c r="J311" s="159" t="s">
        <v>196</v>
      </c>
      <c r="K311" s="162">
        <v>108</v>
      </c>
      <c r="L311" s="165">
        <v>45954</v>
      </c>
      <c r="M311" s="165">
        <v>46591</v>
      </c>
      <c r="N311" s="157"/>
      <c r="O311" s="145"/>
      <c r="P311" s="159">
        <v>0</v>
      </c>
      <c r="Q311" s="159" t="s">
        <v>20</v>
      </c>
      <c r="R311" s="159" t="s">
        <v>18</v>
      </c>
      <c r="S311" s="159" t="s">
        <v>18</v>
      </c>
      <c r="T311" s="145" t="s">
        <v>18</v>
      </c>
      <c r="U311" s="159" t="s">
        <v>20</v>
      </c>
      <c r="V311" s="159" t="s">
        <v>20</v>
      </c>
      <c r="W311" s="159" t="s">
        <v>20</v>
      </c>
      <c r="X311" s="159" t="s">
        <v>18</v>
      </c>
      <c r="Y311" s="159" t="s">
        <v>18</v>
      </c>
      <c r="Z311" s="165">
        <v>45954</v>
      </c>
      <c r="AA311" s="189">
        <v>46591</v>
      </c>
      <c r="AB311" s="159">
        <v>5</v>
      </c>
      <c r="AC311" s="293"/>
      <c r="AD311" s="145" t="s">
        <v>18</v>
      </c>
      <c r="AE311" s="145" t="s">
        <v>18</v>
      </c>
      <c r="AF311" s="150"/>
      <c r="AG311" s="155" t="s">
        <v>17</v>
      </c>
      <c r="AH311" s="294"/>
      <c r="AI311" s="300" t="s">
        <v>1242</v>
      </c>
      <c r="AJ311" s="195">
        <f>SUMIF('TK 15661.Bản quyền phim '!F:F,'KK1. Movies'!D311,'TK 15661.Bản quyền phim '!X:X)</f>
        <v>42688800</v>
      </c>
      <c r="AK311" s="195">
        <f>SUMIF('TK 15661.Bản quyền phim '!F:F,'KK1. Movies'!AI311,'TK 15661.Bản quyền phim '!X:X)</f>
        <v>42688800</v>
      </c>
      <c r="AL311" s="295">
        <f>COUNTIF('242.BQ Phim hợp tác'!$C:$C,'KK1. Movies'!AI311)</f>
        <v>0</v>
      </c>
      <c r="AM311" s="295">
        <f>COUNTIF('TK 15661.Bản quyền phim '!F:F,'KK1. Movies'!AI311)</f>
        <v>1</v>
      </c>
      <c r="AN311" s="296">
        <f t="shared" si="4"/>
        <v>1</v>
      </c>
      <c r="AO311" s="295"/>
      <c r="AP311" s="295"/>
      <c r="AQ311" s="295"/>
      <c r="AR311" s="295"/>
      <c r="AS311" s="295"/>
    </row>
    <row r="312" spans="1:45" s="296" customFormat="1" ht="26.4" x14ac:dyDescent="0.3">
      <c r="A312" s="292">
        <f>_xlfn.AGGREGATE(3,3,$D$7:D312)</f>
        <v>306</v>
      </c>
      <c r="B312" s="143"/>
      <c r="C312" s="144" t="s">
        <v>1241</v>
      </c>
      <c r="D312" s="160" t="s">
        <v>1238</v>
      </c>
      <c r="E312" s="144" t="s">
        <v>1240</v>
      </c>
      <c r="F312" s="158" t="s">
        <v>1239</v>
      </c>
      <c r="G312" s="158" t="s">
        <v>198</v>
      </c>
      <c r="H312" s="164" t="s">
        <v>1208</v>
      </c>
      <c r="I312" s="162">
        <v>2022</v>
      </c>
      <c r="J312" s="159" t="s">
        <v>196</v>
      </c>
      <c r="K312" s="162">
        <v>107</v>
      </c>
      <c r="L312" s="165">
        <v>45956</v>
      </c>
      <c r="M312" s="165">
        <v>46685</v>
      </c>
      <c r="N312" s="157"/>
      <c r="O312" s="145"/>
      <c r="P312" s="159">
        <v>12</v>
      </c>
      <c r="Q312" s="159" t="s">
        <v>20</v>
      </c>
      <c r="R312" s="159" t="s">
        <v>18</v>
      </c>
      <c r="S312" s="159" t="s">
        <v>18</v>
      </c>
      <c r="T312" s="145" t="s">
        <v>18</v>
      </c>
      <c r="U312" s="159" t="s">
        <v>20</v>
      </c>
      <c r="V312" s="159" t="s">
        <v>20</v>
      </c>
      <c r="W312" s="159" t="s">
        <v>20</v>
      </c>
      <c r="X312" s="159" t="s">
        <v>18</v>
      </c>
      <c r="Y312" s="159" t="s">
        <v>18</v>
      </c>
      <c r="Z312" s="165">
        <v>45956</v>
      </c>
      <c r="AA312" s="189">
        <v>46685</v>
      </c>
      <c r="AB312" s="159">
        <v>6</v>
      </c>
      <c r="AC312" s="293"/>
      <c r="AD312" s="145" t="s">
        <v>18</v>
      </c>
      <c r="AE312" s="145" t="s">
        <v>18</v>
      </c>
      <c r="AF312" s="150"/>
      <c r="AG312" s="155" t="s">
        <v>17</v>
      </c>
      <c r="AH312" s="294"/>
      <c r="AI312" s="300" t="s">
        <v>1238</v>
      </c>
      <c r="AJ312" s="195">
        <f>SUMIF('TK 15661.Bản quyền phim '!F:F,'KK1. Movies'!D312,'TK 15661.Bản quyền phim '!X:X)</f>
        <v>50311800</v>
      </c>
      <c r="AK312" s="195">
        <f>SUMIF('TK 15661.Bản quyền phim '!F:F,'KK1. Movies'!AI312,'TK 15661.Bản quyền phim '!X:X)</f>
        <v>50311800</v>
      </c>
      <c r="AL312" s="295">
        <f>COUNTIF('242.BQ Phim hợp tác'!$C:$C,'KK1. Movies'!AI312)</f>
        <v>0</v>
      </c>
      <c r="AM312" s="295">
        <f>COUNTIF('TK 15661.Bản quyền phim '!F:F,'KK1. Movies'!AI312)</f>
        <v>1</v>
      </c>
      <c r="AN312" s="296">
        <f t="shared" si="4"/>
        <v>1</v>
      </c>
      <c r="AO312" s="295"/>
      <c r="AP312" s="295"/>
      <c r="AQ312" s="295"/>
      <c r="AR312" s="295"/>
      <c r="AS312" s="295"/>
    </row>
    <row r="313" spans="1:45" s="296" customFormat="1" x14ac:dyDescent="0.3">
      <c r="A313" s="292">
        <f>_xlfn.AGGREGATE(3,3,$D$7:D313)</f>
        <v>307</v>
      </c>
      <c r="B313" s="143"/>
      <c r="C313" s="144" t="s">
        <v>1237</v>
      </c>
      <c r="D313" s="160" t="s">
        <v>1234</v>
      </c>
      <c r="E313" s="144" t="s">
        <v>1236</v>
      </c>
      <c r="F313" s="158" t="s">
        <v>1235</v>
      </c>
      <c r="G313" s="158" t="s">
        <v>198</v>
      </c>
      <c r="H313" s="164" t="s">
        <v>1208</v>
      </c>
      <c r="I313" s="162">
        <v>2022</v>
      </c>
      <c r="J313" s="159" t="s">
        <v>196</v>
      </c>
      <c r="K313" s="162">
        <v>129</v>
      </c>
      <c r="L313" s="165">
        <v>45945</v>
      </c>
      <c r="M313" s="165">
        <v>46674</v>
      </c>
      <c r="N313" s="157"/>
      <c r="O313" s="145"/>
      <c r="P313" s="159">
        <v>0</v>
      </c>
      <c r="Q313" s="159" t="s">
        <v>20</v>
      </c>
      <c r="R313" s="159" t="s">
        <v>18</v>
      </c>
      <c r="S313" s="159" t="s">
        <v>18</v>
      </c>
      <c r="T313" s="145" t="s">
        <v>18</v>
      </c>
      <c r="U313" s="159" t="s">
        <v>20</v>
      </c>
      <c r="V313" s="159" t="s">
        <v>20</v>
      </c>
      <c r="W313" s="159" t="s">
        <v>20</v>
      </c>
      <c r="X313" s="159" t="s">
        <v>18</v>
      </c>
      <c r="Y313" s="159" t="s">
        <v>18</v>
      </c>
      <c r="Z313" s="165">
        <v>45945</v>
      </c>
      <c r="AA313" s="189">
        <v>46674</v>
      </c>
      <c r="AB313" s="159">
        <v>6</v>
      </c>
      <c r="AC313" s="293"/>
      <c r="AD313" s="145" t="s">
        <v>18</v>
      </c>
      <c r="AE313" s="145" t="s">
        <v>18</v>
      </c>
      <c r="AF313" s="150"/>
      <c r="AG313" s="155" t="s">
        <v>17</v>
      </c>
      <c r="AH313" s="294"/>
      <c r="AI313" s="300" t="s">
        <v>1234</v>
      </c>
      <c r="AJ313" s="195">
        <f>SUMIF('TK 15661.Bản quyền phim '!F:F,'KK1. Movies'!D313,'TK 15661.Bản quyền phim '!X:X)</f>
        <v>39258450</v>
      </c>
      <c r="AK313" s="195">
        <f>SUMIF('TK 15661.Bản quyền phim '!F:F,'KK1. Movies'!AI313,'TK 15661.Bản quyền phim '!X:X)</f>
        <v>39258450</v>
      </c>
      <c r="AL313" s="295">
        <f>COUNTIF('242.BQ Phim hợp tác'!$C:$C,'KK1. Movies'!AI313)</f>
        <v>0</v>
      </c>
      <c r="AM313" s="295">
        <f>COUNTIF('TK 15661.Bản quyền phim '!F:F,'KK1. Movies'!AI313)</f>
        <v>1</v>
      </c>
      <c r="AN313" s="296">
        <f t="shared" si="4"/>
        <v>1</v>
      </c>
      <c r="AO313" s="295"/>
      <c r="AP313" s="295"/>
      <c r="AQ313" s="295"/>
      <c r="AR313" s="295"/>
      <c r="AS313" s="295"/>
    </row>
    <row r="314" spans="1:45" s="296" customFormat="1" x14ac:dyDescent="0.3">
      <c r="A314" s="292">
        <f>_xlfn.AGGREGATE(3,3,$D$7:D314)</f>
        <v>308</v>
      </c>
      <c r="B314" s="143"/>
      <c r="C314" s="144" t="s">
        <v>1233</v>
      </c>
      <c r="D314" s="160" t="s">
        <v>1230</v>
      </c>
      <c r="E314" s="166" t="s">
        <v>1232</v>
      </c>
      <c r="F314" s="158" t="s">
        <v>1231</v>
      </c>
      <c r="G314" s="158" t="s">
        <v>198</v>
      </c>
      <c r="H314" s="164" t="s">
        <v>1208</v>
      </c>
      <c r="I314" s="162">
        <v>2021</v>
      </c>
      <c r="J314" s="159" t="s">
        <v>196</v>
      </c>
      <c r="K314" s="162">
        <v>130</v>
      </c>
      <c r="L314" s="165">
        <v>45961</v>
      </c>
      <c r="M314" s="165">
        <v>46690</v>
      </c>
      <c r="N314" s="157"/>
      <c r="O314" s="145"/>
      <c r="P314" s="159">
        <v>0</v>
      </c>
      <c r="Q314" s="159" t="s">
        <v>20</v>
      </c>
      <c r="R314" s="159" t="s">
        <v>18</v>
      </c>
      <c r="S314" s="159" t="s">
        <v>18</v>
      </c>
      <c r="T314" s="145" t="s">
        <v>18</v>
      </c>
      <c r="U314" s="159" t="s">
        <v>20</v>
      </c>
      <c r="V314" s="159" t="s">
        <v>20</v>
      </c>
      <c r="W314" s="159" t="s">
        <v>20</v>
      </c>
      <c r="X314" s="159" t="s">
        <v>18</v>
      </c>
      <c r="Y314" s="159" t="s">
        <v>18</v>
      </c>
      <c r="Z314" s="165">
        <v>45961</v>
      </c>
      <c r="AA314" s="189">
        <v>46690</v>
      </c>
      <c r="AB314" s="159">
        <v>6</v>
      </c>
      <c r="AC314" s="293"/>
      <c r="AD314" s="145" t="s">
        <v>18</v>
      </c>
      <c r="AE314" s="145" t="s">
        <v>18</v>
      </c>
      <c r="AF314" s="150"/>
      <c r="AG314" s="155" t="s">
        <v>17</v>
      </c>
      <c r="AH314" s="294"/>
      <c r="AI314" s="300" t="s">
        <v>1230</v>
      </c>
      <c r="AJ314" s="195">
        <f>SUMIF('TK 15661.Bản quyền phim '!F:F,'KK1. Movies'!D314,'TK 15661.Bản quyền phim '!X:X)</f>
        <v>65176650</v>
      </c>
      <c r="AK314" s="195">
        <f>SUMIF('TK 15661.Bản quyền phim '!F:F,'KK1. Movies'!AI314,'TK 15661.Bản quyền phim '!X:X)</f>
        <v>65176650</v>
      </c>
      <c r="AL314" s="295">
        <f>COUNTIF('242.BQ Phim hợp tác'!$C:$C,'KK1. Movies'!AI314)</f>
        <v>0</v>
      </c>
      <c r="AM314" s="295">
        <f>COUNTIF('TK 15661.Bản quyền phim '!F:F,'KK1. Movies'!AI314)</f>
        <v>1</v>
      </c>
      <c r="AN314" s="296">
        <f t="shared" si="4"/>
        <v>1</v>
      </c>
      <c r="AO314" s="295"/>
      <c r="AP314" s="295"/>
      <c r="AQ314" s="295"/>
      <c r="AR314" s="295"/>
      <c r="AS314" s="295"/>
    </row>
    <row r="315" spans="1:45" s="296" customFormat="1" x14ac:dyDescent="0.3">
      <c r="A315" s="292">
        <f>_xlfn.AGGREGATE(3,3,$D$7:D315)</f>
        <v>309</v>
      </c>
      <c r="B315" s="143"/>
      <c r="C315" s="144" t="s">
        <v>1229</v>
      </c>
      <c r="D315" s="160" t="s">
        <v>1227</v>
      </c>
      <c r="E315" s="166" t="s">
        <v>1228</v>
      </c>
      <c r="F315" s="158" t="s">
        <v>1220</v>
      </c>
      <c r="G315" s="158" t="s">
        <v>198</v>
      </c>
      <c r="H315" s="164" t="s">
        <v>1208</v>
      </c>
      <c r="I315" s="162">
        <v>2015</v>
      </c>
      <c r="J315" s="159" t="s">
        <v>196</v>
      </c>
      <c r="K315" s="162">
        <v>124</v>
      </c>
      <c r="L315" s="165">
        <v>45968</v>
      </c>
      <c r="M315" s="165">
        <v>46605</v>
      </c>
      <c r="N315" s="157"/>
      <c r="O315" s="145"/>
      <c r="P315" s="159">
        <v>0</v>
      </c>
      <c r="Q315" s="159" t="s">
        <v>20</v>
      </c>
      <c r="R315" s="159" t="s">
        <v>18</v>
      </c>
      <c r="S315" s="159" t="s">
        <v>18</v>
      </c>
      <c r="T315" s="145" t="s">
        <v>18</v>
      </c>
      <c r="U315" s="159" t="s">
        <v>20</v>
      </c>
      <c r="V315" s="159" t="s">
        <v>20</v>
      </c>
      <c r="W315" s="159" t="s">
        <v>20</v>
      </c>
      <c r="X315" s="159" t="s">
        <v>18</v>
      </c>
      <c r="Y315" s="159" t="s">
        <v>18</v>
      </c>
      <c r="Z315" s="165">
        <v>45968</v>
      </c>
      <c r="AA315" s="189">
        <v>46605</v>
      </c>
      <c r="AB315" s="159">
        <v>5</v>
      </c>
      <c r="AC315" s="293"/>
      <c r="AD315" s="145" t="s">
        <v>18</v>
      </c>
      <c r="AE315" s="145" t="s">
        <v>18</v>
      </c>
      <c r="AF315" s="150"/>
      <c r="AG315" s="155" t="s">
        <v>17</v>
      </c>
      <c r="AH315" s="294"/>
      <c r="AI315" s="300" t="s">
        <v>1227</v>
      </c>
      <c r="AJ315" s="195">
        <f>SUMIF('TK 15661.Bản quyền phim '!F:F,'KK1. Movies'!D315,'TK 15661.Bản quyền phim '!X:X)</f>
        <v>42688800</v>
      </c>
      <c r="AK315" s="195">
        <f>SUMIF('TK 15661.Bản quyền phim '!F:F,'KK1. Movies'!AI315,'TK 15661.Bản quyền phim '!X:X)</f>
        <v>42688800</v>
      </c>
      <c r="AL315" s="295">
        <f>COUNTIF('242.BQ Phim hợp tác'!$C:$C,'KK1. Movies'!AI315)</f>
        <v>0</v>
      </c>
      <c r="AM315" s="295">
        <f>COUNTIF('TK 15661.Bản quyền phim '!F:F,'KK1. Movies'!AI315)</f>
        <v>1</v>
      </c>
      <c r="AN315" s="296">
        <f t="shared" si="4"/>
        <v>1</v>
      </c>
      <c r="AO315" s="295"/>
      <c r="AP315" s="295"/>
      <c r="AQ315" s="295"/>
      <c r="AR315" s="295"/>
      <c r="AS315" s="295"/>
    </row>
    <row r="316" spans="1:45" s="296" customFormat="1" ht="26.4" x14ac:dyDescent="0.3">
      <c r="A316" s="292">
        <f>_xlfn.AGGREGATE(3,3,$D$7:D316)</f>
        <v>310</v>
      </c>
      <c r="B316" s="143"/>
      <c r="C316" s="341" t="s">
        <v>1226</v>
      </c>
      <c r="D316" s="160" t="s">
        <v>1223</v>
      </c>
      <c r="E316" s="166" t="s">
        <v>1225</v>
      </c>
      <c r="F316" s="164" t="s">
        <v>1224</v>
      </c>
      <c r="G316" s="158" t="s">
        <v>198</v>
      </c>
      <c r="H316" s="164" t="s">
        <v>1208</v>
      </c>
      <c r="I316" s="162">
        <v>2020</v>
      </c>
      <c r="J316" s="159" t="s">
        <v>196</v>
      </c>
      <c r="K316" s="162">
        <v>102</v>
      </c>
      <c r="L316" s="165">
        <v>45969</v>
      </c>
      <c r="M316" s="165">
        <v>46698</v>
      </c>
      <c r="N316" s="157"/>
      <c r="O316" s="145"/>
      <c r="P316" s="159">
        <v>0</v>
      </c>
      <c r="Q316" s="159" t="s">
        <v>20</v>
      </c>
      <c r="R316" s="159" t="s">
        <v>18</v>
      </c>
      <c r="S316" s="159" t="s">
        <v>18</v>
      </c>
      <c r="T316" s="159" t="s">
        <v>18</v>
      </c>
      <c r="U316" s="159" t="s">
        <v>20</v>
      </c>
      <c r="V316" s="159" t="s">
        <v>20</v>
      </c>
      <c r="W316" s="159" t="s">
        <v>20</v>
      </c>
      <c r="X316" s="159" t="s">
        <v>18</v>
      </c>
      <c r="Y316" s="159" t="s">
        <v>18</v>
      </c>
      <c r="Z316" s="165">
        <v>45969</v>
      </c>
      <c r="AA316" s="189">
        <v>46698</v>
      </c>
      <c r="AB316" s="159">
        <v>6</v>
      </c>
      <c r="AC316" s="293"/>
      <c r="AD316" s="145" t="s">
        <v>18</v>
      </c>
      <c r="AE316" s="145" t="s">
        <v>18</v>
      </c>
      <c r="AF316" s="150"/>
      <c r="AG316" s="155" t="s">
        <v>17</v>
      </c>
      <c r="AH316" s="294"/>
      <c r="AI316" s="300" t="s">
        <v>1223</v>
      </c>
      <c r="AJ316" s="195">
        <f>SUMIF('TK 15661.Bản quyền phim '!F:F,'KK1. Movies'!D316,'TK 15661.Bản quyền phim '!X:X)</f>
        <v>56791350</v>
      </c>
      <c r="AK316" s="195">
        <f>SUMIF('TK 15661.Bản quyền phim '!F:F,'KK1. Movies'!AI316,'TK 15661.Bản quyền phim '!X:X)</f>
        <v>56791350</v>
      </c>
      <c r="AL316" s="295">
        <f>COUNTIF('242.BQ Phim hợp tác'!$C:$C,'KK1. Movies'!AI316)</f>
        <v>0</v>
      </c>
      <c r="AM316" s="295">
        <f>COUNTIF('TK 15661.Bản quyền phim '!F:F,'KK1. Movies'!AI316)</f>
        <v>1</v>
      </c>
      <c r="AN316" s="296">
        <f t="shared" si="4"/>
        <v>1</v>
      </c>
      <c r="AO316" s="295"/>
      <c r="AP316" s="295"/>
      <c r="AQ316" s="295"/>
      <c r="AR316" s="295"/>
      <c r="AS316" s="295"/>
    </row>
    <row r="317" spans="1:45" s="296" customFormat="1" ht="26.4" x14ac:dyDescent="0.3">
      <c r="A317" s="292">
        <f>_xlfn.AGGREGATE(3,3,$D$7:D317)</f>
        <v>311</v>
      </c>
      <c r="B317" s="143"/>
      <c r="C317" s="144" t="s">
        <v>1222</v>
      </c>
      <c r="D317" s="160" t="s">
        <v>1219</v>
      </c>
      <c r="E317" s="166" t="s">
        <v>1221</v>
      </c>
      <c r="F317" s="164" t="s">
        <v>1220</v>
      </c>
      <c r="G317" s="158" t="s">
        <v>198</v>
      </c>
      <c r="H317" s="164" t="s">
        <v>1208</v>
      </c>
      <c r="I317" s="162">
        <v>2022</v>
      </c>
      <c r="J317" s="159" t="s">
        <v>196</v>
      </c>
      <c r="K317" s="162">
        <v>104</v>
      </c>
      <c r="L317" s="165">
        <v>45973</v>
      </c>
      <c r="M317" s="165">
        <v>46702</v>
      </c>
      <c r="N317" s="157"/>
      <c r="O317" s="145"/>
      <c r="P317" s="159">
        <v>0</v>
      </c>
      <c r="Q317" s="159" t="s">
        <v>20</v>
      </c>
      <c r="R317" s="159" t="s">
        <v>18</v>
      </c>
      <c r="S317" s="159" t="s">
        <v>18</v>
      </c>
      <c r="T317" s="145" t="s">
        <v>18</v>
      </c>
      <c r="U317" s="159" t="s">
        <v>20</v>
      </c>
      <c r="V317" s="159" t="s">
        <v>20</v>
      </c>
      <c r="W317" s="159" t="s">
        <v>20</v>
      </c>
      <c r="X317" s="159" t="s">
        <v>18</v>
      </c>
      <c r="Y317" s="159" t="s">
        <v>18</v>
      </c>
      <c r="Z317" s="165">
        <v>45973</v>
      </c>
      <c r="AA317" s="189">
        <v>46702</v>
      </c>
      <c r="AB317" s="159">
        <v>6</v>
      </c>
      <c r="AC317" s="293"/>
      <c r="AD317" s="145" t="s">
        <v>18</v>
      </c>
      <c r="AE317" s="145" t="s">
        <v>18</v>
      </c>
      <c r="AF317" s="150"/>
      <c r="AG317" s="155" t="s">
        <v>17</v>
      </c>
      <c r="AH317" s="294"/>
      <c r="AI317" s="300" t="s">
        <v>1219</v>
      </c>
      <c r="AJ317" s="195">
        <f>SUMIF('TK 15661.Bản quyền phim '!F:F,'KK1. Movies'!D317,'TK 15661.Bản quyền phim '!X:X)</f>
        <v>65176650</v>
      </c>
      <c r="AK317" s="195">
        <f>SUMIF('TK 15661.Bản quyền phim '!F:F,'KK1. Movies'!AI317,'TK 15661.Bản quyền phim '!X:X)</f>
        <v>65176650</v>
      </c>
      <c r="AL317" s="295">
        <f>COUNTIF('242.BQ Phim hợp tác'!$C:$C,'KK1. Movies'!AI317)</f>
        <v>0</v>
      </c>
      <c r="AM317" s="295">
        <f>COUNTIF('TK 15661.Bản quyền phim '!F:F,'KK1. Movies'!AI317)</f>
        <v>1</v>
      </c>
      <c r="AN317" s="296">
        <f t="shared" si="4"/>
        <v>1</v>
      </c>
      <c r="AO317" s="295"/>
      <c r="AP317" s="295"/>
      <c r="AQ317" s="295"/>
      <c r="AR317" s="295"/>
      <c r="AS317" s="295"/>
    </row>
    <row r="318" spans="1:45" s="296" customFormat="1" x14ac:dyDescent="0.3">
      <c r="A318" s="292">
        <f>_xlfn.AGGREGATE(3,3,$D$7:D318)</f>
        <v>312</v>
      </c>
      <c r="B318" s="143"/>
      <c r="C318" s="341" t="s">
        <v>1218</v>
      </c>
      <c r="D318" s="160" t="s">
        <v>1216</v>
      </c>
      <c r="E318" s="166" t="s">
        <v>1217</v>
      </c>
      <c r="F318" s="158" t="s">
        <v>385</v>
      </c>
      <c r="G318" s="158" t="s">
        <v>198</v>
      </c>
      <c r="H318" s="164" t="s">
        <v>1208</v>
      </c>
      <c r="I318" s="162">
        <v>2023</v>
      </c>
      <c r="J318" s="159" t="s">
        <v>196</v>
      </c>
      <c r="K318" s="162">
        <v>93</v>
      </c>
      <c r="L318" s="165">
        <v>46003</v>
      </c>
      <c r="M318" s="165">
        <v>46732</v>
      </c>
      <c r="N318" s="157"/>
      <c r="O318" s="145"/>
      <c r="P318" s="159">
        <v>12</v>
      </c>
      <c r="Q318" s="159" t="s">
        <v>20</v>
      </c>
      <c r="R318" s="159" t="s">
        <v>18</v>
      </c>
      <c r="S318" s="159" t="s">
        <v>18</v>
      </c>
      <c r="T318" s="145" t="s">
        <v>18</v>
      </c>
      <c r="U318" s="159" t="s">
        <v>20</v>
      </c>
      <c r="V318" s="159" t="s">
        <v>20</v>
      </c>
      <c r="W318" s="159" t="s">
        <v>20</v>
      </c>
      <c r="X318" s="159" t="s">
        <v>18</v>
      </c>
      <c r="Y318" s="159" t="s">
        <v>18</v>
      </c>
      <c r="Z318" s="165">
        <v>46003</v>
      </c>
      <c r="AA318" s="189">
        <v>46732</v>
      </c>
      <c r="AB318" s="159">
        <v>6</v>
      </c>
      <c r="AC318" s="293"/>
      <c r="AD318" s="145" t="s">
        <v>18</v>
      </c>
      <c r="AE318" s="145" t="s">
        <v>18</v>
      </c>
      <c r="AF318" s="150"/>
      <c r="AG318" s="155" t="s">
        <v>17</v>
      </c>
      <c r="AH318" s="294"/>
      <c r="AI318" s="300" t="s">
        <v>1216</v>
      </c>
      <c r="AJ318" s="195">
        <f>SUMIF('TK 15661.Bản quyền phim '!F:F,'KK1. Movies'!D318,'TK 15661.Bản quyền phim '!X:X)</f>
        <v>39258450</v>
      </c>
      <c r="AK318" s="195">
        <f>SUMIF('TK 15661.Bản quyền phim '!F:F,'KK1. Movies'!AI318,'TK 15661.Bản quyền phim '!X:X)</f>
        <v>39258450</v>
      </c>
      <c r="AL318" s="295">
        <f>COUNTIF('242.BQ Phim hợp tác'!$C:$C,'KK1. Movies'!AI318)</f>
        <v>0</v>
      </c>
      <c r="AM318" s="295">
        <f>COUNTIF('TK 15661.Bản quyền phim '!F:F,'KK1. Movies'!AI318)</f>
        <v>1</v>
      </c>
      <c r="AN318" s="296">
        <f t="shared" si="4"/>
        <v>1</v>
      </c>
      <c r="AO318" s="295"/>
      <c r="AP318" s="295"/>
      <c r="AQ318" s="295"/>
      <c r="AR318" s="295"/>
      <c r="AS318" s="295"/>
    </row>
    <row r="319" spans="1:45" s="296" customFormat="1" x14ac:dyDescent="0.3">
      <c r="A319" s="292">
        <f>_xlfn.AGGREGATE(3,3,$D$7:D319)</f>
        <v>313</v>
      </c>
      <c r="B319" s="143"/>
      <c r="C319" s="341" t="s">
        <v>1215</v>
      </c>
      <c r="D319" s="160" t="s">
        <v>1212</v>
      </c>
      <c r="E319" s="166" t="s">
        <v>1214</v>
      </c>
      <c r="F319" s="158" t="s">
        <v>1213</v>
      </c>
      <c r="G319" s="158" t="s">
        <v>198</v>
      </c>
      <c r="H319" s="164" t="s">
        <v>1208</v>
      </c>
      <c r="I319" s="162">
        <v>2014</v>
      </c>
      <c r="J319" s="159" t="s">
        <v>196</v>
      </c>
      <c r="K319" s="162">
        <v>97</v>
      </c>
      <c r="L319" s="165">
        <v>46003</v>
      </c>
      <c r="M319" s="165">
        <v>46732</v>
      </c>
      <c r="N319" s="157"/>
      <c r="O319" s="145"/>
      <c r="P319" s="159">
        <v>12</v>
      </c>
      <c r="Q319" s="159" t="s">
        <v>20</v>
      </c>
      <c r="R319" s="159" t="s">
        <v>18</v>
      </c>
      <c r="S319" s="159" t="s">
        <v>18</v>
      </c>
      <c r="T319" s="145" t="s">
        <v>18</v>
      </c>
      <c r="U319" s="159" t="s">
        <v>20</v>
      </c>
      <c r="V319" s="159" t="s">
        <v>20</v>
      </c>
      <c r="W319" s="159" t="s">
        <v>20</v>
      </c>
      <c r="X319" s="159" t="s">
        <v>18</v>
      </c>
      <c r="Y319" s="159" t="s">
        <v>18</v>
      </c>
      <c r="Z319" s="165">
        <v>46003</v>
      </c>
      <c r="AA319" s="189">
        <v>46732</v>
      </c>
      <c r="AB319" s="159">
        <v>6</v>
      </c>
      <c r="AC319" s="293"/>
      <c r="AD319" s="145" t="s">
        <v>18</v>
      </c>
      <c r="AE319" s="145" t="s">
        <v>18</v>
      </c>
      <c r="AF319" s="150"/>
      <c r="AG319" s="155" t="s">
        <v>17</v>
      </c>
      <c r="AH319" s="294"/>
      <c r="AI319" s="300" t="s">
        <v>1212</v>
      </c>
      <c r="AJ319" s="195">
        <f>SUMIF('TK 15661.Bản quyền phim '!F:F,'KK1. Movies'!D319,'TK 15661.Bản quyền phim '!X:X)</f>
        <v>56791350</v>
      </c>
      <c r="AK319" s="195">
        <f>SUMIF('TK 15661.Bản quyền phim '!F:F,'KK1. Movies'!AI319,'TK 15661.Bản quyền phim '!X:X)</f>
        <v>56791350</v>
      </c>
      <c r="AL319" s="295">
        <f>COUNTIF('242.BQ Phim hợp tác'!$C:$C,'KK1. Movies'!AI319)</f>
        <v>0</v>
      </c>
      <c r="AM319" s="295">
        <f>COUNTIF('TK 15661.Bản quyền phim '!F:F,'KK1. Movies'!AI319)</f>
        <v>1</v>
      </c>
      <c r="AN319" s="296">
        <f t="shared" si="4"/>
        <v>1</v>
      </c>
      <c r="AO319" s="295"/>
      <c r="AP319" s="295"/>
      <c r="AQ319" s="295"/>
      <c r="AR319" s="295"/>
      <c r="AS319" s="295"/>
    </row>
    <row r="320" spans="1:45" s="296" customFormat="1" x14ac:dyDescent="0.3">
      <c r="A320" s="292">
        <f>_xlfn.AGGREGATE(3,3,$D$7:D320)</f>
        <v>314</v>
      </c>
      <c r="B320" s="143"/>
      <c r="C320" s="341" t="s">
        <v>1211</v>
      </c>
      <c r="D320" s="160" t="s">
        <v>1207</v>
      </c>
      <c r="E320" s="166" t="s">
        <v>1210</v>
      </c>
      <c r="F320" s="158" t="s">
        <v>1209</v>
      </c>
      <c r="G320" s="158" t="s">
        <v>198</v>
      </c>
      <c r="H320" s="164" t="s">
        <v>1208</v>
      </c>
      <c r="I320" s="162">
        <v>2023</v>
      </c>
      <c r="J320" s="159" t="s">
        <v>196</v>
      </c>
      <c r="K320" s="162">
        <v>101</v>
      </c>
      <c r="L320" s="165">
        <v>46009</v>
      </c>
      <c r="M320" s="165">
        <v>46738</v>
      </c>
      <c r="N320" s="157"/>
      <c r="O320" s="145"/>
      <c r="P320" s="159">
        <v>12</v>
      </c>
      <c r="Q320" s="159" t="s">
        <v>20</v>
      </c>
      <c r="R320" s="159" t="s">
        <v>18</v>
      </c>
      <c r="S320" s="159" t="s">
        <v>18</v>
      </c>
      <c r="T320" s="145" t="s">
        <v>18</v>
      </c>
      <c r="U320" s="159" t="s">
        <v>20</v>
      </c>
      <c r="V320" s="159" t="s">
        <v>20</v>
      </c>
      <c r="W320" s="159" t="s">
        <v>20</v>
      </c>
      <c r="X320" s="159" t="s">
        <v>18</v>
      </c>
      <c r="Y320" s="159" t="s">
        <v>18</v>
      </c>
      <c r="Z320" s="165">
        <v>46009</v>
      </c>
      <c r="AA320" s="189">
        <v>46738</v>
      </c>
      <c r="AB320" s="159">
        <v>6</v>
      </c>
      <c r="AC320" s="293"/>
      <c r="AD320" s="145" t="s">
        <v>18</v>
      </c>
      <c r="AE320" s="145" t="s">
        <v>18</v>
      </c>
      <c r="AF320" s="150"/>
      <c r="AG320" s="155" t="s">
        <v>17</v>
      </c>
      <c r="AH320" s="294"/>
      <c r="AI320" s="300" t="s">
        <v>1207</v>
      </c>
      <c r="AJ320" s="195">
        <f>SUMIF('TK 15661.Bản quyền phim '!F:F,'KK1. Movies'!D320,'TK 15661.Bản quyền phim '!X:X)</f>
        <v>39258450</v>
      </c>
      <c r="AK320" s="195">
        <f>SUMIF('TK 15661.Bản quyền phim '!F:F,'KK1. Movies'!AI320,'TK 15661.Bản quyền phim '!X:X)</f>
        <v>39258450</v>
      </c>
      <c r="AL320" s="295">
        <f>COUNTIF('242.BQ Phim hợp tác'!$C:$C,'KK1. Movies'!AI320)</f>
        <v>0</v>
      </c>
      <c r="AM320" s="295">
        <f>COUNTIF('TK 15661.Bản quyền phim '!F:F,'KK1. Movies'!AI320)</f>
        <v>1</v>
      </c>
      <c r="AN320" s="296">
        <f t="shared" si="4"/>
        <v>1</v>
      </c>
      <c r="AO320" s="295"/>
      <c r="AP320" s="295"/>
      <c r="AQ320" s="295"/>
      <c r="AR320" s="295"/>
      <c r="AS320" s="295"/>
    </row>
    <row r="321" spans="1:45" s="296" customFormat="1" x14ac:dyDescent="0.3">
      <c r="A321" s="292">
        <f>_xlfn.AGGREGATE(3,3,$D$7:D321)</f>
        <v>315</v>
      </c>
      <c r="B321" s="143"/>
      <c r="C321" s="144" t="s">
        <v>1206</v>
      </c>
      <c r="D321" s="160" t="s">
        <v>1205</v>
      </c>
      <c r="E321" s="160" t="s">
        <v>1205</v>
      </c>
      <c r="F321" s="166" t="s">
        <v>1160</v>
      </c>
      <c r="G321" s="158" t="s">
        <v>1127</v>
      </c>
      <c r="H321" s="158" t="s">
        <v>1126</v>
      </c>
      <c r="I321" s="159">
        <v>1994</v>
      </c>
      <c r="J321" s="159" t="s">
        <v>196</v>
      </c>
      <c r="K321" s="159">
        <v>142</v>
      </c>
      <c r="L321" s="188">
        <v>45777</v>
      </c>
      <c r="M321" s="188">
        <v>46324</v>
      </c>
      <c r="N321" s="157"/>
      <c r="O321" s="145"/>
      <c r="P321" s="145"/>
      <c r="Q321" s="159" t="s">
        <v>20</v>
      </c>
      <c r="R321" s="159" t="s">
        <v>18</v>
      </c>
      <c r="S321" s="166" t="s">
        <v>18</v>
      </c>
      <c r="T321" s="145" t="s">
        <v>18</v>
      </c>
      <c r="U321" s="159" t="s">
        <v>20</v>
      </c>
      <c r="V321" s="159" t="s">
        <v>20</v>
      </c>
      <c r="W321" s="159" t="s">
        <v>20</v>
      </c>
      <c r="X321" s="159" t="s">
        <v>18</v>
      </c>
      <c r="Y321" s="159" t="s">
        <v>20</v>
      </c>
      <c r="Z321" s="188">
        <v>45777</v>
      </c>
      <c r="AA321" s="188">
        <v>46141</v>
      </c>
      <c r="AB321" s="166">
        <v>10</v>
      </c>
      <c r="AC321" s="293"/>
      <c r="AD321" s="145" t="s">
        <v>18</v>
      </c>
      <c r="AE321" s="145" t="s">
        <v>18</v>
      </c>
      <c r="AF321" s="150"/>
      <c r="AG321" s="155" t="s">
        <v>17</v>
      </c>
      <c r="AH321" s="294" t="s">
        <v>1206</v>
      </c>
      <c r="AI321" s="300" t="s">
        <v>1205</v>
      </c>
      <c r="AJ321" s="195">
        <f>SUMIF('TK 15661.Bản quyền phim '!F:F,'KK1. Movies'!D321,'TK 15661.Bản quyền phim '!X:X)</f>
        <v>45463250</v>
      </c>
      <c r="AK321" s="195">
        <f>SUMIF('TK 15661.Bản quyền phim '!F:F,'KK1. Movies'!AI321,'TK 15661.Bản quyền phim '!X:X)</f>
        <v>45463250</v>
      </c>
      <c r="AL321" s="295">
        <f>COUNTIF('242.BQ Phim hợp tác'!$C:$C,'KK1. Movies'!AI321)</f>
        <v>0</v>
      </c>
      <c r="AM321" s="295">
        <f>COUNTIF('TK 15661.Bản quyền phim '!F:F,'KK1. Movies'!AI321)</f>
        <v>1</v>
      </c>
      <c r="AN321" s="296">
        <f t="shared" si="4"/>
        <v>1</v>
      </c>
      <c r="AO321" s="295"/>
      <c r="AP321" s="295"/>
      <c r="AQ321" s="295"/>
      <c r="AR321" s="295"/>
      <c r="AS321" s="295"/>
    </row>
    <row r="322" spans="1:45" s="296" customFormat="1" x14ac:dyDescent="0.3">
      <c r="A322" s="292">
        <f>_xlfn.AGGREGATE(3,3,$D$7:D322)</f>
        <v>316</v>
      </c>
      <c r="B322" s="143"/>
      <c r="C322" s="144" t="s">
        <v>1204</v>
      </c>
      <c r="D322" s="160" t="s">
        <v>1203</v>
      </c>
      <c r="E322" s="160" t="s">
        <v>1203</v>
      </c>
      <c r="F322" s="166" t="s">
        <v>1160</v>
      </c>
      <c r="G322" s="158" t="s">
        <v>1127</v>
      </c>
      <c r="H322" s="158" t="s">
        <v>1126</v>
      </c>
      <c r="I322" s="159">
        <v>2022</v>
      </c>
      <c r="J322" s="159" t="s">
        <v>196</v>
      </c>
      <c r="K322" s="159">
        <v>189</v>
      </c>
      <c r="L322" s="188">
        <v>45883</v>
      </c>
      <c r="M322" s="188">
        <v>46431</v>
      </c>
      <c r="N322" s="157"/>
      <c r="O322" s="145"/>
      <c r="P322" s="145"/>
      <c r="Q322" s="159" t="s">
        <v>20</v>
      </c>
      <c r="R322" s="159" t="s">
        <v>18</v>
      </c>
      <c r="S322" s="166" t="s">
        <v>18</v>
      </c>
      <c r="T322" s="145" t="s">
        <v>18</v>
      </c>
      <c r="U322" s="159" t="s">
        <v>20</v>
      </c>
      <c r="V322" s="159" t="s">
        <v>20</v>
      </c>
      <c r="W322" s="159" t="s">
        <v>20</v>
      </c>
      <c r="X322" s="159" t="s">
        <v>18</v>
      </c>
      <c r="Y322" s="159" t="s">
        <v>20</v>
      </c>
      <c r="Z322" s="188">
        <v>45883</v>
      </c>
      <c r="AA322" s="188">
        <v>46247</v>
      </c>
      <c r="AB322" s="166">
        <v>10</v>
      </c>
      <c r="AC322" s="293"/>
      <c r="AD322" s="145" t="s">
        <v>18</v>
      </c>
      <c r="AE322" s="145" t="s">
        <v>18</v>
      </c>
      <c r="AF322" s="150"/>
      <c r="AG322" s="155" t="s">
        <v>17</v>
      </c>
      <c r="AH322" s="294"/>
      <c r="AI322" s="300" t="s">
        <v>1203</v>
      </c>
      <c r="AJ322" s="195">
        <f>SUMIF('TK 15661.Bản quyền phim '!F:F,'KK1. Movies'!D322,'TK 15661.Bản quyền phim '!X:X)</f>
        <v>45463250</v>
      </c>
      <c r="AK322" s="195">
        <f>SUMIF('TK 15661.Bản quyền phim '!F:F,'KK1. Movies'!AI322,'TK 15661.Bản quyền phim '!X:X)</f>
        <v>45463250</v>
      </c>
      <c r="AL322" s="295">
        <f>COUNTIF('242.BQ Phim hợp tác'!$C:$C,'KK1. Movies'!AI322)</f>
        <v>0</v>
      </c>
      <c r="AM322" s="295">
        <f>COUNTIF('TK 15661.Bản quyền phim '!F:F,'KK1. Movies'!AI322)</f>
        <v>1</v>
      </c>
      <c r="AN322" s="296">
        <f t="shared" si="4"/>
        <v>1</v>
      </c>
      <c r="AO322" s="295"/>
      <c r="AP322" s="295"/>
      <c r="AQ322" s="295"/>
      <c r="AR322" s="295"/>
      <c r="AS322" s="295"/>
    </row>
    <row r="323" spans="1:45" s="296" customFormat="1" x14ac:dyDescent="0.3">
      <c r="A323" s="292">
        <f>_xlfn.AGGREGATE(3,3,$D$7:D323)</f>
        <v>317</v>
      </c>
      <c r="B323" s="143"/>
      <c r="C323" s="144" t="s">
        <v>1202</v>
      </c>
      <c r="D323" s="160" t="s">
        <v>1200</v>
      </c>
      <c r="E323" s="166" t="s">
        <v>1201</v>
      </c>
      <c r="F323" s="166" t="s">
        <v>350</v>
      </c>
      <c r="G323" s="158" t="s">
        <v>1127</v>
      </c>
      <c r="H323" s="158" t="s">
        <v>1126</v>
      </c>
      <c r="I323" s="159">
        <v>2011</v>
      </c>
      <c r="J323" s="159" t="s">
        <v>196</v>
      </c>
      <c r="K323" s="159">
        <v>112</v>
      </c>
      <c r="L323" s="188">
        <v>45883</v>
      </c>
      <c r="M323" s="188">
        <v>46431</v>
      </c>
      <c r="N323" s="157"/>
      <c r="O323" s="145"/>
      <c r="P323" s="145"/>
      <c r="Q323" s="159" t="s">
        <v>20</v>
      </c>
      <c r="R323" s="159" t="s">
        <v>18</v>
      </c>
      <c r="S323" s="166" t="s">
        <v>18</v>
      </c>
      <c r="T323" s="145" t="s">
        <v>18</v>
      </c>
      <c r="U323" s="159" t="s">
        <v>20</v>
      </c>
      <c r="V323" s="159" t="s">
        <v>20</v>
      </c>
      <c r="W323" s="159" t="s">
        <v>20</v>
      </c>
      <c r="X323" s="159" t="s">
        <v>18</v>
      </c>
      <c r="Y323" s="159" t="s">
        <v>20</v>
      </c>
      <c r="Z323" s="188">
        <v>45883</v>
      </c>
      <c r="AA323" s="188">
        <v>46247</v>
      </c>
      <c r="AB323" s="166">
        <v>10</v>
      </c>
      <c r="AC323" s="293"/>
      <c r="AD323" s="145" t="s">
        <v>18</v>
      </c>
      <c r="AE323" s="145" t="s">
        <v>18</v>
      </c>
      <c r="AF323" s="150"/>
      <c r="AG323" s="155" t="s">
        <v>17</v>
      </c>
      <c r="AH323" s="294"/>
      <c r="AI323" s="300" t="s">
        <v>1200</v>
      </c>
      <c r="AJ323" s="195">
        <f>SUMIF('TK 15661.Bản quyền phim '!F:F,'KK1. Movies'!D323,'TK 15661.Bản quyền phim '!X:X)</f>
        <v>38968500</v>
      </c>
      <c r="AK323" s="195">
        <f>SUMIF('TK 15661.Bản quyền phim '!F:F,'KK1. Movies'!AI323,'TK 15661.Bản quyền phim '!X:X)</f>
        <v>38968500</v>
      </c>
      <c r="AL323" s="295">
        <f>COUNTIF('242.BQ Phim hợp tác'!$C:$C,'KK1. Movies'!AI323)</f>
        <v>0</v>
      </c>
      <c r="AM323" s="295">
        <f>COUNTIF('TK 15661.Bản quyền phim '!F:F,'KK1. Movies'!AI323)</f>
        <v>1</v>
      </c>
      <c r="AN323" s="296">
        <f t="shared" si="4"/>
        <v>1</v>
      </c>
      <c r="AO323" s="295"/>
      <c r="AP323" s="295"/>
      <c r="AQ323" s="295"/>
      <c r="AR323" s="295"/>
      <c r="AS323" s="295"/>
    </row>
    <row r="324" spans="1:45" s="296" customFormat="1" ht="26.4" x14ac:dyDescent="0.3">
      <c r="A324" s="292">
        <f>_xlfn.AGGREGATE(3,3,$D$7:D324)</f>
        <v>318</v>
      </c>
      <c r="B324" s="143"/>
      <c r="C324" s="341" t="s">
        <v>1199</v>
      </c>
      <c r="D324" s="160" t="s">
        <v>1197</v>
      </c>
      <c r="E324" s="166" t="s">
        <v>1198</v>
      </c>
      <c r="F324" s="166" t="s">
        <v>350</v>
      </c>
      <c r="G324" s="158" t="s">
        <v>1127</v>
      </c>
      <c r="H324" s="158" t="s">
        <v>1126</v>
      </c>
      <c r="I324" s="159">
        <v>2014</v>
      </c>
      <c r="J324" s="159" t="s">
        <v>196</v>
      </c>
      <c r="K324" s="159">
        <v>112</v>
      </c>
      <c r="L324" s="188">
        <v>45883</v>
      </c>
      <c r="M324" s="188">
        <v>46431</v>
      </c>
      <c r="N324" s="157"/>
      <c r="O324" s="145"/>
      <c r="P324" s="145"/>
      <c r="Q324" s="159" t="s">
        <v>20</v>
      </c>
      <c r="R324" s="159" t="s">
        <v>18</v>
      </c>
      <c r="S324" s="166" t="s">
        <v>18</v>
      </c>
      <c r="T324" s="145" t="s">
        <v>18</v>
      </c>
      <c r="U324" s="159" t="s">
        <v>20</v>
      </c>
      <c r="V324" s="159" t="s">
        <v>20</v>
      </c>
      <c r="W324" s="159" t="s">
        <v>20</v>
      </c>
      <c r="X324" s="159" t="s">
        <v>18</v>
      </c>
      <c r="Y324" s="159" t="s">
        <v>20</v>
      </c>
      <c r="Z324" s="188">
        <v>45883</v>
      </c>
      <c r="AA324" s="188">
        <v>46247</v>
      </c>
      <c r="AB324" s="166">
        <v>10</v>
      </c>
      <c r="AC324" s="293"/>
      <c r="AD324" s="145" t="s">
        <v>18</v>
      </c>
      <c r="AE324" s="145" t="s">
        <v>18</v>
      </c>
      <c r="AF324" s="150"/>
      <c r="AG324" s="155" t="s">
        <v>17</v>
      </c>
      <c r="AH324" s="294"/>
      <c r="AI324" s="300" t="s">
        <v>1197</v>
      </c>
      <c r="AJ324" s="195">
        <f>SUMIF('TK 15661.Bản quyền phim '!F:F,'KK1. Movies'!D324,'TK 15661.Bản quyền phim '!X:X)</f>
        <v>38968500</v>
      </c>
      <c r="AK324" s="195">
        <f>SUMIF('TK 15661.Bản quyền phim '!F:F,'KK1. Movies'!AI324,'TK 15661.Bản quyền phim '!X:X)</f>
        <v>38968500</v>
      </c>
      <c r="AL324" s="295">
        <f>COUNTIF('242.BQ Phim hợp tác'!$C:$C,'KK1. Movies'!AI324)</f>
        <v>0</v>
      </c>
      <c r="AM324" s="295">
        <f>COUNTIF('TK 15661.Bản quyền phim '!F:F,'KK1. Movies'!AI324)</f>
        <v>1</v>
      </c>
      <c r="AN324" s="296">
        <f t="shared" si="4"/>
        <v>1</v>
      </c>
      <c r="AO324" s="295"/>
      <c r="AP324" s="295"/>
      <c r="AQ324" s="295"/>
      <c r="AR324" s="295"/>
      <c r="AS324" s="295"/>
    </row>
    <row r="325" spans="1:45" s="296" customFormat="1" x14ac:dyDescent="0.3">
      <c r="A325" s="292">
        <f>_xlfn.AGGREGATE(3,3,$D$7:D325)</f>
        <v>319</v>
      </c>
      <c r="B325" s="143"/>
      <c r="C325" s="144" t="s">
        <v>1196</v>
      </c>
      <c r="D325" s="160" t="s">
        <v>1194</v>
      </c>
      <c r="E325" s="166" t="s">
        <v>1195</v>
      </c>
      <c r="F325" s="166" t="s">
        <v>1160</v>
      </c>
      <c r="G325" s="158" t="s">
        <v>1127</v>
      </c>
      <c r="H325" s="158" t="s">
        <v>1126</v>
      </c>
      <c r="I325" s="159">
        <v>2023</v>
      </c>
      <c r="J325" s="159" t="s">
        <v>196</v>
      </c>
      <c r="K325" s="159">
        <v>95</v>
      </c>
      <c r="L325" s="188">
        <v>45883</v>
      </c>
      <c r="M325" s="188">
        <v>46431</v>
      </c>
      <c r="N325" s="157"/>
      <c r="O325" s="145"/>
      <c r="P325" s="145"/>
      <c r="Q325" s="159" t="s">
        <v>20</v>
      </c>
      <c r="R325" s="159" t="s">
        <v>18</v>
      </c>
      <c r="S325" s="166" t="s">
        <v>18</v>
      </c>
      <c r="T325" s="145" t="s">
        <v>18</v>
      </c>
      <c r="U325" s="159" t="s">
        <v>20</v>
      </c>
      <c r="V325" s="159" t="s">
        <v>20</v>
      </c>
      <c r="W325" s="159" t="s">
        <v>20</v>
      </c>
      <c r="X325" s="159" t="s">
        <v>18</v>
      </c>
      <c r="Y325" s="159" t="s">
        <v>20</v>
      </c>
      <c r="Z325" s="188">
        <v>45883</v>
      </c>
      <c r="AA325" s="188">
        <v>46247</v>
      </c>
      <c r="AB325" s="166">
        <v>10</v>
      </c>
      <c r="AC325" s="293"/>
      <c r="AD325" s="145" t="s">
        <v>18</v>
      </c>
      <c r="AE325" s="145" t="s">
        <v>18</v>
      </c>
      <c r="AF325" s="150"/>
      <c r="AG325" s="155" t="s">
        <v>17</v>
      </c>
      <c r="AH325" s="294"/>
      <c r="AI325" s="300" t="s">
        <v>1194</v>
      </c>
      <c r="AJ325" s="195">
        <f>SUMIF('TK 15661.Bản quyền phim '!F:F,'KK1. Movies'!D325,'TK 15661.Bản quyền phim '!X:X)</f>
        <v>38968500</v>
      </c>
      <c r="AK325" s="195">
        <f>SUMIF('TK 15661.Bản quyền phim '!F:F,'KK1. Movies'!AI325,'TK 15661.Bản quyền phim '!X:X)</f>
        <v>38968500</v>
      </c>
      <c r="AL325" s="295">
        <f>COUNTIF('242.BQ Phim hợp tác'!$C:$C,'KK1. Movies'!AI325)</f>
        <v>0</v>
      </c>
      <c r="AM325" s="295">
        <f>COUNTIF('TK 15661.Bản quyền phim '!F:F,'KK1. Movies'!AI325)</f>
        <v>1</v>
      </c>
      <c r="AN325" s="296">
        <f t="shared" si="4"/>
        <v>1</v>
      </c>
      <c r="AO325" s="295"/>
      <c r="AP325" s="295"/>
      <c r="AQ325" s="295"/>
      <c r="AR325" s="295"/>
      <c r="AS325" s="295"/>
    </row>
    <row r="326" spans="1:45" s="296" customFormat="1" ht="26.4" x14ac:dyDescent="0.3">
      <c r="A326" s="292">
        <f>_xlfn.AGGREGATE(3,3,$D$7:D326)</f>
        <v>320</v>
      </c>
      <c r="B326" s="143"/>
      <c r="C326" s="144" t="s">
        <v>1193</v>
      </c>
      <c r="D326" s="160" t="s">
        <v>1192</v>
      </c>
      <c r="E326" s="144" t="s">
        <v>1191</v>
      </c>
      <c r="F326" s="166" t="s">
        <v>381</v>
      </c>
      <c r="G326" s="158" t="s">
        <v>1127</v>
      </c>
      <c r="H326" s="158" t="s">
        <v>1126</v>
      </c>
      <c r="I326" s="159">
        <v>2019</v>
      </c>
      <c r="J326" s="159" t="s">
        <v>196</v>
      </c>
      <c r="K326" s="159">
        <v>100</v>
      </c>
      <c r="L326" s="188">
        <v>45883</v>
      </c>
      <c r="M326" s="188">
        <v>46387</v>
      </c>
      <c r="N326" s="157"/>
      <c r="O326" s="145"/>
      <c r="P326" s="145"/>
      <c r="Q326" s="159" t="s">
        <v>20</v>
      </c>
      <c r="R326" s="159" t="s">
        <v>18</v>
      </c>
      <c r="S326" s="166" t="s">
        <v>18</v>
      </c>
      <c r="T326" s="145" t="s">
        <v>18</v>
      </c>
      <c r="U326" s="159" t="s">
        <v>20</v>
      </c>
      <c r="V326" s="159" t="s">
        <v>20</v>
      </c>
      <c r="W326" s="159" t="s">
        <v>20</v>
      </c>
      <c r="X326" s="159" t="s">
        <v>18</v>
      </c>
      <c r="Y326" s="159" t="s">
        <v>20</v>
      </c>
      <c r="Z326" s="188">
        <v>45883</v>
      </c>
      <c r="AA326" s="188">
        <v>46247</v>
      </c>
      <c r="AB326" s="166">
        <v>8</v>
      </c>
      <c r="AC326" s="293"/>
      <c r="AD326" s="145" t="s">
        <v>18</v>
      </c>
      <c r="AE326" s="145" t="s">
        <v>18</v>
      </c>
      <c r="AF326" s="150"/>
      <c r="AG326" s="155" t="s">
        <v>17</v>
      </c>
      <c r="AH326" s="294"/>
      <c r="AI326" s="300" t="s">
        <v>1190</v>
      </c>
      <c r="AJ326" s="195">
        <f>SUMIF('TK 15661.Bản quyền phim '!F:F,'KK1. Movies'!D326,'TK 15661.Bản quyền phim '!X:X)</f>
        <v>0</v>
      </c>
      <c r="AK326" s="195">
        <f>SUMIF('TK 15661.Bản quyền phim '!F:F,'KK1. Movies'!AI326,'TK 15661.Bản quyền phim '!X:X)</f>
        <v>0</v>
      </c>
      <c r="AL326" s="295">
        <f>COUNTIF('242.BQ Phim hợp tác'!$C:$C,'KK1. Movies'!AI326)</f>
        <v>0</v>
      </c>
      <c r="AM326" s="295">
        <f>COUNTIF('TK 15661.Bản quyền phim '!F:F,'KK1. Movies'!AI326)</f>
        <v>1</v>
      </c>
      <c r="AN326" s="296">
        <f t="shared" si="4"/>
        <v>1</v>
      </c>
      <c r="AO326" s="295"/>
      <c r="AP326" s="295"/>
      <c r="AQ326" s="295"/>
      <c r="AR326" s="295"/>
      <c r="AS326" s="295"/>
    </row>
    <row r="327" spans="1:45" s="296" customFormat="1" x14ac:dyDescent="0.3">
      <c r="A327" s="292">
        <f>_xlfn.AGGREGATE(3,3,$D$7:D327)</f>
        <v>321</v>
      </c>
      <c r="B327" s="143"/>
      <c r="C327" s="341" t="s">
        <v>1189</v>
      </c>
      <c r="D327" s="160" t="s">
        <v>1187</v>
      </c>
      <c r="E327" s="166" t="s">
        <v>1188</v>
      </c>
      <c r="F327" s="166" t="s">
        <v>381</v>
      </c>
      <c r="G327" s="158" t="s">
        <v>1127</v>
      </c>
      <c r="H327" s="158" t="s">
        <v>1126</v>
      </c>
      <c r="I327" s="159">
        <v>2018</v>
      </c>
      <c r="J327" s="159" t="s">
        <v>196</v>
      </c>
      <c r="K327" s="159">
        <v>90</v>
      </c>
      <c r="L327" s="188">
        <v>45883</v>
      </c>
      <c r="M327" s="188">
        <v>46356</v>
      </c>
      <c r="N327" s="157"/>
      <c r="O327" s="145"/>
      <c r="P327" s="145"/>
      <c r="Q327" s="159" t="s">
        <v>20</v>
      </c>
      <c r="R327" s="159" t="s">
        <v>18</v>
      </c>
      <c r="S327" s="166" t="s">
        <v>18</v>
      </c>
      <c r="T327" s="145" t="s">
        <v>18</v>
      </c>
      <c r="U327" s="159" t="s">
        <v>20</v>
      </c>
      <c r="V327" s="159" t="s">
        <v>20</v>
      </c>
      <c r="W327" s="159" t="s">
        <v>20</v>
      </c>
      <c r="X327" s="159" t="s">
        <v>18</v>
      </c>
      <c r="Y327" s="159" t="s">
        <v>20</v>
      </c>
      <c r="Z327" s="188">
        <v>45883</v>
      </c>
      <c r="AA327" s="188">
        <v>46247</v>
      </c>
      <c r="AB327" s="166">
        <v>8</v>
      </c>
      <c r="AC327" s="293"/>
      <c r="AD327" s="145" t="s">
        <v>18</v>
      </c>
      <c r="AE327" s="145" t="s">
        <v>18</v>
      </c>
      <c r="AF327" s="150"/>
      <c r="AG327" s="155" t="s">
        <v>17</v>
      </c>
      <c r="AH327" s="294"/>
      <c r="AI327" s="299" t="s">
        <v>1187</v>
      </c>
      <c r="AJ327" s="195">
        <f>SUMIF('TK 15661.Bản quyền phim '!F:F,'KK1. Movies'!D327,'TK 15661.Bản quyền phim '!X:X)</f>
        <v>0</v>
      </c>
      <c r="AK327" s="195">
        <f>SUMIF('TK 15661.Bản quyền phim '!F:F,'KK1. Movies'!AI327,'TK 15661.Bản quyền phim '!X:X)</f>
        <v>0</v>
      </c>
      <c r="AL327" s="295">
        <f>COUNTIF('242.BQ Phim hợp tác'!$C:$C,'KK1. Movies'!AI327)</f>
        <v>0</v>
      </c>
      <c r="AM327" s="295">
        <f>COUNTIF('TK 15661.Bản quyền phim '!F:F,'KK1. Movies'!AI327)</f>
        <v>1</v>
      </c>
      <c r="AN327" s="296">
        <f t="shared" ref="AN327:AN343" si="5">AL327+AM327</f>
        <v>1</v>
      </c>
      <c r="AO327" s="295"/>
      <c r="AP327" s="295"/>
      <c r="AQ327" s="295"/>
      <c r="AR327" s="295"/>
      <c r="AS327" s="295"/>
    </row>
    <row r="328" spans="1:45" s="296" customFormat="1" ht="39.6" x14ac:dyDescent="0.3">
      <c r="A328" s="292">
        <f>_xlfn.AGGREGATE(3,3,$D$7:D328)</f>
        <v>322</v>
      </c>
      <c r="B328" s="143"/>
      <c r="C328" s="341" t="s">
        <v>1186</v>
      </c>
      <c r="D328" s="160" t="s">
        <v>1184</v>
      </c>
      <c r="E328" s="166" t="s">
        <v>1185</v>
      </c>
      <c r="F328" s="160" t="s">
        <v>1181</v>
      </c>
      <c r="G328" s="158" t="s">
        <v>1127</v>
      </c>
      <c r="H328" s="158" t="s">
        <v>1126</v>
      </c>
      <c r="I328" s="159">
        <v>2014</v>
      </c>
      <c r="J328" s="159" t="s">
        <v>196</v>
      </c>
      <c r="K328" s="159">
        <v>101</v>
      </c>
      <c r="L328" s="188">
        <v>45883</v>
      </c>
      <c r="M328" s="188">
        <v>46295</v>
      </c>
      <c r="N328" s="157"/>
      <c r="O328" s="145"/>
      <c r="P328" s="145"/>
      <c r="Q328" s="159" t="s">
        <v>20</v>
      </c>
      <c r="R328" s="159" t="s">
        <v>18</v>
      </c>
      <c r="S328" s="166" t="s">
        <v>18</v>
      </c>
      <c r="T328" s="145" t="s">
        <v>18</v>
      </c>
      <c r="U328" s="159" t="s">
        <v>20</v>
      </c>
      <c r="V328" s="159" t="s">
        <v>20</v>
      </c>
      <c r="W328" s="159" t="s">
        <v>20</v>
      </c>
      <c r="X328" s="159" t="s">
        <v>18</v>
      </c>
      <c r="Y328" s="159" t="s">
        <v>20</v>
      </c>
      <c r="Z328" s="188">
        <v>45883</v>
      </c>
      <c r="AA328" s="188">
        <v>46247</v>
      </c>
      <c r="AB328" s="166">
        <v>7</v>
      </c>
      <c r="AC328" s="293"/>
      <c r="AD328" s="145" t="s">
        <v>18</v>
      </c>
      <c r="AE328" s="145" t="s">
        <v>18</v>
      </c>
      <c r="AF328" s="150"/>
      <c r="AG328" s="155" t="s">
        <v>17</v>
      </c>
      <c r="AH328" s="294"/>
      <c r="AI328" s="299" t="s">
        <v>1184</v>
      </c>
      <c r="AJ328" s="195">
        <f>SUMIF('TK 15661.Bản quyền phim '!F:F,'KK1. Movies'!D328,'TK 15661.Bản quyền phim '!X:X)</f>
        <v>0</v>
      </c>
      <c r="AK328" s="195">
        <f>SUMIF('TK 15661.Bản quyền phim '!F:F,'KK1. Movies'!AI328,'TK 15661.Bản quyền phim '!X:X)</f>
        <v>0</v>
      </c>
      <c r="AL328" s="295">
        <f>COUNTIF('242.BQ Phim hợp tác'!$C:$C,'KK1. Movies'!AI328)</f>
        <v>0</v>
      </c>
      <c r="AM328" s="295">
        <f>COUNTIF('TK 15661.Bản quyền phim '!F:F,'KK1. Movies'!AI328)</f>
        <v>1</v>
      </c>
      <c r="AN328" s="296">
        <f t="shared" si="5"/>
        <v>1</v>
      </c>
      <c r="AO328" s="295"/>
      <c r="AP328" s="295"/>
      <c r="AQ328" s="295"/>
      <c r="AR328" s="295"/>
      <c r="AS328" s="295"/>
    </row>
    <row r="329" spans="1:45" s="296" customFormat="1" ht="52.8" x14ac:dyDescent="0.3">
      <c r="A329" s="292">
        <f>_xlfn.AGGREGATE(3,3,$D$7:D329)</f>
        <v>323</v>
      </c>
      <c r="B329" s="143"/>
      <c r="C329" s="144" t="s">
        <v>1183</v>
      </c>
      <c r="D329" s="160" t="s">
        <v>1180</v>
      </c>
      <c r="E329" s="166" t="s">
        <v>1182</v>
      </c>
      <c r="F329" s="160" t="s">
        <v>1181</v>
      </c>
      <c r="G329" s="158" t="s">
        <v>1127</v>
      </c>
      <c r="H329" s="158" t="s">
        <v>1126</v>
      </c>
      <c r="I329" s="159">
        <v>2016</v>
      </c>
      <c r="J329" s="159" t="s">
        <v>196</v>
      </c>
      <c r="K329" s="159">
        <v>110</v>
      </c>
      <c r="L329" s="188">
        <v>45883</v>
      </c>
      <c r="M329" s="188">
        <v>46295</v>
      </c>
      <c r="N329" s="157"/>
      <c r="O329" s="145"/>
      <c r="P329" s="145"/>
      <c r="Q329" s="159" t="s">
        <v>20</v>
      </c>
      <c r="R329" s="159" t="s">
        <v>18</v>
      </c>
      <c r="S329" s="166" t="s">
        <v>18</v>
      </c>
      <c r="T329" s="145" t="s">
        <v>18</v>
      </c>
      <c r="U329" s="159" t="s">
        <v>20</v>
      </c>
      <c r="V329" s="159" t="s">
        <v>20</v>
      </c>
      <c r="W329" s="159" t="s">
        <v>20</v>
      </c>
      <c r="X329" s="159" t="s">
        <v>18</v>
      </c>
      <c r="Y329" s="159" t="s">
        <v>20</v>
      </c>
      <c r="Z329" s="188">
        <v>45883</v>
      </c>
      <c r="AA329" s="188">
        <v>46247</v>
      </c>
      <c r="AB329" s="166">
        <v>7</v>
      </c>
      <c r="AC329" s="293"/>
      <c r="AD329" s="145" t="s">
        <v>18</v>
      </c>
      <c r="AE329" s="145" t="s">
        <v>18</v>
      </c>
      <c r="AF329" s="150"/>
      <c r="AG329" s="155" t="s">
        <v>17</v>
      </c>
      <c r="AH329" s="294"/>
      <c r="AI329" s="299" t="s">
        <v>1180</v>
      </c>
      <c r="AJ329" s="195">
        <f>SUMIF('TK 15661.Bản quyền phim '!F:F,'KK1. Movies'!D329,'TK 15661.Bản quyền phim '!X:X)</f>
        <v>0</v>
      </c>
      <c r="AK329" s="195">
        <f>SUMIF('TK 15661.Bản quyền phim '!F:F,'KK1. Movies'!AI329,'TK 15661.Bản quyền phim '!X:X)</f>
        <v>0</v>
      </c>
      <c r="AL329" s="295">
        <f>COUNTIF('242.BQ Phim hợp tác'!$C:$C,'KK1. Movies'!AI329)</f>
        <v>0</v>
      </c>
      <c r="AM329" s="295">
        <f>COUNTIF('TK 15661.Bản quyền phim '!F:F,'KK1. Movies'!AI329)</f>
        <v>1</v>
      </c>
      <c r="AN329" s="296">
        <f t="shared" si="5"/>
        <v>1</v>
      </c>
      <c r="AO329" s="295"/>
      <c r="AP329" s="295"/>
      <c r="AQ329" s="295"/>
      <c r="AR329" s="295"/>
      <c r="AS329" s="295"/>
    </row>
    <row r="330" spans="1:45" s="296" customFormat="1" x14ac:dyDescent="0.3">
      <c r="A330" s="292">
        <f>_xlfn.AGGREGATE(3,3,$D$7:D330)</f>
        <v>324</v>
      </c>
      <c r="B330" s="143"/>
      <c r="C330" s="341" t="s">
        <v>1179</v>
      </c>
      <c r="D330" s="160" t="s">
        <v>1177</v>
      </c>
      <c r="E330" s="166" t="s">
        <v>1178</v>
      </c>
      <c r="F330" s="160" t="s">
        <v>1131</v>
      </c>
      <c r="G330" s="158" t="s">
        <v>1127</v>
      </c>
      <c r="H330" s="158" t="s">
        <v>1126</v>
      </c>
      <c r="I330" s="159">
        <v>2011</v>
      </c>
      <c r="J330" s="159" t="s">
        <v>196</v>
      </c>
      <c r="K330" s="159">
        <v>112</v>
      </c>
      <c r="L330" s="188">
        <v>46008</v>
      </c>
      <c r="M330" s="188">
        <v>46295</v>
      </c>
      <c r="N330" s="157"/>
      <c r="O330" s="145"/>
      <c r="P330" s="145"/>
      <c r="Q330" s="159" t="s">
        <v>20</v>
      </c>
      <c r="R330" s="159" t="s">
        <v>18</v>
      </c>
      <c r="S330" s="166" t="s">
        <v>18</v>
      </c>
      <c r="T330" s="145" t="s">
        <v>18</v>
      </c>
      <c r="U330" s="159" t="s">
        <v>20</v>
      </c>
      <c r="V330" s="159" t="s">
        <v>20</v>
      </c>
      <c r="W330" s="159" t="s">
        <v>20</v>
      </c>
      <c r="X330" s="159" t="s">
        <v>18</v>
      </c>
      <c r="Y330" s="159" t="s">
        <v>20</v>
      </c>
      <c r="Z330" s="188">
        <v>46008</v>
      </c>
      <c r="AA330" s="188">
        <v>46295</v>
      </c>
      <c r="AB330" s="166">
        <v>5</v>
      </c>
      <c r="AC330" s="293"/>
      <c r="AD330" s="145" t="s">
        <v>18</v>
      </c>
      <c r="AE330" s="145" t="s">
        <v>18</v>
      </c>
      <c r="AF330" s="150"/>
      <c r="AG330" s="155" t="s">
        <v>17</v>
      </c>
      <c r="AH330" s="294"/>
      <c r="AI330" s="299" t="s">
        <v>1177</v>
      </c>
      <c r="AJ330" s="195">
        <f>SUMIF('TK 15661.Bản quyền phim '!F:F,'KK1. Movies'!D330,'TK 15661.Bản quyền phim '!X:X)</f>
        <v>0</v>
      </c>
      <c r="AK330" s="195">
        <f>SUMIF('TK 15661.Bản quyền phim '!F:F,'KK1. Movies'!AI330,'TK 15661.Bản quyền phim '!X:X)</f>
        <v>0</v>
      </c>
      <c r="AL330" s="295">
        <f>COUNTIF('242.BQ Phim hợp tác'!$C:$C,'KK1. Movies'!AI330)</f>
        <v>0</v>
      </c>
      <c r="AM330" s="295">
        <f>COUNTIF('TK 15661.Bản quyền phim '!F:F,'KK1. Movies'!AI330)</f>
        <v>1</v>
      </c>
      <c r="AN330" s="296">
        <f t="shared" si="5"/>
        <v>1</v>
      </c>
      <c r="AO330" s="295"/>
      <c r="AP330" s="295"/>
      <c r="AQ330" s="295"/>
      <c r="AR330" s="295"/>
      <c r="AS330" s="295"/>
    </row>
    <row r="331" spans="1:45" s="296" customFormat="1" x14ac:dyDescent="0.3">
      <c r="A331" s="292">
        <f>_xlfn.AGGREGATE(3,3,$D$7:D331)</f>
        <v>325</v>
      </c>
      <c r="B331" s="143"/>
      <c r="C331" s="144" t="s">
        <v>1176</v>
      </c>
      <c r="D331" s="160" t="s">
        <v>1173</v>
      </c>
      <c r="E331" s="166" t="s">
        <v>1175</v>
      </c>
      <c r="F331" s="166" t="s">
        <v>1174</v>
      </c>
      <c r="G331" s="158" t="s">
        <v>1127</v>
      </c>
      <c r="H331" s="158" t="s">
        <v>1126</v>
      </c>
      <c r="I331" s="159">
        <v>2018</v>
      </c>
      <c r="J331" s="159" t="s">
        <v>196</v>
      </c>
      <c r="K331" s="159">
        <v>115</v>
      </c>
      <c r="L331" s="188">
        <v>45974</v>
      </c>
      <c r="M331" s="188">
        <v>46519</v>
      </c>
      <c r="N331" s="157"/>
      <c r="O331" s="145"/>
      <c r="P331" s="145"/>
      <c r="Q331" s="159" t="s">
        <v>20</v>
      </c>
      <c r="R331" s="159" t="s">
        <v>18</v>
      </c>
      <c r="S331" s="166" t="s">
        <v>18</v>
      </c>
      <c r="T331" s="145" t="s">
        <v>18</v>
      </c>
      <c r="U331" s="159" t="s">
        <v>20</v>
      </c>
      <c r="V331" s="159" t="s">
        <v>20</v>
      </c>
      <c r="W331" s="159" t="s">
        <v>20</v>
      </c>
      <c r="X331" s="159" t="s">
        <v>18</v>
      </c>
      <c r="Y331" s="159" t="s">
        <v>20</v>
      </c>
      <c r="Z331" s="188">
        <v>45974</v>
      </c>
      <c r="AA331" s="188">
        <v>46338</v>
      </c>
      <c r="AB331" s="166">
        <v>10</v>
      </c>
      <c r="AC331" s="293"/>
      <c r="AD331" s="145" t="s">
        <v>18</v>
      </c>
      <c r="AE331" s="145" t="s">
        <v>18</v>
      </c>
      <c r="AF331" s="150"/>
      <c r="AG331" s="155" t="s">
        <v>17</v>
      </c>
      <c r="AH331" s="294"/>
      <c r="AI331" s="300" t="s">
        <v>1173</v>
      </c>
      <c r="AJ331" s="195">
        <f>SUMIF('TK 15661.Bản quyền phim '!F:F,'KK1. Movies'!D331,'TK 15661.Bản quyền phim '!X:X)</f>
        <v>38968500</v>
      </c>
      <c r="AK331" s="195">
        <f>SUMIF('TK 15661.Bản quyền phim '!F:F,'KK1. Movies'!AI331,'TK 15661.Bản quyền phim '!X:X)</f>
        <v>38968500</v>
      </c>
      <c r="AL331" s="295">
        <f>COUNTIF('242.BQ Phim hợp tác'!$C:$C,'KK1. Movies'!AI331)</f>
        <v>0</v>
      </c>
      <c r="AM331" s="295">
        <f>COUNTIF('TK 15661.Bản quyền phim '!F:F,'KK1. Movies'!AI331)</f>
        <v>1</v>
      </c>
      <c r="AN331" s="296">
        <f t="shared" si="5"/>
        <v>1</v>
      </c>
      <c r="AO331" s="295"/>
      <c r="AP331" s="295"/>
      <c r="AQ331" s="295"/>
      <c r="AR331" s="295"/>
      <c r="AS331" s="295"/>
    </row>
    <row r="332" spans="1:45" s="296" customFormat="1" x14ac:dyDescent="0.3">
      <c r="A332" s="292">
        <f>_xlfn.AGGREGATE(3,3,$D$7:D332)</f>
        <v>326</v>
      </c>
      <c r="B332" s="143"/>
      <c r="C332" s="144" t="s">
        <v>1172</v>
      </c>
      <c r="D332" s="160" t="s">
        <v>1169</v>
      </c>
      <c r="E332" s="144" t="s">
        <v>1171</v>
      </c>
      <c r="F332" s="166" t="s">
        <v>385</v>
      </c>
      <c r="G332" s="158" t="s">
        <v>1127</v>
      </c>
      <c r="H332" s="158" t="s">
        <v>1170</v>
      </c>
      <c r="I332" s="159">
        <v>2022</v>
      </c>
      <c r="J332" s="159" t="s">
        <v>196</v>
      </c>
      <c r="K332" s="159">
        <v>100</v>
      </c>
      <c r="L332" s="188">
        <v>45974</v>
      </c>
      <c r="M332" s="188">
        <v>46519</v>
      </c>
      <c r="N332" s="157"/>
      <c r="O332" s="145"/>
      <c r="P332" s="145"/>
      <c r="Q332" s="159" t="s">
        <v>20</v>
      </c>
      <c r="R332" s="159" t="s">
        <v>18</v>
      </c>
      <c r="S332" s="166" t="s">
        <v>18</v>
      </c>
      <c r="T332" s="145" t="s">
        <v>18</v>
      </c>
      <c r="U332" s="159" t="s">
        <v>20</v>
      </c>
      <c r="V332" s="159" t="s">
        <v>20</v>
      </c>
      <c r="W332" s="159" t="s">
        <v>20</v>
      </c>
      <c r="X332" s="159" t="s">
        <v>18</v>
      </c>
      <c r="Y332" s="159" t="s">
        <v>20</v>
      </c>
      <c r="Z332" s="188">
        <v>45974</v>
      </c>
      <c r="AA332" s="188">
        <v>46338</v>
      </c>
      <c r="AB332" s="166">
        <v>10</v>
      </c>
      <c r="AC332" s="293"/>
      <c r="AD332" s="145" t="s">
        <v>18</v>
      </c>
      <c r="AE332" s="145" t="s">
        <v>18</v>
      </c>
      <c r="AF332" s="150"/>
      <c r="AG332" s="155" t="s">
        <v>17</v>
      </c>
      <c r="AH332" s="294"/>
      <c r="AI332" s="300" t="s">
        <v>1169</v>
      </c>
      <c r="AJ332" s="195">
        <f>SUMIF('TK 15661.Bản quyền phim '!F:F,'KK1. Movies'!D332,'TK 15661.Bản quyền phim '!X:X)</f>
        <v>45463250</v>
      </c>
      <c r="AK332" s="195">
        <f>SUMIF('TK 15661.Bản quyền phim '!F:F,'KK1. Movies'!AI332,'TK 15661.Bản quyền phim '!X:X)</f>
        <v>45463250</v>
      </c>
      <c r="AL332" s="295">
        <f>COUNTIF('242.BQ Phim hợp tác'!$C:$C,'KK1. Movies'!AI332)</f>
        <v>0</v>
      </c>
      <c r="AM332" s="295">
        <f>COUNTIF('TK 15661.Bản quyền phim '!F:F,'KK1. Movies'!AI332)</f>
        <v>1</v>
      </c>
      <c r="AN332" s="296">
        <f t="shared" si="5"/>
        <v>1</v>
      </c>
      <c r="AO332" s="295"/>
      <c r="AP332" s="295"/>
      <c r="AQ332" s="295"/>
      <c r="AR332" s="295"/>
      <c r="AS332" s="295"/>
    </row>
    <row r="333" spans="1:45" s="296" customFormat="1" x14ac:dyDescent="0.3">
      <c r="A333" s="292">
        <f>_xlfn.AGGREGATE(3,3,$D$7:D333)</f>
        <v>327</v>
      </c>
      <c r="B333" s="143"/>
      <c r="C333" s="144" t="s">
        <v>1168</v>
      </c>
      <c r="D333" s="160" t="s">
        <v>1166</v>
      </c>
      <c r="E333" s="166" t="s">
        <v>1167</v>
      </c>
      <c r="F333" s="166" t="s">
        <v>1160</v>
      </c>
      <c r="G333" s="158" t="s">
        <v>1127</v>
      </c>
      <c r="H333" s="158" t="s">
        <v>1126</v>
      </c>
      <c r="I333" s="159">
        <v>2010</v>
      </c>
      <c r="J333" s="159" t="s">
        <v>196</v>
      </c>
      <c r="K333" s="159">
        <v>96</v>
      </c>
      <c r="L333" s="188">
        <v>45974</v>
      </c>
      <c r="M333" s="188">
        <v>46519</v>
      </c>
      <c r="N333" s="157"/>
      <c r="O333" s="145"/>
      <c r="P333" s="145"/>
      <c r="Q333" s="159" t="s">
        <v>20</v>
      </c>
      <c r="R333" s="159" t="s">
        <v>18</v>
      </c>
      <c r="S333" s="166" t="s">
        <v>18</v>
      </c>
      <c r="T333" s="145" t="s">
        <v>18</v>
      </c>
      <c r="U333" s="159" t="s">
        <v>20</v>
      </c>
      <c r="V333" s="159" t="s">
        <v>20</v>
      </c>
      <c r="W333" s="159" t="s">
        <v>20</v>
      </c>
      <c r="X333" s="159" t="s">
        <v>18</v>
      </c>
      <c r="Y333" s="159" t="s">
        <v>20</v>
      </c>
      <c r="Z333" s="188">
        <v>45974</v>
      </c>
      <c r="AA333" s="188">
        <v>46338</v>
      </c>
      <c r="AB333" s="166">
        <v>10</v>
      </c>
      <c r="AC333" s="293"/>
      <c r="AD333" s="145" t="s">
        <v>18</v>
      </c>
      <c r="AE333" s="145" t="s">
        <v>18</v>
      </c>
      <c r="AF333" s="150"/>
      <c r="AG333" s="155" t="s">
        <v>17</v>
      </c>
      <c r="AH333" s="294"/>
      <c r="AI333" s="300" t="s">
        <v>1166</v>
      </c>
      <c r="AJ333" s="195">
        <f>SUMIF('TK 15661.Bản quyền phim '!F:F,'KK1. Movies'!D333,'TK 15661.Bản quyền phim '!X:X)</f>
        <v>45463250</v>
      </c>
      <c r="AK333" s="195">
        <f>SUMIF('TK 15661.Bản quyền phim '!F:F,'KK1. Movies'!AI333,'TK 15661.Bản quyền phim '!X:X)</f>
        <v>45463250</v>
      </c>
      <c r="AL333" s="295">
        <f>COUNTIF('242.BQ Phim hợp tác'!$C:$C,'KK1. Movies'!AI333)</f>
        <v>0</v>
      </c>
      <c r="AM333" s="295">
        <f>COUNTIF('TK 15661.Bản quyền phim '!F:F,'KK1. Movies'!AI333)</f>
        <v>1</v>
      </c>
      <c r="AN333" s="296">
        <f t="shared" si="5"/>
        <v>1</v>
      </c>
      <c r="AO333" s="295"/>
      <c r="AP333" s="295"/>
      <c r="AQ333" s="295"/>
      <c r="AR333" s="295"/>
      <c r="AS333" s="295"/>
    </row>
    <row r="334" spans="1:45" s="296" customFormat="1" x14ac:dyDescent="0.3">
      <c r="A334" s="292">
        <f>_xlfn.AGGREGATE(3,3,$D$7:D334)</f>
        <v>328</v>
      </c>
      <c r="B334" s="143"/>
      <c r="C334" s="341" t="s">
        <v>1165</v>
      </c>
      <c r="D334" s="160" t="s">
        <v>1163</v>
      </c>
      <c r="E334" s="166" t="s">
        <v>1164</v>
      </c>
      <c r="F334" s="166" t="s">
        <v>1131</v>
      </c>
      <c r="G334" s="158" t="s">
        <v>1127</v>
      </c>
      <c r="H334" s="158" t="s">
        <v>1126</v>
      </c>
      <c r="I334" s="159">
        <v>2022</v>
      </c>
      <c r="J334" s="159" t="s">
        <v>196</v>
      </c>
      <c r="K334" s="159">
        <v>89</v>
      </c>
      <c r="L334" s="188">
        <v>45974</v>
      </c>
      <c r="M334" s="188">
        <v>46519</v>
      </c>
      <c r="N334" s="157"/>
      <c r="O334" s="145"/>
      <c r="P334" s="145"/>
      <c r="Q334" s="159" t="s">
        <v>20</v>
      </c>
      <c r="R334" s="159" t="s">
        <v>18</v>
      </c>
      <c r="S334" s="166" t="s">
        <v>18</v>
      </c>
      <c r="T334" s="145" t="s">
        <v>18</v>
      </c>
      <c r="U334" s="159" t="s">
        <v>20</v>
      </c>
      <c r="V334" s="159" t="s">
        <v>20</v>
      </c>
      <c r="W334" s="159" t="s">
        <v>20</v>
      </c>
      <c r="X334" s="159" t="s">
        <v>18</v>
      </c>
      <c r="Y334" s="159" t="s">
        <v>20</v>
      </c>
      <c r="Z334" s="188">
        <v>45974</v>
      </c>
      <c r="AA334" s="188">
        <v>46338</v>
      </c>
      <c r="AB334" s="166">
        <v>10</v>
      </c>
      <c r="AC334" s="293"/>
      <c r="AD334" s="145" t="s">
        <v>18</v>
      </c>
      <c r="AE334" s="145" t="s">
        <v>18</v>
      </c>
      <c r="AF334" s="150"/>
      <c r="AG334" s="155" t="s">
        <v>17</v>
      </c>
      <c r="AH334" s="294"/>
      <c r="AI334" s="300" t="s">
        <v>1163</v>
      </c>
      <c r="AJ334" s="195">
        <f>SUMIF('TK 15661.Bản quyền phim '!F:F,'KK1. Movies'!D334,'TK 15661.Bản quyền phim '!X:X)</f>
        <v>58452750</v>
      </c>
      <c r="AK334" s="195">
        <f>SUMIF('TK 15661.Bản quyền phim '!F:F,'KK1. Movies'!AI334,'TK 15661.Bản quyền phim '!X:X)</f>
        <v>58452750</v>
      </c>
      <c r="AL334" s="295">
        <f>COUNTIF('242.BQ Phim hợp tác'!$C:$C,'KK1. Movies'!AI334)</f>
        <v>0</v>
      </c>
      <c r="AM334" s="295">
        <f>COUNTIF('TK 15661.Bản quyền phim '!F:F,'KK1. Movies'!AI334)</f>
        <v>1</v>
      </c>
      <c r="AN334" s="296">
        <f t="shared" si="5"/>
        <v>1</v>
      </c>
      <c r="AO334" s="295"/>
      <c r="AP334" s="295"/>
      <c r="AQ334" s="295"/>
      <c r="AR334" s="295"/>
      <c r="AS334" s="295"/>
    </row>
    <row r="335" spans="1:45" s="296" customFormat="1" ht="26.4" x14ac:dyDescent="0.3">
      <c r="A335" s="292">
        <f>_xlfn.AGGREGATE(3,3,$D$7:D335)</f>
        <v>329</v>
      </c>
      <c r="B335" s="143"/>
      <c r="C335" s="144" t="s">
        <v>1162</v>
      </c>
      <c r="D335" s="160" t="s">
        <v>1159</v>
      </c>
      <c r="E335" s="166" t="s">
        <v>1161</v>
      </c>
      <c r="F335" s="166" t="s">
        <v>1160</v>
      </c>
      <c r="G335" s="158" t="s">
        <v>1127</v>
      </c>
      <c r="H335" s="158" t="s">
        <v>1126</v>
      </c>
      <c r="I335" s="159">
        <v>2004</v>
      </c>
      <c r="J335" s="159" t="s">
        <v>196</v>
      </c>
      <c r="K335" s="159">
        <v>99</v>
      </c>
      <c r="L335" s="188">
        <v>45974</v>
      </c>
      <c r="M335" s="188">
        <v>46519</v>
      </c>
      <c r="N335" s="157"/>
      <c r="O335" s="145"/>
      <c r="P335" s="145"/>
      <c r="Q335" s="159" t="s">
        <v>20</v>
      </c>
      <c r="R335" s="159" t="s">
        <v>18</v>
      </c>
      <c r="S335" s="166" t="s">
        <v>18</v>
      </c>
      <c r="T335" s="145" t="s">
        <v>18</v>
      </c>
      <c r="U335" s="159" t="s">
        <v>20</v>
      </c>
      <c r="V335" s="159" t="s">
        <v>20</v>
      </c>
      <c r="W335" s="159" t="s">
        <v>20</v>
      </c>
      <c r="X335" s="159" t="s">
        <v>18</v>
      </c>
      <c r="Y335" s="159" t="s">
        <v>20</v>
      </c>
      <c r="Z335" s="188">
        <v>45974</v>
      </c>
      <c r="AA335" s="188">
        <v>46338</v>
      </c>
      <c r="AB335" s="166">
        <v>10</v>
      </c>
      <c r="AC335" s="293"/>
      <c r="AD335" s="145" t="s">
        <v>18</v>
      </c>
      <c r="AE335" s="145" t="s">
        <v>18</v>
      </c>
      <c r="AF335" s="150"/>
      <c r="AG335" s="155" t="s">
        <v>17</v>
      </c>
      <c r="AH335" s="294"/>
      <c r="AI335" s="300" t="s">
        <v>1159</v>
      </c>
      <c r="AJ335" s="195">
        <f>SUMIF('TK 15661.Bản quyền phim '!F:F,'KK1. Movies'!D335,'TK 15661.Bản quyền phim '!X:X)</f>
        <v>45463250</v>
      </c>
      <c r="AK335" s="195">
        <f>SUMIF('TK 15661.Bản quyền phim '!F:F,'KK1. Movies'!AI335,'TK 15661.Bản quyền phim '!X:X)</f>
        <v>45463250</v>
      </c>
      <c r="AL335" s="295">
        <f>COUNTIF('242.BQ Phim hợp tác'!$C:$C,'KK1. Movies'!AI335)</f>
        <v>0</v>
      </c>
      <c r="AM335" s="295">
        <f>COUNTIF('TK 15661.Bản quyền phim '!F:F,'KK1. Movies'!AI335)</f>
        <v>1</v>
      </c>
      <c r="AN335" s="296">
        <f t="shared" si="5"/>
        <v>1</v>
      </c>
      <c r="AO335" s="295"/>
      <c r="AP335" s="295"/>
      <c r="AQ335" s="295"/>
      <c r="AR335" s="295"/>
      <c r="AS335" s="295"/>
    </row>
    <row r="336" spans="1:45" s="296" customFormat="1" ht="39.6" x14ac:dyDescent="0.3">
      <c r="A336" s="292">
        <f>_xlfn.AGGREGATE(3,3,$D$7:D336)</f>
        <v>330</v>
      </c>
      <c r="B336" s="143"/>
      <c r="C336" s="144" t="s">
        <v>1158</v>
      </c>
      <c r="D336" s="160" t="s">
        <v>1156</v>
      </c>
      <c r="E336" s="166" t="s">
        <v>1157</v>
      </c>
      <c r="F336" s="166" t="s">
        <v>1131</v>
      </c>
      <c r="G336" s="158" t="s">
        <v>1127</v>
      </c>
      <c r="H336" s="158" t="s">
        <v>1126</v>
      </c>
      <c r="I336" s="159">
        <v>2018</v>
      </c>
      <c r="J336" s="159" t="s">
        <v>196</v>
      </c>
      <c r="K336" s="159">
        <v>110</v>
      </c>
      <c r="L336" s="188">
        <v>45974</v>
      </c>
      <c r="M336" s="188">
        <v>46519</v>
      </c>
      <c r="N336" s="157"/>
      <c r="O336" s="145"/>
      <c r="P336" s="145"/>
      <c r="Q336" s="159" t="s">
        <v>20</v>
      </c>
      <c r="R336" s="159" t="s">
        <v>18</v>
      </c>
      <c r="S336" s="166" t="s">
        <v>18</v>
      </c>
      <c r="T336" s="145" t="s">
        <v>18</v>
      </c>
      <c r="U336" s="159" t="s">
        <v>20</v>
      </c>
      <c r="V336" s="159" t="s">
        <v>20</v>
      </c>
      <c r="W336" s="159" t="s">
        <v>20</v>
      </c>
      <c r="X336" s="159" t="s">
        <v>18</v>
      </c>
      <c r="Y336" s="159" t="s">
        <v>20</v>
      </c>
      <c r="Z336" s="188">
        <v>45974</v>
      </c>
      <c r="AA336" s="188">
        <v>46338</v>
      </c>
      <c r="AB336" s="166">
        <v>10</v>
      </c>
      <c r="AC336" s="293"/>
      <c r="AD336" s="145" t="s">
        <v>18</v>
      </c>
      <c r="AE336" s="145" t="s">
        <v>18</v>
      </c>
      <c r="AF336" s="150"/>
      <c r="AG336" s="155" t="s">
        <v>17</v>
      </c>
      <c r="AH336" s="294"/>
      <c r="AI336" s="300" t="s">
        <v>1156</v>
      </c>
      <c r="AJ336" s="195">
        <f>SUMIF('TK 15661.Bản quyền phim '!F:F,'KK1. Movies'!D336,'TK 15661.Bản quyền phim '!X:X)</f>
        <v>45463250</v>
      </c>
      <c r="AK336" s="195">
        <f>SUMIF('TK 15661.Bản quyền phim '!F:F,'KK1. Movies'!AI336,'TK 15661.Bản quyền phim '!X:X)</f>
        <v>45463250</v>
      </c>
      <c r="AL336" s="295">
        <f>COUNTIF('242.BQ Phim hợp tác'!$C:$C,'KK1. Movies'!AI336)</f>
        <v>0</v>
      </c>
      <c r="AM336" s="295">
        <f>COUNTIF('TK 15661.Bản quyền phim '!F:F,'KK1. Movies'!AI336)</f>
        <v>1</v>
      </c>
      <c r="AN336" s="296">
        <f t="shared" si="5"/>
        <v>1</v>
      </c>
      <c r="AO336" s="295"/>
      <c r="AP336" s="295"/>
      <c r="AQ336" s="295"/>
      <c r="AR336" s="295"/>
      <c r="AS336" s="295"/>
    </row>
    <row r="337" spans="1:45" s="296" customFormat="1" x14ac:dyDescent="0.3">
      <c r="A337" s="292">
        <f>_xlfn.AGGREGATE(3,3,$D$7:D337)</f>
        <v>331</v>
      </c>
      <c r="B337" s="143"/>
      <c r="C337" s="341" t="s">
        <v>1155</v>
      </c>
      <c r="D337" s="160" t="s">
        <v>1152</v>
      </c>
      <c r="E337" s="166" t="s">
        <v>1154</v>
      </c>
      <c r="F337" s="166" t="s">
        <v>1153</v>
      </c>
      <c r="G337" s="158" t="s">
        <v>1127</v>
      </c>
      <c r="H337" s="158" t="s">
        <v>1126</v>
      </c>
      <c r="I337" s="159">
        <v>2015</v>
      </c>
      <c r="J337" s="159" t="s">
        <v>196</v>
      </c>
      <c r="K337" s="159">
        <v>115</v>
      </c>
      <c r="L337" s="188">
        <v>45974</v>
      </c>
      <c r="M337" s="188">
        <v>46519</v>
      </c>
      <c r="N337" s="157"/>
      <c r="O337" s="145"/>
      <c r="P337" s="145"/>
      <c r="Q337" s="159" t="s">
        <v>20</v>
      </c>
      <c r="R337" s="159" t="s">
        <v>18</v>
      </c>
      <c r="S337" s="166" t="s">
        <v>18</v>
      </c>
      <c r="T337" s="145" t="s">
        <v>18</v>
      </c>
      <c r="U337" s="159" t="s">
        <v>20</v>
      </c>
      <c r="V337" s="159" t="s">
        <v>20</v>
      </c>
      <c r="W337" s="159" t="s">
        <v>20</v>
      </c>
      <c r="X337" s="159" t="s">
        <v>18</v>
      </c>
      <c r="Y337" s="159" t="s">
        <v>20</v>
      </c>
      <c r="Z337" s="188">
        <v>45974</v>
      </c>
      <c r="AA337" s="188">
        <v>46338</v>
      </c>
      <c r="AB337" s="166">
        <v>10</v>
      </c>
      <c r="AC337" s="293"/>
      <c r="AD337" s="145" t="s">
        <v>18</v>
      </c>
      <c r="AE337" s="145" t="s">
        <v>18</v>
      </c>
      <c r="AF337" s="150"/>
      <c r="AG337" s="155" t="s">
        <v>17</v>
      </c>
      <c r="AH337" s="294"/>
      <c r="AI337" s="300" t="s">
        <v>1152</v>
      </c>
      <c r="AJ337" s="195">
        <f>SUMIF('TK 15661.Bản quyền phim '!F:F,'KK1. Movies'!D337,'TK 15661.Bản quyền phim '!X:X)</f>
        <v>38968500</v>
      </c>
      <c r="AK337" s="195">
        <f>SUMIF('TK 15661.Bản quyền phim '!F:F,'KK1. Movies'!AI337,'TK 15661.Bản quyền phim '!X:X)</f>
        <v>38968500</v>
      </c>
      <c r="AL337" s="295">
        <f>COUNTIF('242.BQ Phim hợp tác'!$C:$C,'KK1. Movies'!AI337)</f>
        <v>0</v>
      </c>
      <c r="AM337" s="295">
        <f>COUNTIF('TK 15661.Bản quyền phim '!F:F,'KK1. Movies'!AI337)</f>
        <v>1</v>
      </c>
      <c r="AN337" s="296">
        <f t="shared" si="5"/>
        <v>1</v>
      </c>
      <c r="AO337" s="295"/>
      <c r="AP337" s="295"/>
      <c r="AQ337" s="295"/>
      <c r="AR337" s="295"/>
      <c r="AS337" s="295"/>
    </row>
    <row r="338" spans="1:45" s="296" customFormat="1" ht="26.4" x14ac:dyDescent="0.3">
      <c r="A338" s="292">
        <f>_xlfn.AGGREGATE(3,3,$D$7:D338)</f>
        <v>332</v>
      </c>
      <c r="B338" s="143"/>
      <c r="C338" s="341" t="s">
        <v>1151</v>
      </c>
      <c r="D338" s="160" t="s">
        <v>1149</v>
      </c>
      <c r="E338" s="166" t="s">
        <v>1150</v>
      </c>
      <c r="F338" s="166" t="s">
        <v>1131</v>
      </c>
      <c r="G338" s="158" t="s">
        <v>1127</v>
      </c>
      <c r="H338" s="158" t="s">
        <v>1126</v>
      </c>
      <c r="I338" s="159">
        <v>2022</v>
      </c>
      <c r="J338" s="159" t="s">
        <v>196</v>
      </c>
      <c r="K338" s="159">
        <v>118</v>
      </c>
      <c r="L338" s="188">
        <v>45974</v>
      </c>
      <c r="M338" s="188">
        <v>46519</v>
      </c>
      <c r="N338" s="157"/>
      <c r="O338" s="145"/>
      <c r="P338" s="145"/>
      <c r="Q338" s="159" t="s">
        <v>20</v>
      </c>
      <c r="R338" s="159" t="s">
        <v>18</v>
      </c>
      <c r="S338" s="166" t="s">
        <v>18</v>
      </c>
      <c r="T338" s="145" t="s">
        <v>18</v>
      </c>
      <c r="U338" s="159" t="s">
        <v>20</v>
      </c>
      <c r="V338" s="159" t="s">
        <v>20</v>
      </c>
      <c r="W338" s="159" t="s">
        <v>20</v>
      </c>
      <c r="X338" s="159" t="s">
        <v>18</v>
      </c>
      <c r="Y338" s="159" t="s">
        <v>20</v>
      </c>
      <c r="Z338" s="188">
        <v>45974</v>
      </c>
      <c r="AA338" s="188">
        <v>46338</v>
      </c>
      <c r="AB338" s="166">
        <v>10</v>
      </c>
      <c r="AC338" s="293"/>
      <c r="AD338" s="145" t="s">
        <v>18</v>
      </c>
      <c r="AE338" s="145" t="s">
        <v>18</v>
      </c>
      <c r="AF338" s="150"/>
      <c r="AG338" s="155" t="s">
        <v>17</v>
      </c>
      <c r="AH338" s="294"/>
      <c r="AI338" s="300" t="s">
        <v>1149</v>
      </c>
      <c r="AJ338" s="195">
        <f>SUMIF('TK 15661.Bản quyền phim '!F:F,'KK1. Movies'!D338,'TK 15661.Bản quyền phim '!X:X)</f>
        <v>38968500</v>
      </c>
      <c r="AK338" s="195">
        <f>SUMIF('TK 15661.Bản quyền phim '!F:F,'KK1. Movies'!AI338,'TK 15661.Bản quyền phim '!X:X)</f>
        <v>38968500</v>
      </c>
      <c r="AL338" s="295">
        <f>COUNTIF('242.BQ Phim hợp tác'!$C:$C,'KK1. Movies'!AI338)</f>
        <v>0</v>
      </c>
      <c r="AM338" s="295">
        <f>COUNTIF('TK 15661.Bản quyền phim '!F:F,'KK1. Movies'!AI338)</f>
        <v>1</v>
      </c>
      <c r="AN338" s="296">
        <f t="shared" si="5"/>
        <v>1</v>
      </c>
      <c r="AO338" s="295"/>
      <c r="AP338" s="295"/>
      <c r="AQ338" s="295"/>
      <c r="AR338" s="295"/>
      <c r="AS338" s="295"/>
    </row>
    <row r="339" spans="1:45" s="296" customFormat="1" ht="52.8" x14ac:dyDescent="0.3">
      <c r="A339" s="292">
        <f>_xlfn.AGGREGATE(3,3,$D$7:D339)</f>
        <v>333</v>
      </c>
      <c r="B339" s="156" t="s">
        <v>1145</v>
      </c>
      <c r="C339" s="144" t="s">
        <v>1148</v>
      </c>
      <c r="D339" s="160" t="s">
        <v>1146</v>
      </c>
      <c r="E339" s="166" t="s">
        <v>1147</v>
      </c>
      <c r="F339" s="144" t="s">
        <v>1013</v>
      </c>
      <c r="G339" s="158" t="s">
        <v>1141</v>
      </c>
      <c r="H339" s="144" t="s">
        <v>1140</v>
      </c>
      <c r="I339" s="159">
        <v>2016</v>
      </c>
      <c r="J339" s="159" t="s">
        <v>178</v>
      </c>
      <c r="K339" s="159">
        <v>109</v>
      </c>
      <c r="L339" s="163">
        <v>45884</v>
      </c>
      <c r="M339" s="161">
        <v>46613</v>
      </c>
      <c r="N339" s="157"/>
      <c r="O339" s="145"/>
      <c r="P339" s="145"/>
      <c r="Q339" s="159" t="s">
        <v>20</v>
      </c>
      <c r="R339" s="159" t="s">
        <v>18</v>
      </c>
      <c r="S339" s="159" t="s">
        <v>18</v>
      </c>
      <c r="T339" s="159" t="s">
        <v>18</v>
      </c>
      <c r="U339" s="159" t="s">
        <v>20</v>
      </c>
      <c r="V339" s="159" t="s">
        <v>20</v>
      </c>
      <c r="W339" s="159" t="s">
        <v>20</v>
      </c>
      <c r="X339" s="159" t="s">
        <v>18</v>
      </c>
      <c r="Y339" s="159" t="s">
        <v>20</v>
      </c>
      <c r="Z339" s="161">
        <v>45884</v>
      </c>
      <c r="AA339" s="188">
        <v>46432</v>
      </c>
      <c r="AB339" s="159">
        <v>7</v>
      </c>
      <c r="AC339" s="293"/>
      <c r="AD339" s="145" t="s">
        <v>18</v>
      </c>
      <c r="AE339" s="145" t="s">
        <v>18</v>
      </c>
      <c r="AF339" s="150"/>
      <c r="AG339" s="155" t="s">
        <v>17</v>
      </c>
      <c r="AH339" s="294"/>
      <c r="AI339" s="300" t="s">
        <v>1146</v>
      </c>
      <c r="AJ339" s="195">
        <f>SUMIF('TK 15661.Bản quyền phim '!F:F,'KK1. Movies'!D339,'TK 15661.Bản quyền phim '!X:X)</f>
        <v>46627350</v>
      </c>
      <c r="AK339" s="195">
        <f>SUMIF('TK 15661.Bản quyền phim '!F:F,'KK1. Movies'!AI339,'TK 15661.Bản quyền phim '!X:X)</f>
        <v>46627350</v>
      </c>
      <c r="AL339" s="295">
        <f>COUNTIF('242.BQ Phim hợp tác'!$C:$C,'KK1. Movies'!AI339)</f>
        <v>0</v>
      </c>
      <c r="AM339" s="295">
        <f>COUNTIF('TK 15661.Bản quyền phim '!F:F,'KK1. Movies'!AI339)</f>
        <v>1</v>
      </c>
      <c r="AN339" s="296">
        <f t="shared" si="5"/>
        <v>1</v>
      </c>
      <c r="AO339" s="295"/>
      <c r="AP339" s="295"/>
      <c r="AQ339" s="295"/>
      <c r="AR339" s="295"/>
      <c r="AS339" s="295"/>
    </row>
    <row r="340" spans="1:45" s="296" customFormat="1" ht="52.8" x14ac:dyDescent="0.3">
      <c r="A340" s="292">
        <f>_xlfn.AGGREGATE(3,3,$D$7:D340)</f>
        <v>334</v>
      </c>
      <c r="B340" s="156" t="s">
        <v>1145</v>
      </c>
      <c r="C340" s="341" t="s">
        <v>1144</v>
      </c>
      <c r="D340" s="160" t="s">
        <v>1138</v>
      </c>
      <c r="E340" s="166" t="s">
        <v>1143</v>
      </c>
      <c r="F340" s="144" t="s">
        <v>1142</v>
      </c>
      <c r="G340" s="158" t="s">
        <v>1141</v>
      </c>
      <c r="H340" s="144" t="s">
        <v>1140</v>
      </c>
      <c r="I340" s="159">
        <v>2016</v>
      </c>
      <c r="J340" s="159" t="s">
        <v>1139</v>
      </c>
      <c r="K340" s="159">
        <v>97</v>
      </c>
      <c r="L340" s="163">
        <v>45884</v>
      </c>
      <c r="M340" s="161">
        <v>46613</v>
      </c>
      <c r="N340" s="157"/>
      <c r="O340" s="145"/>
      <c r="P340" s="145"/>
      <c r="Q340" s="159" t="s">
        <v>20</v>
      </c>
      <c r="R340" s="159" t="s">
        <v>18</v>
      </c>
      <c r="S340" s="159" t="s">
        <v>18</v>
      </c>
      <c r="T340" s="159" t="s">
        <v>18</v>
      </c>
      <c r="U340" s="159" t="s">
        <v>20</v>
      </c>
      <c r="V340" s="159" t="s">
        <v>20</v>
      </c>
      <c r="W340" s="159" t="s">
        <v>20</v>
      </c>
      <c r="X340" s="159" t="s">
        <v>18</v>
      </c>
      <c r="Y340" s="159" t="s">
        <v>20</v>
      </c>
      <c r="Z340" s="161">
        <v>45884</v>
      </c>
      <c r="AA340" s="188">
        <v>46432</v>
      </c>
      <c r="AB340" s="159">
        <v>7</v>
      </c>
      <c r="AC340" s="293">
        <v>2</v>
      </c>
      <c r="AD340" s="145" t="s">
        <v>18</v>
      </c>
      <c r="AE340" s="145" t="s">
        <v>18</v>
      </c>
      <c r="AF340" s="150"/>
      <c r="AG340" s="155" t="s">
        <v>17</v>
      </c>
      <c r="AH340" s="294"/>
      <c r="AI340" s="300" t="s">
        <v>1138</v>
      </c>
      <c r="AJ340" s="195">
        <f>SUMIF('TK 15661.Bản quyền phim '!F:F,'KK1. Movies'!D340,'TK 15661.Bản quyền phim '!X:X)</f>
        <v>46627350</v>
      </c>
      <c r="AK340" s="195">
        <f>SUMIF('TK 15661.Bản quyền phim '!F:F,'KK1. Movies'!AI340,'TK 15661.Bản quyền phim '!X:X)</f>
        <v>46627350</v>
      </c>
      <c r="AL340" s="295">
        <f>COUNTIF('242.BQ Phim hợp tác'!$C:$C,'KK1. Movies'!AI340)</f>
        <v>0</v>
      </c>
      <c r="AM340" s="295">
        <f>COUNTIF('TK 15661.Bản quyền phim '!F:F,'KK1. Movies'!AI340)</f>
        <v>1</v>
      </c>
      <c r="AN340" s="296">
        <f t="shared" si="5"/>
        <v>1</v>
      </c>
      <c r="AO340" s="295"/>
      <c r="AP340" s="295"/>
      <c r="AQ340" s="295"/>
      <c r="AR340" s="295"/>
      <c r="AS340" s="295"/>
    </row>
    <row r="341" spans="1:45" s="296" customFormat="1" x14ac:dyDescent="0.3">
      <c r="A341" s="292">
        <f>_xlfn.AGGREGATE(3,3,$D$7:D341)</f>
        <v>335</v>
      </c>
      <c r="B341" s="143"/>
      <c r="C341" s="341" t="s">
        <v>1137</v>
      </c>
      <c r="D341" s="160" t="s">
        <v>1134</v>
      </c>
      <c r="E341" s="166" t="s">
        <v>1136</v>
      </c>
      <c r="F341" s="158" t="s">
        <v>977</v>
      </c>
      <c r="G341" s="158" t="s">
        <v>513</v>
      </c>
      <c r="H341" s="144" t="s">
        <v>1135</v>
      </c>
      <c r="I341" s="159">
        <v>2022</v>
      </c>
      <c r="J341" s="159" t="s">
        <v>178</v>
      </c>
      <c r="K341" s="159">
        <v>113</v>
      </c>
      <c r="L341" s="161">
        <v>45890</v>
      </c>
      <c r="M341" s="161">
        <v>46986</v>
      </c>
      <c r="N341" s="157"/>
      <c r="O341" s="145"/>
      <c r="P341" s="159">
        <v>36</v>
      </c>
      <c r="Q341" s="159" t="s">
        <v>20</v>
      </c>
      <c r="R341" s="159" t="s">
        <v>18</v>
      </c>
      <c r="S341" s="159" t="s">
        <v>18</v>
      </c>
      <c r="T341" s="159" t="s">
        <v>18</v>
      </c>
      <c r="U341" s="159" t="s">
        <v>18</v>
      </c>
      <c r="V341" s="159" t="s">
        <v>20</v>
      </c>
      <c r="W341" s="159" t="s">
        <v>18</v>
      </c>
      <c r="X341" s="159" t="s">
        <v>18</v>
      </c>
      <c r="Y341" s="159" t="s">
        <v>18</v>
      </c>
      <c r="Z341" s="161">
        <v>45890</v>
      </c>
      <c r="AA341" s="188">
        <v>46986</v>
      </c>
      <c r="AB341" s="159" t="s">
        <v>218</v>
      </c>
      <c r="AC341" s="293"/>
      <c r="AD341" s="145" t="s">
        <v>18</v>
      </c>
      <c r="AE341" s="145" t="s">
        <v>18</v>
      </c>
      <c r="AF341" s="150"/>
      <c r="AG341" s="155" t="s">
        <v>17</v>
      </c>
      <c r="AH341" s="294"/>
      <c r="AI341" s="300" t="s">
        <v>1134</v>
      </c>
      <c r="AJ341" s="195">
        <f>SUMIF('TK 15661.Bản quyền phim '!F:F,'KK1. Movies'!D341,'TK 15661.Bản quyền phim '!X:X)</f>
        <v>56461020</v>
      </c>
      <c r="AK341" s="195">
        <f>SUMIF('TK 15661.Bản quyền phim '!F:F,'KK1. Movies'!AI341,'TK 15661.Bản quyền phim '!X:X)</f>
        <v>56461020</v>
      </c>
      <c r="AL341" s="295">
        <f>COUNTIF('242.BQ Phim hợp tác'!$C:$C,'KK1. Movies'!AI341)</f>
        <v>0</v>
      </c>
      <c r="AM341" s="295">
        <f>COUNTIF('TK 15661.Bản quyền phim '!F:F,'KK1. Movies'!AI341)</f>
        <v>1</v>
      </c>
      <c r="AN341" s="296">
        <f t="shared" si="5"/>
        <v>1</v>
      </c>
      <c r="AO341" s="295"/>
      <c r="AP341" s="295"/>
      <c r="AQ341" s="295"/>
      <c r="AR341" s="295"/>
      <c r="AS341" s="295"/>
    </row>
    <row r="342" spans="1:45" s="296" customFormat="1" ht="26.4" x14ac:dyDescent="0.3">
      <c r="A342" s="292">
        <f>_xlfn.AGGREGATE(3,3,$D$7:D342)</f>
        <v>336</v>
      </c>
      <c r="B342" s="143"/>
      <c r="C342" s="341" t="s">
        <v>1133</v>
      </c>
      <c r="D342" s="160" t="s">
        <v>1130</v>
      </c>
      <c r="E342" s="166" t="s">
        <v>1132</v>
      </c>
      <c r="F342" s="166" t="s">
        <v>1131</v>
      </c>
      <c r="G342" s="158" t="s">
        <v>1127</v>
      </c>
      <c r="H342" s="158" t="s">
        <v>1126</v>
      </c>
      <c r="I342" s="159">
        <v>2021</v>
      </c>
      <c r="J342" s="159" t="s">
        <v>196</v>
      </c>
      <c r="K342" s="159">
        <v>100</v>
      </c>
      <c r="L342" s="188">
        <v>45974</v>
      </c>
      <c r="M342" s="188">
        <v>46519</v>
      </c>
      <c r="N342" s="157"/>
      <c r="O342" s="145"/>
      <c r="P342" s="145"/>
      <c r="Q342" s="159" t="s">
        <v>20</v>
      </c>
      <c r="R342" s="159" t="s">
        <v>18</v>
      </c>
      <c r="S342" s="166" t="s">
        <v>18</v>
      </c>
      <c r="T342" s="159" t="s">
        <v>18</v>
      </c>
      <c r="U342" s="159" t="s">
        <v>20</v>
      </c>
      <c r="V342" s="159" t="s">
        <v>20</v>
      </c>
      <c r="W342" s="159" t="s">
        <v>20</v>
      </c>
      <c r="X342" s="159" t="s">
        <v>18</v>
      </c>
      <c r="Y342" s="159" t="s">
        <v>20</v>
      </c>
      <c r="Z342" s="188">
        <v>45974</v>
      </c>
      <c r="AA342" s="188">
        <v>46338</v>
      </c>
      <c r="AB342" s="166">
        <v>10</v>
      </c>
      <c r="AC342" s="166"/>
      <c r="AD342" s="145" t="s">
        <v>18</v>
      </c>
      <c r="AE342" s="145" t="s">
        <v>18</v>
      </c>
      <c r="AF342" s="150"/>
      <c r="AG342" s="155" t="s">
        <v>17</v>
      </c>
      <c r="AH342" s="294"/>
      <c r="AI342" s="300" t="s">
        <v>1130</v>
      </c>
      <c r="AJ342" s="195">
        <f>SUMIF('TK 15661.Bản quyền phim '!F:F,'KK1. Movies'!D342,'TK 15661.Bản quyền phim '!X:X)</f>
        <v>45463250</v>
      </c>
      <c r="AK342" s="195">
        <f>SUMIF('TK 15661.Bản quyền phim '!F:F,'KK1. Movies'!AI342,'TK 15661.Bản quyền phim '!X:X)</f>
        <v>45463250</v>
      </c>
      <c r="AL342" s="295">
        <f>COUNTIF('242.BQ Phim hợp tác'!$C:$C,'KK1. Movies'!AI342)</f>
        <v>0</v>
      </c>
      <c r="AM342" s="295">
        <f>COUNTIF('TK 15661.Bản quyền phim '!F:F,'KK1. Movies'!AI342)</f>
        <v>1</v>
      </c>
      <c r="AN342" s="296">
        <f t="shared" si="5"/>
        <v>1</v>
      </c>
      <c r="AO342" s="295"/>
      <c r="AP342" s="295"/>
      <c r="AQ342" s="295"/>
      <c r="AR342" s="295"/>
      <c r="AS342" s="295"/>
    </row>
    <row r="343" spans="1:45" s="296" customFormat="1" x14ac:dyDescent="0.3">
      <c r="A343" s="416">
        <f>_xlfn.AGGREGATE(3,3,$D$7:D343)</f>
        <v>337</v>
      </c>
      <c r="B343" s="417"/>
      <c r="C343" s="418" t="s">
        <v>1129</v>
      </c>
      <c r="D343" s="173" t="s">
        <v>1125</v>
      </c>
      <c r="E343" s="181" t="s">
        <v>1128</v>
      </c>
      <c r="F343" s="185" t="s">
        <v>1013</v>
      </c>
      <c r="G343" s="186" t="s">
        <v>1127</v>
      </c>
      <c r="H343" s="186" t="s">
        <v>1126</v>
      </c>
      <c r="I343" s="177">
        <v>2021</v>
      </c>
      <c r="J343" s="177" t="s">
        <v>196</v>
      </c>
      <c r="K343" s="177">
        <v>98</v>
      </c>
      <c r="L343" s="419">
        <v>46008</v>
      </c>
      <c r="M343" s="419">
        <v>46554</v>
      </c>
      <c r="N343" s="180"/>
      <c r="O343" s="187"/>
      <c r="P343" s="187"/>
      <c r="Q343" s="177" t="s">
        <v>20</v>
      </c>
      <c r="R343" s="177" t="s">
        <v>18</v>
      </c>
      <c r="S343" s="185" t="s">
        <v>18</v>
      </c>
      <c r="T343" s="177" t="s">
        <v>18</v>
      </c>
      <c r="U343" s="177" t="s">
        <v>20</v>
      </c>
      <c r="V343" s="177" t="s">
        <v>20</v>
      </c>
      <c r="W343" s="177" t="s">
        <v>20</v>
      </c>
      <c r="X343" s="177" t="s">
        <v>18</v>
      </c>
      <c r="Y343" s="177" t="s">
        <v>20</v>
      </c>
      <c r="Z343" s="419">
        <v>46008</v>
      </c>
      <c r="AA343" s="419">
        <v>46372</v>
      </c>
      <c r="AB343" s="185">
        <v>10</v>
      </c>
      <c r="AC343" s="185"/>
      <c r="AD343" s="187" t="s">
        <v>18</v>
      </c>
      <c r="AE343" s="187" t="s">
        <v>18</v>
      </c>
      <c r="AF343" s="176"/>
      <c r="AG343" s="420" t="s">
        <v>17</v>
      </c>
      <c r="AH343" s="421"/>
      <c r="AI343" s="422" t="s">
        <v>1125</v>
      </c>
      <c r="AJ343" s="423">
        <f>SUMIF('TK 15661.Bản quyền phim '!F:F,'KK1. Movies'!D343,'TK 15661.Bản quyền phim '!X:X)</f>
        <v>38968500</v>
      </c>
      <c r="AK343" s="423">
        <f>SUMIF('TK 15661.Bản quyền phim '!F:F,'KK1. Movies'!AI343,'TK 15661.Bản quyền phim '!X:X)</f>
        <v>38968500</v>
      </c>
      <c r="AL343" s="424">
        <f>COUNTIF('242.BQ Phim hợp tác'!$C:$C,'KK1. Movies'!AI343)</f>
        <v>0</v>
      </c>
      <c r="AM343" s="424">
        <f>COUNTIF('TK 15661.Bản quyền phim '!F:F,'KK1. Movies'!AI343)</f>
        <v>1</v>
      </c>
      <c r="AN343" s="296">
        <f t="shared" si="5"/>
        <v>1</v>
      </c>
      <c r="AO343" s="424"/>
      <c r="AP343" s="424"/>
      <c r="AQ343" s="424"/>
      <c r="AR343" s="424"/>
      <c r="AS343" s="424"/>
    </row>
    <row r="344" spans="1:45" s="296" customFormat="1" ht="26.4" x14ac:dyDescent="0.3">
      <c r="A344" s="292" t="s">
        <v>3263</v>
      </c>
      <c r="B344" s="143"/>
      <c r="C344" s="160" t="s">
        <v>3312</v>
      </c>
      <c r="D344" s="160" t="s">
        <v>3075</v>
      </c>
      <c r="E344" s="144"/>
      <c r="F344" s="166"/>
      <c r="G344" s="158" t="s">
        <v>2927</v>
      </c>
      <c r="H344" s="158" t="s">
        <v>2928</v>
      </c>
      <c r="I344" s="159"/>
      <c r="J344" s="159"/>
      <c r="K344" s="159"/>
      <c r="L344" s="188"/>
      <c r="M344" s="188"/>
      <c r="N344" s="157"/>
      <c r="O344" s="145"/>
      <c r="P344" s="145"/>
      <c r="Q344" s="159"/>
      <c r="R344" s="159"/>
      <c r="S344" s="166"/>
      <c r="T344" s="159"/>
      <c r="U344" s="159"/>
      <c r="V344" s="159"/>
      <c r="W344" s="159"/>
      <c r="X344" s="159"/>
      <c r="Y344" s="159"/>
      <c r="Z344" s="188">
        <v>44519</v>
      </c>
      <c r="AA344" s="188">
        <v>46160</v>
      </c>
      <c r="AB344" s="166"/>
      <c r="AC344" s="166"/>
      <c r="AD344" s="145"/>
      <c r="AE344" s="145"/>
      <c r="AF344" s="150"/>
      <c r="AG344" s="155"/>
      <c r="AH344" s="143"/>
      <c r="AI344" s="300"/>
      <c r="AJ344" s="195"/>
      <c r="AK344" s="195"/>
      <c r="AL344" s="295"/>
      <c r="AM344" s="295"/>
      <c r="AN344" s="295"/>
      <c r="AO344" s="295"/>
      <c r="AP344" s="295"/>
      <c r="AQ344" s="295"/>
      <c r="AR344" s="295"/>
      <c r="AS344" s="295"/>
    </row>
    <row r="345" spans="1:45" s="296" customFormat="1" ht="26.4" x14ac:dyDescent="0.3">
      <c r="A345" s="292" t="s">
        <v>3263</v>
      </c>
      <c r="B345" s="143"/>
      <c r="C345" s="160" t="s">
        <v>3313</v>
      </c>
      <c r="D345" s="160" t="s">
        <v>3073</v>
      </c>
      <c r="E345" s="144"/>
      <c r="F345" s="166"/>
      <c r="G345" s="158" t="s">
        <v>2927</v>
      </c>
      <c r="H345" s="158" t="s">
        <v>2928</v>
      </c>
      <c r="I345" s="159"/>
      <c r="J345" s="159"/>
      <c r="K345" s="159"/>
      <c r="L345" s="188"/>
      <c r="M345" s="188"/>
      <c r="N345" s="157"/>
      <c r="O345" s="145"/>
      <c r="P345" s="145"/>
      <c r="Q345" s="159"/>
      <c r="R345" s="159"/>
      <c r="S345" s="166"/>
      <c r="T345" s="159"/>
      <c r="U345" s="159"/>
      <c r="V345" s="159"/>
      <c r="W345" s="159"/>
      <c r="X345" s="159"/>
      <c r="Y345" s="159"/>
      <c r="Z345" s="188">
        <v>44491</v>
      </c>
      <c r="AA345" s="188">
        <v>46133</v>
      </c>
      <c r="AB345" s="166"/>
      <c r="AC345" s="166"/>
      <c r="AD345" s="145"/>
      <c r="AE345" s="145"/>
      <c r="AF345" s="150"/>
      <c r="AG345" s="155"/>
      <c r="AH345" s="143"/>
      <c r="AI345" s="300"/>
      <c r="AJ345" s="195"/>
      <c r="AK345" s="195"/>
      <c r="AL345" s="295"/>
      <c r="AM345" s="295"/>
      <c r="AN345" s="295"/>
      <c r="AO345" s="295"/>
      <c r="AP345" s="295"/>
      <c r="AQ345" s="295"/>
      <c r="AR345" s="295"/>
      <c r="AS345" s="295"/>
    </row>
    <row r="346" spans="1:45" s="296" customFormat="1" x14ac:dyDescent="0.3">
      <c r="A346" s="292" t="s">
        <v>3263</v>
      </c>
      <c r="B346" s="143"/>
      <c r="C346" s="160" t="s">
        <v>3314</v>
      </c>
      <c r="D346" s="160" t="s">
        <v>3071</v>
      </c>
      <c r="E346" s="144"/>
      <c r="F346" s="166"/>
      <c r="G346" s="158" t="s">
        <v>2927</v>
      </c>
      <c r="H346" s="158" t="s">
        <v>2928</v>
      </c>
      <c r="I346" s="159"/>
      <c r="J346" s="159"/>
      <c r="K346" s="159"/>
      <c r="L346" s="188"/>
      <c r="M346" s="188"/>
      <c r="N346" s="157"/>
      <c r="O346" s="145"/>
      <c r="P346" s="145"/>
      <c r="Q346" s="159"/>
      <c r="R346" s="159"/>
      <c r="S346" s="166"/>
      <c r="T346" s="159"/>
      <c r="U346" s="159"/>
      <c r="V346" s="159"/>
      <c r="W346" s="159"/>
      <c r="X346" s="159"/>
      <c r="Y346" s="159"/>
      <c r="Z346" s="188">
        <v>44533</v>
      </c>
      <c r="AA346" s="188">
        <v>46175</v>
      </c>
      <c r="AB346" s="166"/>
      <c r="AC346" s="166"/>
      <c r="AD346" s="145"/>
      <c r="AE346" s="145"/>
      <c r="AF346" s="150"/>
      <c r="AG346" s="155"/>
      <c r="AH346" s="143"/>
      <c r="AI346" s="300"/>
      <c r="AJ346" s="195"/>
      <c r="AK346" s="195"/>
      <c r="AL346" s="295"/>
      <c r="AM346" s="295"/>
      <c r="AN346" s="295"/>
      <c r="AO346" s="295"/>
      <c r="AP346" s="295"/>
      <c r="AQ346" s="295"/>
      <c r="AR346" s="295"/>
      <c r="AS346" s="295"/>
    </row>
    <row r="347" spans="1:45" s="296" customFormat="1" x14ac:dyDescent="0.3">
      <c r="A347" s="292" t="s">
        <v>3263</v>
      </c>
      <c r="B347" s="143"/>
      <c r="C347" s="160" t="s">
        <v>3315</v>
      </c>
      <c r="D347" s="160" t="s">
        <v>3069</v>
      </c>
      <c r="E347" s="144"/>
      <c r="F347" s="166"/>
      <c r="G347" s="158" t="s">
        <v>2927</v>
      </c>
      <c r="H347" s="158" t="s">
        <v>2928</v>
      </c>
      <c r="I347" s="159"/>
      <c r="J347" s="159"/>
      <c r="K347" s="159"/>
      <c r="L347" s="188"/>
      <c r="M347" s="188"/>
      <c r="N347" s="157"/>
      <c r="O347" s="145"/>
      <c r="P347" s="145"/>
      <c r="Q347" s="159"/>
      <c r="R347" s="159"/>
      <c r="S347" s="166"/>
      <c r="T347" s="159"/>
      <c r="U347" s="159"/>
      <c r="V347" s="159"/>
      <c r="W347" s="159"/>
      <c r="X347" s="159"/>
      <c r="Y347" s="159"/>
      <c r="Z347" s="188">
        <v>44517</v>
      </c>
      <c r="AA347" s="188">
        <v>46158</v>
      </c>
      <c r="AB347" s="166"/>
      <c r="AC347" s="166"/>
      <c r="AD347" s="145"/>
      <c r="AE347" s="145"/>
      <c r="AF347" s="150"/>
      <c r="AG347" s="155"/>
      <c r="AH347" s="143"/>
      <c r="AI347" s="300"/>
      <c r="AJ347" s="195"/>
      <c r="AK347" s="195"/>
      <c r="AL347" s="295"/>
      <c r="AM347" s="295"/>
      <c r="AN347" s="295"/>
      <c r="AO347" s="295"/>
      <c r="AP347" s="295"/>
      <c r="AQ347" s="295"/>
      <c r="AR347" s="295"/>
      <c r="AS347" s="295"/>
    </row>
    <row r="348" spans="1:45" s="296" customFormat="1" x14ac:dyDescent="0.3">
      <c r="A348" s="292" t="s">
        <v>3263</v>
      </c>
      <c r="B348" s="143"/>
      <c r="C348" s="160" t="s">
        <v>3316</v>
      </c>
      <c r="D348" s="160" t="s">
        <v>3067</v>
      </c>
      <c r="E348" s="144"/>
      <c r="F348" s="166"/>
      <c r="G348" s="158" t="s">
        <v>2927</v>
      </c>
      <c r="H348" s="158" t="s">
        <v>2928</v>
      </c>
      <c r="I348" s="159"/>
      <c r="J348" s="159"/>
      <c r="K348" s="159"/>
      <c r="L348" s="188"/>
      <c r="M348" s="188"/>
      <c r="N348" s="157"/>
      <c r="O348" s="145"/>
      <c r="P348" s="145"/>
      <c r="Q348" s="159"/>
      <c r="R348" s="159"/>
      <c r="S348" s="166"/>
      <c r="T348" s="159"/>
      <c r="U348" s="159"/>
      <c r="V348" s="159"/>
      <c r="W348" s="159"/>
      <c r="X348" s="159"/>
      <c r="Y348" s="159"/>
      <c r="Z348" s="188">
        <v>44538</v>
      </c>
      <c r="AA348" s="188">
        <v>46180</v>
      </c>
      <c r="AB348" s="166"/>
      <c r="AC348" s="166"/>
      <c r="AD348" s="145"/>
      <c r="AE348" s="145"/>
      <c r="AF348" s="150"/>
      <c r="AG348" s="155"/>
      <c r="AH348" s="143"/>
      <c r="AI348" s="300"/>
      <c r="AJ348" s="195"/>
      <c r="AK348" s="195"/>
      <c r="AL348" s="295"/>
      <c r="AM348" s="295"/>
      <c r="AN348" s="295"/>
      <c r="AO348" s="295"/>
      <c r="AP348" s="295"/>
      <c r="AQ348" s="295"/>
      <c r="AR348" s="295"/>
      <c r="AS348" s="295"/>
    </row>
    <row r="349" spans="1:45" s="296" customFormat="1" ht="26.4" x14ac:dyDescent="0.3">
      <c r="A349" s="292" t="s">
        <v>3263</v>
      </c>
      <c r="B349" s="143"/>
      <c r="C349" s="160" t="s">
        <v>3317</v>
      </c>
      <c r="D349" s="160" t="s">
        <v>3063</v>
      </c>
      <c r="E349" s="144"/>
      <c r="F349" s="166"/>
      <c r="G349" s="158" t="s">
        <v>2927</v>
      </c>
      <c r="H349" s="158" t="s">
        <v>2928</v>
      </c>
      <c r="I349" s="159"/>
      <c r="J349" s="159"/>
      <c r="K349" s="159"/>
      <c r="L349" s="188"/>
      <c r="M349" s="188"/>
      <c r="N349" s="157"/>
      <c r="O349" s="145"/>
      <c r="P349" s="145"/>
      <c r="Q349" s="159"/>
      <c r="R349" s="159"/>
      <c r="S349" s="166"/>
      <c r="T349" s="159"/>
      <c r="U349" s="159"/>
      <c r="V349" s="159"/>
      <c r="W349" s="159"/>
      <c r="X349" s="159"/>
      <c r="Y349" s="159"/>
      <c r="Z349" s="188">
        <v>44531</v>
      </c>
      <c r="AA349" s="188">
        <v>46356</v>
      </c>
      <c r="AB349" s="166"/>
      <c r="AC349" s="166"/>
      <c r="AD349" s="145"/>
      <c r="AE349" s="145"/>
      <c r="AF349" s="150"/>
      <c r="AG349" s="155"/>
      <c r="AH349" s="143"/>
      <c r="AI349" s="300"/>
      <c r="AJ349" s="195"/>
      <c r="AK349" s="195"/>
      <c r="AL349" s="295"/>
      <c r="AM349" s="295"/>
      <c r="AN349" s="295"/>
      <c r="AO349" s="295"/>
      <c r="AP349" s="295"/>
      <c r="AQ349" s="295"/>
      <c r="AR349" s="295"/>
      <c r="AS349" s="295"/>
    </row>
    <row r="350" spans="1:45" s="296" customFormat="1" x14ac:dyDescent="0.3">
      <c r="A350" s="292" t="s">
        <v>3263</v>
      </c>
      <c r="B350" s="143"/>
      <c r="C350" s="160" t="s">
        <v>3318</v>
      </c>
      <c r="D350" s="160" t="s">
        <v>3061</v>
      </c>
      <c r="E350" s="144"/>
      <c r="F350" s="166"/>
      <c r="G350" s="158" t="s">
        <v>2927</v>
      </c>
      <c r="H350" s="158" t="s">
        <v>2928</v>
      </c>
      <c r="I350" s="159"/>
      <c r="J350" s="159"/>
      <c r="K350" s="159"/>
      <c r="L350" s="188"/>
      <c r="M350" s="188"/>
      <c r="N350" s="157"/>
      <c r="O350" s="145"/>
      <c r="P350" s="145"/>
      <c r="Q350" s="159"/>
      <c r="R350" s="159"/>
      <c r="S350" s="166"/>
      <c r="T350" s="159"/>
      <c r="U350" s="159"/>
      <c r="V350" s="159"/>
      <c r="W350" s="159"/>
      <c r="X350" s="159"/>
      <c r="Y350" s="159"/>
      <c r="Z350" s="188">
        <v>44489</v>
      </c>
      <c r="AA350" s="188">
        <v>46131</v>
      </c>
      <c r="AB350" s="166"/>
      <c r="AC350" s="166"/>
      <c r="AD350" s="145"/>
      <c r="AE350" s="145"/>
      <c r="AF350" s="150"/>
      <c r="AG350" s="155"/>
      <c r="AH350" s="143"/>
      <c r="AI350" s="300"/>
      <c r="AJ350" s="195"/>
      <c r="AK350" s="195"/>
      <c r="AL350" s="295"/>
      <c r="AM350" s="295"/>
      <c r="AN350" s="295"/>
      <c r="AO350" s="295"/>
      <c r="AP350" s="295"/>
      <c r="AQ350" s="295"/>
      <c r="AR350" s="295"/>
      <c r="AS350" s="295"/>
    </row>
    <row r="351" spans="1:45" s="296" customFormat="1" x14ac:dyDescent="0.3">
      <c r="A351" s="292" t="s">
        <v>3263</v>
      </c>
      <c r="B351" s="143"/>
      <c r="C351" s="160" t="s">
        <v>3319</v>
      </c>
      <c r="D351" s="160" t="s">
        <v>3059</v>
      </c>
      <c r="E351" s="144"/>
      <c r="F351" s="166"/>
      <c r="G351" s="158" t="s">
        <v>2927</v>
      </c>
      <c r="H351" s="158" t="s">
        <v>2928</v>
      </c>
      <c r="I351" s="159"/>
      <c r="J351" s="159"/>
      <c r="K351" s="159"/>
      <c r="L351" s="188"/>
      <c r="M351" s="188"/>
      <c r="N351" s="157"/>
      <c r="O351" s="145"/>
      <c r="P351" s="145"/>
      <c r="Q351" s="159"/>
      <c r="R351" s="159"/>
      <c r="S351" s="166"/>
      <c r="T351" s="159"/>
      <c r="U351" s="159"/>
      <c r="V351" s="159"/>
      <c r="W351" s="159"/>
      <c r="X351" s="159"/>
      <c r="Y351" s="159"/>
      <c r="Z351" s="188">
        <v>44461</v>
      </c>
      <c r="AA351" s="188">
        <v>46102</v>
      </c>
      <c r="AB351" s="166"/>
      <c r="AC351" s="166"/>
      <c r="AD351" s="145"/>
      <c r="AE351" s="145"/>
      <c r="AF351" s="150"/>
      <c r="AG351" s="155"/>
      <c r="AH351" s="143"/>
      <c r="AI351" s="300"/>
      <c r="AJ351" s="195"/>
      <c r="AK351" s="195"/>
      <c r="AL351" s="295"/>
      <c r="AM351" s="295"/>
      <c r="AN351" s="295"/>
      <c r="AO351" s="295"/>
      <c r="AP351" s="295"/>
      <c r="AQ351" s="295"/>
      <c r="AR351" s="295"/>
      <c r="AS351" s="295"/>
    </row>
    <row r="352" spans="1:45" s="296" customFormat="1" x14ac:dyDescent="0.3">
      <c r="A352" s="292" t="s">
        <v>3263</v>
      </c>
      <c r="B352" s="143"/>
      <c r="C352" s="160" t="s">
        <v>3320</v>
      </c>
      <c r="D352" s="160" t="s">
        <v>3057</v>
      </c>
      <c r="E352" s="144"/>
      <c r="F352" s="166"/>
      <c r="G352" s="158" t="s">
        <v>2927</v>
      </c>
      <c r="H352" s="158" t="s">
        <v>2928</v>
      </c>
      <c r="I352" s="159"/>
      <c r="J352" s="159"/>
      <c r="K352" s="159"/>
      <c r="L352" s="188"/>
      <c r="M352" s="188"/>
      <c r="N352" s="157"/>
      <c r="O352" s="145"/>
      <c r="P352" s="145"/>
      <c r="Q352" s="159"/>
      <c r="R352" s="159"/>
      <c r="S352" s="166"/>
      <c r="T352" s="159"/>
      <c r="U352" s="159"/>
      <c r="V352" s="159"/>
      <c r="W352" s="159"/>
      <c r="X352" s="159"/>
      <c r="Y352" s="159"/>
      <c r="Z352" s="188">
        <v>44475</v>
      </c>
      <c r="AA352" s="188">
        <v>46117</v>
      </c>
      <c r="AB352" s="166"/>
      <c r="AC352" s="166"/>
      <c r="AD352" s="145"/>
      <c r="AE352" s="145"/>
      <c r="AF352" s="150"/>
      <c r="AG352" s="155"/>
      <c r="AH352" s="143"/>
      <c r="AI352" s="300"/>
      <c r="AJ352" s="195"/>
      <c r="AK352" s="195"/>
      <c r="AL352" s="295"/>
      <c r="AM352" s="295"/>
      <c r="AN352" s="295"/>
      <c r="AO352" s="295"/>
      <c r="AP352" s="295"/>
      <c r="AQ352" s="295"/>
      <c r="AR352" s="295"/>
      <c r="AS352" s="295"/>
    </row>
    <row r="353" spans="1:45" s="296" customFormat="1" x14ac:dyDescent="0.3">
      <c r="A353" s="292" t="s">
        <v>3263</v>
      </c>
      <c r="B353" s="143"/>
      <c r="C353" s="160" t="s">
        <v>3321</v>
      </c>
      <c r="D353" s="160" t="s">
        <v>3054</v>
      </c>
      <c r="E353" s="144"/>
      <c r="F353" s="166"/>
      <c r="G353" s="158" t="s">
        <v>2927</v>
      </c>
      <c r="H353" s="158" t="s">
        <v>2928</v>
      </c>
      <c r="I353" s="159"/>
      <c r="J353" s="159"/>
      <c r="K353" s="159"/>
      <c r="L353" s="188"/>
      <c r="M353" s="188"/>
      <c r="N353" s="157"/>
      <c r="O353" s="145"/>
      <c r="P353" s="145"/>
      <c r="Q353" s="159"/>
      <c r="R353" s="159"/>
      <c r="S353" s="166"/>
      <c r="T353" s="159"/>
      <c r="U353" s="159"/>
      <c r="V353" s="159"/>
      <c r="W353" s="159"/>
      <c r="X353" s="159"/>
      <c r="Y353" s="159"/>
      <c r="Z353" s="188">
        <v>44559</v>
      </c>
      <c r="AA353" s="188">
        <v>46201</v>
      </c>
      <c r="AB353" s="166"/>
      <c r="AC353" s="166"/>
      <c r="AD353" s="145"/>
      <c r="AE353" s="145"/>
      <c r="AF353" s="150"/>
      <c r="AG353" s="155"/>
      <c r="AH353" s="143"/>
      <c r="AI353" s="300"/>
      <c r="AJ353" s="195"/>
      <c r="AK353" s="195"/>
      <c r="AL353" s="295"/>
      <c r="AM353" s="295"/>
      <c r="AN353" s="295"/>
      <c r="AO353" s="295"/>
      <c r="AP353" s="295"/>
      <c r="AQ353" s="295"/>
      <c r="AR353" s="295"/>
      <c r="AS353" s="295"/>
    </row>
    <row r="354" spans="1:45" s="296" customFormat="1" x14ac:dyDescent="0.3">
      <c r="A354" s="292" t="s">
        <v>3263</v>
      </c>
      <c r="B354" s="143"/>
      <c r="C354" s="160" t="s">
        <v>3322</v>
      </c>
      <c r="D354" s="160" t="s">
        <v>3052</v>
      </c>
      <c r="E354" s="144"/>
      <c r="F354" s="166"/>
      <c r="G354" s="158" t="s">
        <v>2927</v>
      </c>
      <c r="H354" s="158" t="s">
        <v>2928</v>
      </c>
      <c r="I354" s="159"/>
      <c r="J354" s="159"/>
      <c r="K354" s="159"/>
      <c r="L354" s="188"/>
      <c r="M354" s="188"/>
      <c r="N354" s="157"/>
      <c r="O354" s="145"/>
      <c r="P354" s="145"/>
      <c r="Q354" s="159"/>
      <c r="R354" s="159"/>
      <c r="S354" s="166"/>
      <c r="T354" s="159"/>
      <c r="U354" s="159"/>
      <c r="V354" s="159"/>
      <c r="W354" s="159"/>
      <c r="X354" s="159"/>
      <c r="Y354" s="159"/>
      <c r="Z354" s="188">
        <v>44503</v>
      </c>
      <c r="AA354" s="188">
        <v>46144</v>
      </c>
      <c r="AB354" s="166"/>
      <c r="AC354" s="166"/>
      <c r="AD354" s="145"/>
      <c r="AE354" s="145"/>
      <c r="AF354" s="150"/>
      <c r="AG354" s="155"/>
      <c r="AH354" s="143"/>
      <c r="AI354" s="300"/>
      <c r="AJ354" s="195"/>
      <c r="AK354" s="195"/>
      <c r="AL354" s="295"/>
      <c r="AM354" s="295"/>
      <c r="AN354" s="295"/>
      <c r="AO354" s="295"/>
      <c r="AP354" s="295"/>
      <c r="AQ354" s="295"/>
      <c r="AR354" s="295"/>
      <c r="AS354" s="295"/>
    </row>
    <row r="355" spans="1:45" s="296" customFormat="1" x14ac:dyDescent="0.3">
      <c r="A355" s="292" t="s">
        <v>3263</v>
      </c>
      <c r="B355" s="143"/>
      <c r="C355" s="160" t="s">
        <v>3323</v>
      </c>
      <c r="D355" s="160" t="s">
        <v>2360</v>
      </c>
      <c r="E355" s="144"/>
      <c r="F355" s="166"/>
      <c r="G355" s="158" t="s">
        <v>2648</v>
      </c>
      <c r="H355" s="158" t="s">
        <v>2649</v>
      </c>
      <c r="I355" s="159"/>
      <c r="J355" s="159"/>
      <c r="K355" s="159"/>
      <c r="L355" s="188"/>
      <c r="M355" s="188"/>
      <c r="N355" s="157"/>
      <c r="O355" s="145"/>
      <c r="P355" s="145"/>
      <c r="Q355" s="159"/>
      <c r="R355" s="159"/>
      <c r="S355" s="166"/>
      <c r="T355" s="159"/>
      <c r="U355" s="159"/>
      <c r="V355" s="159"/>
      <c r="W355" s="159"/>
      <c r="X355" s="159"/>
      <c r="Y355" s="159"/>
      <c r="Z355" s="188">
        <v>45077</v>
      </c>
      <c r="AA355" s="188">
        <v>46172</v>
      </c>
      <c r="AB355" s="166"/>
      <c r="AC355" s="166"/>
      <c r="AD355" s="145"/>
      <c r="AE355" s="145"/>
      <c r="AF355" s="150"/>
      <c r="AG355" s="155"/>
      <c r="AH355" s="143"/>
      <c r="AI355" s="300"/>
      <c r="AJ355" s="195"/>
      <c r="AK355" s="195"/>
      <c r="AL355" s="295"/>
      <c r="AM355" s="295"/>
      <c r="AN355" s="295"/>
      <c r="AO355" s="295"/>
      <c r="AP355" s="295"/>
      <c r="AQ355" s="295"/>
      <c r="AR355" s="295"/>
      <c r="AS355" s="295"/>
    </row>
    <row r="356" spans="1:45" s="296" customFormat="1" ht="26.4" x14ac:dyDescent="0.3">
      <c r="A356" s="292" t="s">
        <v>3263</v>
      </c>
      <c r="B356" s="143"/>
      <c r="C356" s="160" t="s">
        <v>3324</v>
      </c>
      <c r="D356" s="160" t="s">
        <v>2759</v>
      </c>
      <c r="E356" s="144"/>
      <c r="F356" s="166"/>
      <c r="G356" s="158" t="s">
        <v>2689</v>
      </c>
      <c r="H356" s="158" t="s">
        <v>2690</v>
      </c>
      <c r="I356" s="159"/>
      <c r="J356" s="159"/>
      <c r="K356" s="159"/>
      <c r="L356" s="188"/>
      <c r="M356" s="188"/>
      <c r="N356" s="157"/>
      <c r="O356" s="145"/>
      <c r="P356" s="145"/>
      <c r="Q356" s="159"/>
      <c r="R356" s="159"/>
      <c r="S356" s="166"/>
      <c r="T356" s="159"/>
      <c r="U356" s="159"/>
      <c r="V356" s="159"/>
      <c r="W356" s="159"/>
      <c r="X356" s="159"/>
      <c r="Y356" s="159"/>
      <c r="Z356" s="188">
        <v>45435</v>
      </c>
      <c r="AA356" s="188">
        <v>46529</v>
      </c>
      <c r="AB356" s="166"/>
      <c r="AC356" s="166"/>
      <c r="AD356" s="145"/>
      <c r="AE356" s="145"/>
      <c r="AF356" s="150"/>
      <c r="AG356" s="155"/>
      <c r="AH356" s="143"/>
      <c r="AI356" s="300"/>
      <c r="AJ356" s="195"/>
      <c r="AK356" s="195"/>
      <c r="AL356" s="295"/>
      <c r="AM356" s="295"/>
      <c r="AN356" s="295"/>
      <c r="AO356" s="295"/>
      <c r="AP356" s="295"/>
      <c r="AQ356" s="295"/>
      <c r="AR356" s="295"/>
      <c r="AS356" s="295"/>
    </row>
    <row r="357" spans="1:45" s="296" customFormat="1" ht="26.4" x14ac:dyDescent="0.3">
      <c r="A357" s="292" t="s">
        <v>3263</v>
      </c>
      <c r="B357" s="143"/>
      <c r="C357" s="160" t="s">
        <v>3325</v>
      </c>
      <c r="D357" s="160" t="s">
        <v>2752</v>
      </c>
      <c r="E357" s="144"/>
      <c r="F357" s="166"/>
      <c r="G357" s="158" t="s">
        <v>2689</v>
      </c>
      <c r="H357" s="158" t="s">
        <v>2690</v>
      </c>
      <c r="I357" s="159"/>
      <c r="J357" s="159"/>
      <c r="K357" s="159"/>
      <c r="L357" s="188"/>
      <c r="M357" s="188"/>
      <c r="N357" s="157"/>
      <c r="O357" s="145"/>
      <c r="P357" s="145"/>
      <c r="Q357" s="159"/>
      <c r="R357" s="159"/>
      <c r="S357" s="166"/>
      <c r="T357" s="159"/>
      <c r="U357" s="159"/>
      <c r="V357" s="159"/>
      <c r="W357" s="159"/>
      <c r="X357" s="159"/>
      <c r="Y357" s="159"/>
      <c r="Z357" s="188">
        <v>45506</v>
      </c>
      <c r="AA357" s="188">
        <v>46600</v>
      </c>
      <c r="AB357" s="166"/>
      <c r="AC357" s="166"/>
      <c r="AD357" s="145"/>
      <c r="AE357" s="145"/>
      <c r="AF357" s="150"/>
      <c r="AG357" s="155"/>
      <c r="AH357" s="143"/>
      <c r="AI357" s="300"/>
      <c r="AJ357" s="195"/>
      <c r="AK357" s="195"/>
      <c r="AL357" s="295"/>
      <c r="AM357" s="295"/>
      <c r="AN357" s="295"/>
      <c r="AO357" s="295"/>
      <c r="AP357" s="295"/>
      <c r="AQ357" s="295"/>
      <c r="AR357" s="295"/>
      <c r="AS357" s="295"/>
    </row>
    <row r="358" spans="1:45" s="296" customFormat="1" ht="26.4" x14ac:dyDescent="0.3">
      <c r="A358" s="292" t="s">
        <v>3263</v>
      </c>
      <c r="B358" s="143"/>
      <c r="C358" s="160" t="s">
        <v>3326</v>
      </c>
      <c r="D358" s="160" t="s">
        <v>2750</v>
      </c>
      <c r="E358" s="144"/>
      <c r="F358" s="166"/>
      <c r="G358" s="158" t="s">
        <v>2689</v>
      </c>
      <c r="H358" s="158" t="s">
        <v>2690</v>
      </c>
      <c r="I358" s="159"/>
      <c r="J358" s="159"/>
      <c r="K358" s="159"/>
      <c r="L358" s="188"/>
      <c r="M358" s="188"/>
      <c r="N358" s="157"/>
      <c r="O358" s="145"/>
      <c r="P358" s="145"/>
      <c r="Q358" s="159"/>
      <c r="R358" s="159"/>
      <c r="S358" s="166"/>
      <c r="T358" s="159"/>
      <c r="U358" s="159"/>
      <c r="V358" s="159"/>
      <c r="W358" s="159"/>
      <c r="X358" s="159"/>
      <c r="Y358" s="159"/>
      <c r="Z358" s="188">
        <v>45520</v>
      </c>
      <c r="AA358" s="188">
        <v>46614</v>
      </c>
      <c r="AB358" s="166"/>
      <c r="AC358" s="166"/>
      <c r="AD358" s="145"/>
      <c r="AE358" s="145"/>
      <c r="AF358" s="150"/>
      <c r="AG358" s="155"/>
      <c r="AH358" s="143"/>
      <c r="AI358" s="300"/>
      <c r="AJ358" s="195"/>
      <c r="AK358" s="195"/>
      <c r="AL358" s="295"/>
      <c r="AM358" s="295"/>
      <c r="AN358" s="295"/>
      <c r="AO358" s="295"/>
      <c r="AP358" s="295"/>
      <c r="AQ358" s="295"/>
      <c r="AR358" s="295"/>
      <c r="AS358" s="295"/>
    </row>
    <row r="359" spans="1:45" s="296" customFormat="1" ht="26.4" x14ac:dyDescent="0.3">
      <c r="A359" s="292" t="s">
        <v>3263</v>
      </c>
      <c r="B359" s="143"/>
      <c r="C359" s="160" t="s">
        <v>3327</v>
      </c>
      <c r="D359" s="160" t="s">
        <v>2748</v>
      </c>
      <c r="E359" s="144"/>
      <c r="F359" s="166"/>
      <c r="G359" s="158" t="s">
        <v>2689</v>
      </c>
      <c r="H359" s="158" t="s">
        <v>2690</v>
      </c>
      <c r="I359" s="159"/>
      <c r="J359" s="159"/>
      <c r="K359" s="159"/>
      <c r="L359" s="188"/>
      <c r="M359" s="188"/>
      <c r="N359" s="157"/>
      <c r="O359" s="145"/>
      <c r="P359" s="145"/>
      <c r="Q359" s="159"/>
      <c r="R359" s="159"/>
      <c r="S359" s="166"/>
      <c r="T359" s="159"/>
      <c r="U359" s="159"/>
      <c r="V359" s="159"/>
      <c r="W359" s="159"/>
      <c r="X359" s="159"/>
      <c r="Y359" s="159"/>
      <c r="Z359" s="188">
        <v>45548</v>
      </c>
      <c r="AA359" s="188">
        <v>46642</v>
      </c>
      <c r="AB359" s="166"/>
      <c r="AC359" s="166"/>
      <c r="AD359" s="145"/>
      <c r="AE359" s="145"/>
      <c r="AF359" s="150"/>
      <c r="AG359" s="155"/>
      <c r="AH359" s="143"/>
      <c r="AI359" s="300"/>
      <c r="AJ359" s="195"/>
      <c r="AK359" s="195"/>
      <c r="AL359" s="295"/>
      <c r="AM359" s="295"/>
      <c r="AN359" s="295"/>
      <c r="AO359" s="295"/>
      <c r="AP359" s="295"/>
      <c r="AQ359" s="295"/>
      <c r="AR359" s="295"/>
      <c r="AS359" s="295"/>
    </row>
    <row r="360" spans="1:45" s="296" customFormat="1" x14ac:dyDescent="0.3">
      <c r="A360" s="292" t="s">
        <v>3263</v>
      </c>
      <c r="B360" s="143"/>
      <c r="C360" s="160" t="s">
        <v>3328</v>
      </c>
      <c r="D360" s="160" t="s">
        <v>2746</v>
      </c>
      <c r="E360" s="144"/>
      <c r="F360" s="166"/>
      <c r="G360" s="158" t="s">
        <v>2460</v>
      </c>
      <c r="H360" s="158" t="s">
        <v>2461</v>
      </c>
      <c r="I360" s="159"/>
      <c r="J360" s="159"/>
      <c r="K360" s="159"/>
      <c r="L360" s="188"/>
      <c r="M360" s="188"/>
      <c r="N360" s="157"/>
      <c r="O360" s="145"/>
      <c r="P360" s="145"/>
      <c r="Q360" s="159"/>
      <c r="R360" s="159"/>
      <c r="S360" s="166"/>
      <c r="T360" s="159"/>
      <c r="U360" s="159"/>
      <c r="V360" s="159"/>
      <c r="W360" s="159"/>
      <c r="X360" s="159"/>
      <c r="Y360" s="159"/>
      <c r="Z360" s="188">
        <v>45609</v>
      </c>
      <c r="AA360" s="188">
        <v>46154</v>
      </c>
      <c r="AB360" s="166"/>
      <c r="AC360" s="166"/>
      <c r="AD360" s="145"/>
      <c r="AE360" s="145"/>
      <c r="AF360" s="150"/>
      <c r="AG360" s="155"/>
      <c r="AH360" s="143"/>
      <c r="AI360" s="300"/>
      <c r="AJ360" s="195"/>
      <c r="AK360" s="195"/>
      <c r="AL360" s="295"/>
      <c r="AM360" s="295"/>
      <c r="AN360" s="295"/>
      <c r="AO360" s="295"/>
      <c r="AP360" s="295"/>
      <c r="AQ360" s="295"/>
      <c r="AR360" s="295"/>
      <c r="AS360" s="295"/>
    </row>
    <row r="361" spans="1:45" s="296" customFormat="1" ht="26.4" x14ac:dyDescent="0.3">
      <c r="A361" s="292" t="s">
        <v>3263</v>
      </c>
      <c r="B361" s="143"/>
      <c r="C361" s="160" t="s">
        <v>3329</v>
      </c>
      <c r="D361" s="160" t="s">
        <v>2744</v>
      </c>
      <c r="E361" s="144"/>
      <c r="F361" s="166"/>
      <c r="G361" s="158" t="s">
        <v>2460</v>
      </c>
      <c r="H361" s="158" t="s">
        <v>2461</v>
      </c>
      <c r="I361" s="159"/>
      <c r="J361" s="159"/>
      <c r="K361" s="159"/>
      <c r="L361" s="188"/>
      <c r="M361" s="188"/>
      <c r="N361" s="157"/>
      <c r="O361" s="145"/>
      <c r="P361" s="145"/>
      <c r="Q361" s="159"/>
      <c r="R361" s="159"/>
      <c r="S361" s="166"/>
      <c r="T361" s="159"/>
      <c r="U361" s="159"/>
      <c r="V361" s="159"/>
      <c r="W361" s="159"/>
      <c r="X361" s="159"/>
      <c r="Y361" s="159"/>
      <c r="Z361" s="188">
        <v>45609</v>
      </c>
      <c r="AA361" s="188">
        <v>46154</v>
      </c>
      <c r="AB361" s="166"/>
      <c r="AC361" s="166"/>
      <c r="AD361" s="145"/>
      <c r="AE361" s="145"/>
      <c r="AF361" s="150"/>
      <c r="AG361" s="155"/>
      <c r="AH361" s="143"/>
      <c r="AI361" s="300"/>
      <c r="AJ361" s="195"/>
      <c r="AK361" s="195"/>
      <c r="AL361" s="295"/>
      <c r="AM361" s="295"/>
      <c r="AN361" s="295"/>
      <c r="AO361" s="295"/>
      <c r="AP361" s="295"/>
      <c r="AQ361" s="295"/>
      <c r="AR361" s="295"/>
      <c r="AS361" s="295"/>
    </row>
    <row r="362" spans="1:45" s="296" customFormat="1" ht="26.4" x14ac:dyDescent="0.3">
      <c r="A362" s="292" t="s">
        <v>3263</v>
      </c>
      <c r="B362" s="143"/>
      <c r="C362" s="160" t="s">
        <v>3330</v>
      </c>
      <c r="D362" s="160" t="s">
        <v>2742</v>
      </c>
      <c r="E362" s="144"/>
      <c r="F362" s="166"/>
      <c r="G362" s="158" t="s">
        <v>2460</v>
      </c>
      <c r="H362" s="158" t="s">
        <v>2461</v>
      </c>
      <c r="I362" s="159"/>
      <c r="J362" s="159"/>
      <c r="K362" s="159"/>
      <c r="L362" s="188"/>
      <c r="M362" s="188"/>
      <c r="N362" s="157"/>
      <c r="O362" s="145"/>
      <c r="P362" s="145"/>
      <c r="Q362" s="159"/>
      <c r="R362" s="159"/>
      <c r="S362" s="166"/>
      <c r="T362" s="159"/>
      <c r="U362" s="159"/>
      <c r="V362" s="159"/>
      <c r="W362" s="159"/>
      <c r="X362" s="159"/>
      <c r="Y362" s="159"/>
      <c r="Z362" s="188">
        <v>45569</v>
      </c>
      <c r="AA362" s="188">
        <v>46115</v>
      </c>
      <c r="AB362" s="166"/>
      <c r="AC362" s="166"/>
      <c r="AD362" s="145"/>
      <c r="AE362" s="145"/>
      <c r="AF362" s="150"/>
      <c r="AG362" s="155"/>
      <c r="AH362" s="143"/>
      <c r="AI362" s="300"/>
      <c r="AJ362" s="195"/>
      <c r="AK362" s="195"/>
      <c r="AL362" s="295"/>
      <c r="AM362" s="295"/>
      <c r="AN362" s="295"/>
      <c r="AO362" s="295"/>
      <c r="AP362" s="295"/>
      <c r="AQ362" s="295"/>
      <c r="AR362" s="295"/>
      <c r="AS362" s="295"/>
    </row>
    <row r="363" spans="1:45" s="296" customFormat="1" ht="26.4" x14ac:dyDescent="0.3">
      <c r="A363" s="292" t="s">
        <v>3263</v>
      </c>
      <c r="B363" s="143"/>
      <c r="C363" s="160" t="s">
        <v>3331</v>
      </c>
      <c r="D363" s="160" t="s">
        <v>2740</v>
      </c>
      <c r="E363" s="144"/>
      <c r="F363" s="166"/>
      <c r="G363" s="158" t="s">
        <v>2460</v>
      </c>
      <c r="H363" s="158" t="s">
        <v>2461</v>
      </c>
      <c r="I363" s="159"/>
      <c r="J363" s="159"/>
      <c r="K363" s="159"/>
      <c r="L363" s="188"/>
      <c r="M363" s="188"/>
      <c r="N363" s="157"/>
      <c r="O363" s="145"/>
      <c r="P363" s="145"/>
      <c r="Q363" s="159"/>
      <c r="R363" s="159"/>
      <c r="S363" s="166"/>
      <c r="T363" s="159"/>
      <c r="U363" s="159"/>
      <c r="V363" s="159"/>
      <c r="W363" s="159"/>
      <c r="X363" s="159"/>
      <c r="Y363" s="159"/>
      <c r="Z363" s="188">
        <v>45597</v>
      </c>
      <c r="AA363" s="188">
        <v>46142</v>
      </c>
      <c r="AB363" s="166"/>
      <c r="AC363" s="166"/>
      <c r="AD363" s="145"/>
      <c r="AE363" s="145"/>
      <c r="AF363" s="150"/>
      <c r="AG363" s="155"/>
      <c r="AH363" s="143"/>
      <c r="AI363" s="300"/>
      <c r="AJ363" s="195"/>
      <c r="AK363" s="195"/>
      <c r="AL363" s="295"/>
      <c r="AM363" s="295"/>
      <c r="AN363" s="295"/>
      <c r="AO363" s="295"/>
      <c r="AP363" s="295"/>
      <c r="AQ363" s="295"/>
      <c r="AR363" s="295"/>
      <c r="AS363" s="295"/>
    </row>
    <row r="364" spans="1:45" s="296" customFormat="1" ht="39.6" x14ac:dyDescent="0.3">
      <c r="A364" s="292" t="s">
        <v>3263</v>
      </c>
      <c r="B364" s="143"/>
      <c r="C364" s="160" t="s">
        <v>3332</v>
      </c>
      <c r="D364" s="160" t="s">
        <v>2738</v>
      </c>
      <c r="E364" s="144"/>
      <c r="F364" s="166"/>
      <c r="G364" s="158" t="s">
        <v>2460</v>
      </c>
      <c r="H364" s="158" t="s">
        <v>2461</v>
      </c>
      <c r="I364" s="159"/>
      <c r="J364" s="159"/>
      <c r="K364" s="159"/>
      <c r="L364" s="188"/>
      <c r="M364" s="188"/>
      <c r="N364" s="157"/>
      <c r="O364" s="145"/>
      <c r="P364" s="145"/>
      <c r="Q364" s="159"/>
      <c r="R364" s="159"/>
      <c r="S364" s="166"/>
      <c r="T364" s="159"/>
      <c r="U364" s="159"/>
      <c r="V364" s="159"/>
      <c r="W364" s="159"/>
      <c r="X364" s="159"/>
      <c r="Y364" s="159"/>
      <c r="Z364" s="188">
        <v>45597</v>
      </c>
      <c r="AA364" s="188">
        <v>46142</v>
      </c>
      <c r="AB364" s="166"/>
      <c r="AC364" s="166"/>
      <c r="AD364" s="145"/>
      <c r="AE364" s="145"/>
      <c r="AF364" s="150"/>
      <c r="AG364" s="155"/>
      <c r="AH364" s="143"/>
      <c r="AI364" s="300"/>
      <c r="AJ364" s="195"/>
      <c r="AK364" s="195"/>
      <c r="AL364" s="295"/>
      <c r="AM364" s="295"/>
      <c r="AN364" s="295"/>
      <c r="AO364" s="295"/>
      <c r="AP364" s="295"/>
      <c r="AQ364" s="295"/>
      <c r="AR364" s="295"/>
      <c r="AS364" s="295"/>
    </row>
    <row r="365" spans="1:45" s="296" customFormat="1" ht="39.6" x14ac:dyDescent="0.3">
      <c r="A365" s="292" t="s">
        <v>3263</v>
      </c>
      <c r="B365" s="143"/>
      <c r="C365" s="160" t="s">
        <v>3333</v>
      </c>
      <c r="D365" s="160" t="s">
        <v>2736</v>
      </c>
      <c r="E365" s="144"/>
      <c r="F365" s="166"/>
      <c r="G365" s="158" t="s">
        <v>2460</v>
      </c>
      <c r="H365" s="158" t="s">
        <v>2461</v>
      </c>
      <c r="I365" s="159"/>
      <c r="J365" s="159"/>
      <c r="K365" s="159"/>
      <c r="L365" s="188"/>
      <c r="M365" s="188"/>
      <c r="N365" s="157"/>
      <c r="O365" s="145"/>
      <c r="P365" s="145"/>
      <c r="Q365" s="159"/>
      <c r="R365" s="159"/>
      <c r="S365" s="166"/>
      <c r="T365" s="159"/>
      <c r="U365" s="159"/>
      <c r="V365" s="159"/>
      <c r="W365" s="159"/>
      <c r="X365" s="159"/>
      <c r="Y365" s="159"/>
      <c r="Z365" s="188">
        <v>45597</v>
      </c>
      <c r="AA365" s="188">
        <v>46142</v>
      </c>
      <c r="AB365" s="166"/>
      <c r="AC365" s="166"/>
      <c r="AD365" s="145"/>
      <c r="AE365" s="145"/>
      <c r="AF365" s="150"/>
      <c r="AG365" s="155"/>
      <c r="AH365" s="143"/>
      <c r="AI365" s="300"/>
      <c r="AJ365" s="195"/>
      <c r="AK365" s="195"/>
      <c r="AL365" s="295"/>
      <c r="AM365" s="295"/>
      <c r="AN365" s="295"/>
      <c r="AO365" s="295"/>
      <c r="AP365" s="295"/>
      <c r="AQ365" s="295"/>
      <c r="AR365" s="295"/>
      <c r="AS365" s="295"/>
    </row>
    <row r="366" spans="1:45" s="296" customFormat="1" ht="26.4" x14ac:dyDescent="0.3">
      <c r="A366" s="292" t="s">
        <v>3263</v>
      </c>
      <c r="B366" s="143"/>
      <c r="C366" s="160" t="s">
        <v>3334</v>
      </c>
      <c r="D366" s="160" t="s">
        <v>2734</v>
      </c>
      <c r="E366" s="144"/>
      <c r="F366" s="166"/>
      <c r="G366" s="158" t="s">
        <v>2460</v>
      </c>
      <c r="H366" s="158" t="s">
        <v>2461</v>
      </c>
      <c r="I366" s="159"/>
      <c r="J366" s="159"/>
      <c r="K366" s="159"/>
      <c r="L366" s="188"/>
      <c r="M366" s="188"/>
      <c r="N366" s="157"/>
      <c r="O366" s="145"/>
      <c r="P366" s="145"/>
      <c r="Q366" s="159"/>
      <c r="R366" s="159"/>
      <c r="S366" s="166"/>
      <c r="T366" s="159"/>
      <c r="U366" s="159"/>
      <c r="V366" s="159"/>
      <c r="W366" s="159"/>
      <c r="X366" s="159"/>
      <c r="Y366" s="159"/>
      <c r="Z366" s="188">
        <v>45597</v>
      </c>
      <c r="AA366" s="188">
        <v>46142</v>
      </c>
      <c r="AB366" s="166"/>
      <c r="AC366" s="166"/>
      <c r="AD366" s="145"/>
      <c r="AE366" s="145"/>
      <c r="AF366" s="150"/>
      <c r="AG366" s="155"/>
      <c r="AH366" s="143"/>
      <c r="AI366" s="300"/>
      <c r="AJ366" s="195"/>
      <c r="AK366" s="195"/>
      <c r="AL366" s="295"/>
      <c r="AM366" s="295"/>
      <c r="AN366" s="295"/>
      <c r="AO366" s="295"/>
      <c r="AP366" s="295"/>
      <c r="AQ366" s="295"/>
      <c r="AR366" s="295"/>
      <c r="AS366" s="295"/>
    </row>
    <row r="367" spans="1:45" s="296" customFormat="1" ht="26.4" x14ac:dyDescent="0.3">
      <c r="A367" s="292" t="s">
        <v>3263</v>
      </c>
      <c r="B367" s="143"/>
      <c r="C367" s="160" t="s">
        <v>3335</v>
      </c>
      <c r="D367" s="160" t="s">
        <v>2732</v>
      </c>
      <c r="E367" s="144"/>
      <c r="F367" s="166"/>
      <c r="G367" s="158" t="s">
        <v>2460</v>
      </c>
      <c r="H367" s="158" t="s">
        <v>2461</v>
      </c>
      <c r="I367" s="159"/>
      <c r="J367" s="159"/>
      <c r="K367" s="159"/>
      <c r="L367" s="188"/>
      <c r="M367" s="188"/>
      <c r="N367" s="157"/>
      <c r="O367" s="145"/>
      <c r="P367" s="145"/>
      <c r="Q367" s="159"/>
      <c r="R367" s="159"/>
      <c r="S367" s="166"/>
      <c r="T367" s="159"/>
      <c r="U367" s="159"/>
      <c r="V367" s="159"/>
      <c r="W367" s="159"/>
      <c r="X367" s="159"/>
      <c r="Y367" s="159"/>
      <c r="Z367" s="188">
        <v>45597</v>
      </c>
      <c r="AA367" s="188">
        <v>46142</v>
      </c>
      <c r="AB367" s="166"/>
      <c r="AC367" s="166"/>
      <c r="AD367" s="145"/>
      <c r="AE367" s="145"/>
      <c r="AF367" s="150"/>
      <c r="AG367" s="155"/>
      <c r="AH367" s="143"/>
      <c r="AI367" s="300"/>
      <c r="AJ367" s="195"/>
      <c r="AK367" s="195"/>
      <c r="AL367" s="295"/>
      <c r="AM367" s="295"/>
      <c r="AN367" s="295"/>
      <c r="AO367" s="295"/>
      <c r="AP367" s="295"/>
      <c r="AQ367" s="295"/>
      <c r="AR367" s="295"/>
      <c r="AS367" s="295"/>
    </row>
    <row r="368" spans="1:45" s="296" customFormat="1" ht="26.4" x14ac:dyDescent="0.3">
      <c r="A368" s="292" t="s">
        <v>3263</v>
      </c>
      <c r="B368" s="143"/>
      <c r="C368" s="160" t="s">
        <v>3336</v>
      </c>
      <c r="D368" s="160" t="s">
        <v>2730</v>
      </c>
      <c r="E368" s="144"/>
      <c r="F368" s="166"/>
      <c r="G368" s="158" t="s">
        <v>2460</v>
      </c>
      <c r="H368" s="158" t="s">
        <v>2461</v>
      </c>
      <c r="I368" s="159"/>
      <c r="J368" s="159"/>
      <c r="K368" s="159"/>
      <c r="L368" s="188"/>
      <c r="M368" s="188"/>
      <c r="N368" s="157"/>
      <c r="O368" s="145"/>
      <c r="P368" s="145"/>
      <c r="Q368" s="159"/>
      <c r="R368" s="159"/>
      <c r="S368" s="166"/>
      <c r="T368" s="159"/>
      <c r="U368" s="159"/>
      <c r="V368" s="159"/>
      <c r="W368" s="159"/>
      <c r="X368" s="159"/>
      <c r="Y368" s="159"/>
      <c r="Z368" s="188">
        <v>45569</v>
      </c>
      <c r="AA368" s="188">
        <v>46115</v>
      </c>
      <c r="AB368" s="166"/>
      <c r="AC368" s="166"/>
      <c r="AD368" s="145"/>
      <c r="AE368" s="145"/>
      <c r="AF368" s="150"/>
      <c r="AG368" s="155"/>
      <c r="AH368" s="143"/>
      <c r="AI368" s="300"/>
      <c r="AJ368" s="195"/>
      <c r="AK368" s="195"/>
      <c r="AL368" s="295"/>
      <c r="AM368" s="295"/>
      <c r="AN368" s="295"/>
      <c r="AO368" s="295"/>
      <c r="AP368" s="295"/>
      <c r="AQ368" s="295"/>
      <c r="AR368" s="295"/>
      <c r="AS368" s="295"/>
    </row>
    <row r="369" spans="1:45" s="296" customFormat="1" ht="26.4" x14ac:dyDescent="0.3">
      <c r="A369" s="292" t="s">
        <v>3263</v>
      </c>
      <c r="B369" s="143"/>
      <c r="C369" s="160" t="s">
        <v>3337</v>
      </c>
      <c r="D369" s="160" t="s">
        <v>2728</v>
      </c>
      <c r="E369" s="144"/>
      <c r="F369" s="166"/>
      <c r="G369" s="158" t="s">
        <v>2460</v>
      </c>
      <c r="H369" s="158" t="s">
        <v>2461</v>
      </c>
      <c r="I369" s="159"/>
      <c r="J369" s="159"/>
      <c r="K369" s="159"/>
      <c r="L369" s="188"/>
      <c r="M369" s="188"/>
      <c r="N369" s="157"/>
      <c r="O369" s="145"/>
      <c r="P369" s="145"/>
      <c r="Q369" s="159"/>
      <c r="R369" s="159"/>
      <c r="S369" s="166"/>
      <c r="T369" s="159"/>
      <c r="U369" s="159"/>
      <c r="V369" s="159"/>
      <c r="W369" s="159"/>
      <c r="X369" s="159"/>
      <c r="Y369" s="159"/>
      <c r="Z369" s="188">
        <v>45583</v>
      </c>
      <c r="AA369" s="188">
        <v>46129</v>
      </c>
      <c r="AB369" s="166"/>
      <c r="AC369" s="166"/>
      <c r="AD369" s="145"/>
      <c r="AE369" s="145"/>
      <c r="AF369" s="150"/>
      <c r="AG369" s="155"/>
      <c r="AH369" s="143"/>
      <c r="AI369" s="300"/>
      <c r="AJ369" s="195"/>
      <c r="AK369" s="195"/>
      <c r="AL369" s="295"/>
      <c r="AM369" s="295"/>
      <c r="AN369" s="295"/>
      <c r="AO369" s="295"/>
      <c r="AP369" s="295"/>
      <c r="AQ369" s="295"/>
      <c r="AR369" s="295"/>
      <c r="AS369" s="295"/>
    </row>
    <row r="370" spans="1:45" s="296" customFormat="1" ht="26.4" x14ac:dyDescent="0.3">
      <c r="A370" s="292" t="s">
        <v>3263</v>
      </c>
      <c r="B370" s="143"/>
      <c r="C370" s="160" t="s">
        <v>3338</v>
      </c>
      <c r="D370" s="160" t="s">
        <v>2692</v>
      </c>
      <c r="E370" s="144"/>
      <c r="F370" s="166"/>
      <c r="G370" s="158" t="s">
        <v>2689</v>
      </c>
      <c r="H370" s="158" t="s">
        <v>2690</v>
      </c>
      <c r="I370" s="159"/>
      <c r="J370" s="159"/>
      <c r="K370" s="159"/>
      <c r="L370" s="188"/>
      <c r="M370" s="188"/>
      <c r="N370" s="157"/>
      <c r="O370" s="145"/>
      <c r="P370" s="145"/>
      <c r="Q370" s="159"/>
      <c r="R370" s="159"/>
      <c r="S370" s="166"/>
      <c r="T370" s="159"/>
      <c r="U370" s="159"/>
      <c r="V370" s="159"/>
      <c r="W370" s="159"/>
      <c r="X370" s="159"/>
      <c r="Y370" s="159"/>
      <c r="Z370" s="188">
        <v>45637</v>
      </c>
      <c r="AA370" s="188">
        <v>46731</v>
      </c>
      <c r="AB370" s="166"/>
      <c r="AC370" s="166"/>
      <c r="AD370" s="145"/>
      <c r="AE370" s="145"/>
      <c r="AF370" s="150"/>
      <c r="AG370" s="155"/>
      <c r="AH370" s="143"/>
      <c r="AI370" s="300"/>
      <c r="AJ370" s="195"/>
      <c r="AK370" s="195"/>
      <c r="AL370" s="295"/>
      <c r="AM370" s="295"/>
      <c r="AN370" s="295"/>
      <c r="AO370" s="295"/>
      <c r="AP370" s="295"/>
      <c r="AQ370" s="295"/>
      <c r="AR370" s="295"/>
      <c r="AS370" s="295"/>
    </row>
    <row r="371" spans="1:45" s="296" customFormat="1" ht="52.8" x14ac:dyDescent="0.3">
      <c r="A371" s="292" t="s">
        <v>3263</v>
      </c>
      <c r="B371" s="143"/>
      <c r="C371" s="160" t="s">
        <v>3339</v>
      </c>
      <c r="D371" s="160" t="s">
        <v>2688</v>
      </c>
      <c r="E371" s="144"/>
      <c r="F371" s="166"/>
      <c r="G371" s="158" t="s">
        <v>2689</v>
      </c>
      <c r="H371" s="158" t="s">
        <v>2690</v>
      </c>
      <c r="I371" s="159"/>
      <c r="J371" s="159"/>
      <c r="K371" s="159"/>
      <c r="L371" s="188"/>
      <c r="M371" s="188"/>
      <c r="N371" s="157"/>
      <c r="O371" s="145"/>
      <c r="P371" s="145"/>
      <c r="Q371" s="159"/>
      <c r="R371" s="159"/>
      <c r="S371" s="166"/>
      <c r="T371" s="159"/>
      <c r="U371" s="159"/>
      <c r="V371" s="159"/>
      <c r="W371" s="159"/>
      <c r="X371" s="159"/>
      <c r="Y371" s="159"/>
      <c r="Z371" s="188">
        <v>45637</v>
      </c>
      <c r="AA371" s="188">
        <v>46731</v>
      </c>
      <c r="AB371" s="166"/>
      <c r="AC371" s="166"/>
      <c r="AD371" s="145"/>
      <c r="AE371" s="145"/>
      <c r="AF371" s="150"/>
      <c r="AG371" s="155"/>
      <c r="AH371" s="143"/>
      <c r="AI371" s="300"/>
      <c r="AJ371" s="195"/>
      <c r="AK371" s="195"/>
      <c r="AL371" s="295"/>
      <c r="AM371" s="295"/>
      <c r="AN371" s="295"/>
      <c r="AO371" s="295"/>
      <c r="AP371" s="295"/>
      <c r="AQ371" s="295"/>
      <c r="AR371" s="295"/>
      <c r="AS371" s="295"/>
    </row>
    <row r="372" spans="1:45" s="296" customFormat="1" ht="26.4" x14ac:dyDescent="0.3">
      <c r="A372" s="292" t="s">
        <v>3263</v>
      </c>
      <c r="B372" s="143"/>
      <c r="C372" s="160" t="s">
        <v>3340</v>
      </c>
      <c r="D372" s="160" t="s">
        <v>2661</v>
      </c>
      <c r="E372" s="144"/>
      <c r="F372" s="166"/>
      <c r="G372" s="158" t="s">
        <v>2662</v>
      </c>
      <c r="H372" s="158" t="s">
        <v>2663</v>
      </c>
      <c r="I372" s="159"/>
      <c r="J372" s="159"/>
      <c r="K372" s="159"/>
      <c r="L372" s="188"/>
      <c r="M372" s="188"/>
      <c r="N372" s="157"/>
      <c r="O372" s="145"/>
      <c r="P372" s="145"/>
      <c r="Q372" s="159"/>
      <c r="R372" s="159"/>
      <c r="S372" s="166"/>
      <c r="T372" s="159"/>
      <c r="U372" s="159"/>
      <c r="V372" s="159"/>
      <c r="W372" s="159"/>
      <c r="X372" s="159"/>
      <c r="Y372" s="159"/>
      <c r="Z372" s="188">
        <v>45665</v>
      </c>
      <c r="AA372" s="188">
        <v>46029</v>
      </c>
      <c r="AB372" s="166"/>
      <c r="AC372" s="166"/>
      <c r="AD372" s="145"/>
      <c r="AE372" s="145"/>
      <c r="AF372" s="150"/>
      <c r="AG372" s="155"/>
      <c r="AH372" s="143"/>
      <c r="AI372" s="300"/>
      <c r="AJ372" s="195"/>
      <c r="AK372" s="195"/>
      <c r="AL372" s="295"/>
      <c r="AM372" s="295"/>
      <c r="AN372" s="295"/>
      <c r="AO372" s="295"/>
      <c r="AP372" s="295"/>
      <c r="AQ372" s="295"/>
      <c r="AR372" s="295"/>
      <c r="AS372" s="295"/>
    </row>
    <row r="373" spans="1:45" s="296" customFormat="1" x14ac:dyDescent="0.3">
      <c r="A373" s="292" t="s">
        <v>3263</v>
      </c>
      <c r="B373" s="143"/>
      <c r="C373" s="160" t="s">
        <v>3341</v>
      </c>
      <c r="D373" s="160" t="s">
        <v>2659</v>
      </c>
      <c r="E373" s="144"/>
      <c r="F373" s="166"/>
      <c r="G373" s="158" t="s">
        <v>2648</v>
      </c>
      <c r="H373" s="158" t="s">
        <v>2649</v>
      </c>
      <c r="I373" s="159"/>
      <c r="J373" s="159"/>
      <c r="K373" s="159"/>
      <c r="L373" s="188"/>
      <c r="M373" s="188"/>
      <c r="N373" s="157"/>
      <c r="O373" s="145"/>
      <c r="P373" s="145"/>
      <c r="Q373" s="159"/>
      <c r="R373" s="159"/>
      <c r="S373" s="166"/>
      <c r="T373" s="159"/>
      <c r="U373" s="159"/>
      <c r="V373" s="159"/>
      <c r="W373" s="159"/>
      <c r="X373" s="159"/>
      <c r="Y373" s="159"/>
      <c r="Z373" s="188">
        <v>45659</v>
      </c>
      <c r="AA373" s="188">
        <v>46753</v>
      </c>
      <c r="AB373" s="166"/>
      <c r="AC373" s="166"/>
      <c r="AD373" s="145"/>
      <c r="AE373" s="145"/>
      <c r="AF373" s="150"/>
      <c r="AG373" s="155"/>
      <c r="AH373" s="143"/>
      <c r="AI373" s="300"/>
      <c r="AJ373" s="195"/>
      <c r="AK373" s="195"/>
      <c r="AL373" s="295"/>
      <c r="AM373" s="295"/>
      <c r="AN373" s="295"/>
      <c r="AO373" s="295"/>
      <c r="AP373" s="295"/>
      <c r="AQ373" s="295"/>
      <c r="AR373" s="295"/>
      <c r="AS373" s="295"/>
    </row>
    <row r="374" spans="1:45" s="296" customFormat="1" ht="39.6" x14ac:dyDescent="0.3">
      <c r="A374" s="292" t="s">
        <v>3263</v>
      </c>
      <c r="B374" s="143"/>
      <c r="C374" s="160" t="s">
        <v>3342</v>
      </c>
      <c r="D374" s="160" t="s">
        <v>2656</v>
      </c>
      <c r="E374" s="144"/>
      <c r="F374" s="166"/>
      <c r="G374" s="158" t="s">
        <v>2648</v>
      </c>
      <c r="H374" s="158" t="s">
        <v>2649</v>
      </c>
      <c r="I374" s="159"/>
      <c r="J374" s="159"/>
      <c r="K374" s="159"/>
      <c r="L374" s="188"/>
      <c r="M374" s="188"/>
      <c r="N374" s="157"/>
      <c r="O374" s="145"/>
      <c r="P374" s="145"/>
      <c r="Q374" s="159"/>
      <c r="R374" s="159"/>
      <c r="S374" s="166"/>
      <c r="T374" s="159"/>
      <c r="U374" s="159"/>
      <c r="V374" s="159"/>
      <c r="W374" s="159"/>
      <c r="X374" s="159"/>
      <c r="Y374" s="159"/>
      <c r="Z374" s="188">
        <v>45681</v>
      </c>
      <c r="AA374" s="188">
        <v>46775</v>
      </c>
      <c r="AB374" s="166"/>
      <c r="AC374" s="166"/>
      <c r="AD374" s="145"/>
      <c r="AE374" s="145"/>
      <c r="AF374" s="150"/>
      <c r="AG374" s="155"/>
      <c r="AH374" s="143"/>
      <c r="AI374" s="300"/>
      <c r="AJ374" s="195"/>
      <c r="AK374" s="195"/>
      <c r="AL374" s="295"/>
      <c r="AM374" s="295"/>
      <c r="AN374" s="295"/>
      <c r="AO374" s="295"/>
      <c r="AP374" s="295"/>
      <c r="AQ374" s="295"/>
      <c r="AR374" s="295"/>
      <c r="AS374" s="295"/>
    </row>
    <row r="375" spans="1:45" s="296" customFormat="1" ht="39.6" x14ac:dyDescent="0.3">
      <c r="A375" s="292" t="s">
        <v>3263</v>
      </c>
      <c r="B375" s="143"/>
      <c r="C375" s="160" t="s">
        <v>3343</v>
      </c>
      <c r="D375" s="160" t="s">
        <v>2632</v>
      </c>
      <c r="E375" s="144"/>
      <c r="F375" s="166"/>
      <c r="G375" s="158" t="s">
        <v>2633</v>
      </c>
      <c r="H375" s="158" t="s">
        <v>2634</v>
      </c>
      <c r="I375" s="159"/>
      <c r="J375" s="159"/>
      <c r="K375" s="159"/>
      <c r="L375" s="188"/>
      <c r="M375" s="188"/>
      <c r="N375" s="157"/>
      <c r="O375" s="145"/>
      <c r="P375" s="145"/>
      <c r="Q375" s="159"/>
      <c r="R375" s="159"/>
      <c r="S375" s="166"/>
      <c r="T375" s="159"/>
      <c r="U375" s="159"/>
      <c r="V375" s="159"/>
      <c r="W375" s="159"/>
      <c r="X375" s="159"/>
      <c r="Y375" s="159"/>
      <c r="Z375" s="188">
        <v>45688</v>
      </c>
      <c r="AA375" s="188">
        <v>46052</v>
      </c>
      <c r="AB375" s="166"/>
      <c r="AC375" s="166"/>
      <c r="AD375" s="145"/>
      <c r="AE375" s="145"/>
      <c r="AF375" s="150"/>
      <c r="AG375" s="155"/>
      <c r="AH375" s="143"/>
      <c r="AI375" s="300"/>
      <c r="AJ375" s="195"/>
      <c r="AK375" s="195"/>
      <c r="AL375" s="295"/>
      <c r="AM375" s="295"/>
      <c r="AN375" s="295"/>
      <c r="AO375" s="295"/>
      <c r="AP375" s="295"/>
      <c r="AQ375" s="295"/>
      <c r="AR375" s="295"/>
      <c r="AS375" s="295"/>
    </row>
    <row r="376" spans="1:45" s="296" customFormat="1" x14ac:dyDescent="0.3">
      <c r="A376" s="292" t="s">
        <v>3263</v>
      </c>
      <c r="B376" s="143"/>
      <c r="C376" s="160" t="s">
        <v>3344</v>
      </c>
      <c r="D376" s="160" t="s">
        <v>2609</v>
      </c>
      <c r="E376" s="144"/>
      <c r="F376" s="166"/>
      <c r="G376" s="158" t="s">
        <v>2603</v>
      </c>
      <c r="H376" s="158" t="s">
        <v>2604</v>
      </c>
      <c r="I376" s="159"/>
      <c r="J376" s="159"/>
      <c r="K376" s="159"/>
      <c r="L376" s="188"/>
      <c r="M376" s="188"/>
      <c r="N376" s="157"/>
      <c r="O376" s="145"/>
      <c r="P376" s="145"/>
      <c r="Q376" s="159"/>
      <c r="R376" s="159"/>
      <c r="S376" s="166"/>
      <c r="T376" s="159"/>
      <c r="U376" s="159"/>
      <c r="V376" s="159"/>
      <c r="W376" s="159"/>
      <c r="X376" s="159"/>
      <c r="Y376" s="159"/>
      <c r="Z376" s="188">
        <v>45807</v>
      </c>
      <c r="AA376" s="188">
        <v>46902</v>
      </c>
      <c r="AB376" s="166"/>
      <c r="AC376" s="166"/>
      <c r="AD376" s="145"/>
      <c r="AE376" s="145"/>
      <c r="AF376" s="150"/>
      <c r="AG376" s="155"/>
      <c r="AH376" s="143"/>
      <c r="AI376" s="300"/>
      <c r="AJ376" s="195"/>
      <c r="AK376" s="195"/>
      <c r="AL376" s="295"/>
      <c r="AM376" s="295"/>
      <c r="AN376" s="295"/>
      <c r="AO376" s="295"/>
      <c r="AP376" s="295"/>
      <c r="AQ376" s="295"/>
      <c r="AR376" s="295"/>
      <c r="AS376" s="295"/>
    </row>
    <row r="378" spans="1:45" x14ac:dyDescent="0.25">
      <c r="A378" s="318" t="s">
        <v>3262</v>
      </c>
    </row>
    <row r="379" spans="1:45" x14ac:dyDescent="0.25">
      <c r="A379" s="320" t="s">
        <v>3256</v>
      </c>
    </row>
    <row r="380" spans="1:45" s="296" customFormat="1" ht="26.4" x14ac:dyDescent="0.3">
      <c r="A380" s="321"/>
      <c r="C380" s="317" t="s">
        <v>3258</v>
      </c>
      <c r="D380" s="317" t="s">
        <v>3257</v>
      </c>
      <c r="E380" s="271" t="s">
        <v>3259</v>
      </c>
      <c r="F380" s="271" t="s">
        <v>3260</v>
      </c>
      <c r="H380" s="274"/>
      <c r="AD380" s="315"/>
      <c r="AE380" s="315"/>
      <c r="AI380" s="274"/>
      <c r="AK380" s="323"/>
    </row>
    <row r="381" spans="1:45" ht="26.4" x14ac:dyDescent="0.25">
      <c r="C381" s="272" t="s">
        <v>3261</v>
      </c>
      <c r="D381" s="272" t="s">
        <v>3261</v>
      </c>
      <c r="E381" s="272" t="s">
        <v>3261</v>
      </c>
      <c r="F381" s="272" t="s">
        <v>3261</v>
      </c>
    </row>
  </sheetData>
  <mergeCells count="10">
    <mergeCell ref="AO1:AS1"/>
    <mergeCell ref="AO2:AS2"/>
    <mergeCell ref="A3:AS3"/>
    <mergeCell ref="A4:AS4"/>
    <mergeCell ref="AO5:AQ5"/>
    <mergeCell ref="AR5:AR6"/>
    <mergeCell ref="AS5:AS6"/>
    <mergeCell ref="AN5:AN6"/>
    <mergeCell ref="AI5:AM5"/>
    <mergeCell ref="AD5:AF5"/>
  </mergeCells>
  <conditionalFormatting sqref="D6:D40 D42:D308">
    <cfRule type="duplicateValues" dxfId="175" priority="90"/>
  </conditionalFormatting>
  <conditionalFormatting sqref="D6:D40 D42:D314">
    <cfRule type="duplicateValues" dxfId="174" priority="92"/>
  </conditionalFormatting>
  <conditionalFormatting sqref="D6:D40 D42:D338">
    <cfRule type="duplicateValues" dxfId="173" priority="93"/>
  </conditionalFormatting>
  <conditionalFormatting sqref="D41">
    <cfRule type="duplicateValues" dxfId="172" priority="86"/>
    <cfRule type="duplicateValues" dxfId="171" priority="84"/>
    <cfRule type="duplicateValues" dxfId="170" priority="85"/>
    <cfRule type="duplicateValues" dxfId="169" priority="87"/>
  </conditionalFormatting>
  <conditionalFormatting sqref="D179:D246 D6:D40 D42:D177">
    <cfRule type="duplicateValues" dxfId="168" priority="91"/>
  </conditionalFormatting>
  <conditionalFormatting sqref="E208">
    <cfRule type="duplicateValues" dxfId="167" priority="80"/>
    <cfRule type="duplicateValues" dxfId="166" priority="81"/>
    <cfRule type="duplicateValues" dxfId="165" priority="83"/>
    <cfRule type="duplicateValues" dxfId="164" priority="82"/>
  </conditionalFormatting>
  <conditionalFormatting sqref="E321">
    <cfRule type="duplicateValues" dxfId="163" priority="89"/>
  </conditionalFormatting>
  <conditionalFormatting sqref="E322">
    <cfRule type="duplicateValues" dxfId="162" priority="88"/>
  </conditionalFormatting>
  <conditionalFormatting sqref="AI7">
    <cfRule type="duplicateValues" dxfId="161" priority="72"/>
  </conditionalFormatting>
  <conditionalFormatting sqref="AI8">
    <cfRule type="duplicateValues" dxfId="160" priority="57"/>
    <cfRule type="duplicateValues" dxfId="159" priority="56"/>
    <cfRule type="duplicateValues" dxfId="158" priority="71"/>
    <cfRule type="duplicateValues" dxfId="157" priority="61"/>
    <cfRule type="duplicateValues" dxfId="156" priority="60"/>
    <cfRule type="duplicateValues" dxfId="155" priority="59"/>
    <cfRule type="duplicateValues" dxfId="154" priority="70"/>
    <cfRule type="duplicateValues" dxfId="153" priority="69"/>
    <cfRule type="duplicateValues" dxfId="152" priority="68"/>
    <cfRule type="duplicateValues" dxfId="151" priority="67"/>
    <cfRule type="duplicateValues" dxfId="150" priority="66"/>
    <cfRule type="duplicateValues" dxfId="149" priority="65"/>
    <cfRule type="duplicateValues" dxfId="148" priority="64"/>
    <cfRule type="duplicateValues" dxfId="147" priority="63"/>
    <cfRule type="duplicateValues" dxfId="146" priority="62"/>
    <cfRule type="duplicateValues" dxfId="145" priority="58"/>
  </conditionalFormatting>
  <conditionalFormatting sqref="AI13">
    <cfRule type="duplicateValues" dxfId="144" priority="55"/>
  </conditionalFormatting>
  <conditionalFormatting sqref="AI15">
    <cfRule type="duplicateValues" dxfId="143" priority="54"/>
  </conditionalFormatting>
  <conditionalFormatting sqref="AI17">
    <cfRule type="duplicateValues" dxfId="142" priority="53"/>
  </conditionalFormatting>
  <conditionalFormatting sqref="AI20">
    <cfRule type="duplicateValues" dxfId="141" priority="52"/>
  </conditionalFormatting>
  <conditionalFormatting sqref="AI21">
    <cfRule type="duplicateValues" dxfId="140" priority="51"/>
  </conditionalFormatting>
  <conditionalFormatting sqref="AI25">
    <cfRule type="duplicateValues" dxfId="139" priority="49"/>
    <cfRule type="duplicateValues" dxfId="138" priority="50"/>
    <cfRule type="duplicateValues" dxfId="137" priority="47"/>
    <cfRule type="duplicateValues" dxfId="136" priority="48"/>
  </conditionalFormatting>
  <conditionalFormatting sqref="AI26">
    <cfRule type="duplicateValues" dxfId="135" priority="46"/>
  </conditionalFormatting>
  <conditionalFormatting sqref="AI38">
    <cfRule type="duplicateValues" dxfId="134" priority="45"/>
  </conditionalFormatting>
  <conditionalFormatting sqref="AI81">
    <cfRule type="duplicateValues" dxfId="133" priority="44"/>
    <cfRule type="duplicateValues" dxfId="132" priority="43"/>
    <cfRule type="duplicateValues" dxfId="131" priority="42"/>
    <cfRule type="duplicateValues" dxfId="130" priority="41"/>
    <cfRule type="duplicateValues" dxfId="129" priority="40"/>
    <cfRule type="duplicateValues" dxfId="128" priority="39"/>
    <cfRule type="duplicateValues" dxfId="127" priority="38"/>
  </conditionalFormatting>
  <conditionalFormatting sqref="AI85">
    <cfRule type="duplicateValues" dxfId="126" priority="35"/>
    <cfRule type="duplicateValues" dxfId="125" priority="34"/>
    <cfRule type="duplicateValues" dxfId="124" priority="36"/>
    <cfRule type="duplicateValues" dxfId="123" priority="37"/>
  </conditionalFormatting>
  <conditionalFormatting sqref="AI86">
    <cfRule type="duplicateValues" dxfId="122" priority="2"/>
  </conditionalFormatting>
  <conditionalFormatting sqref="AI104">
    <cfRule type="duplicateValues" dxfId="121" priority="76"/>
    <cfRule type="duplicateValues" dxfId="120" priority="75"/>
    <cfRule type="duplicateValues" dxfId="119" priority="73"/>
    <cfRule type="duplicateValues" dxfId="118" priority="74"/>
    <cfRule type="duplicateValues" dxfId="117" priority="79"/>
    <cfRule type="duplicateValues" dxfId="116" priority="78"/>
    <cfRule type="duplicateValues" dxfId="115" priority="77"/>
  </conditionalFormatting>
  <conditionalFormatting sqref="AI118">
    <cfRule type="duplicateValues" dxfId="114" priority="24"/>
    <cfRule type="duplicateValues" dxfId="113" priority="23"/>
    <cfRule type="duplicateValues" dxfId="112" priority="26"/>
    <cfRule type="duplicateValues" dxfId="111" priority="25"/>
  </conditionalFormatting>
  <conditionalFormatting sqref="AI152">
    <cfRule type="duplicateValues" dxfId="110" priority="22"/>
  </conditionalFormatting>
  <conditionalFormatting sqref="AI154">
    <cfRule type="duplicateValues" dxfId="109" priority="1"/>
  </conditionalFormatting>
  <conditionalFormatting sqref="AI165">
    <cfRule type="duplicateValues" dxfId="108" priority="21"/>
  </conditionalFormatting>
  <conditionalFormatting sqref="AI177">
    <cfRule type="duplicateValues" dxfId="107" priority="18"/>
    <cfRule type="duplicateValues" dxfId="106" priority="20"/>
    <cfRule type="duplicateValues" dxfId="105" priority="19"/>
    <cfRule type="duplicateValues" dxfId="104" priority="17"/>
  </conditionalFormatting>
  <conditionalFormatting sqref="AI182">
    <cfRule type="duplicateValues" dxfId="103" priority="29"/>
    <cfRule type="duplicateValues" dxfId="102" priority="28"/>
    <cfRule type="duplicateValues" dxfId="101" priority="30"/>
    <cfRule type="duplicateValues" dxfId="100" priority="31"/>
    <cfRule type="duplicateValues" dxfId="99" priority="32"/>
    <cfRule type="duplicateValues" dxfId="98" priority="33"/>
    <cfRule type="duplicateValues" dxfId="97" priority="27"/>
  </conditionalFormatting>
  <conditionalFormatting sqref="AI204">
    <cfRule type="duplicateValues" dxfId="96" priority="16"/>
  </conditionalFormatting>
  <conditionalFormatting sqref="AI231">
    <cfRule type="duplicateValues" dxfId="95" priority="12"/>
    <cfRule type="duplicateValues" dxfId="94" priority="15"/>
    <cfRule type="duplicateValues" dxfId="93" priority="14"/>
    <cfRule type="duplicateValues" dxfId="92" priority="13"/>
  </conditionalFormatting>
  <conditionalFormatting sqref="AI237">
    <cfRule type="duplicateValues" dxfId="91" priority="8"/>
    <cfRule type="duplicateValues" dxfId="90" priority="10"/>
    <cfRule type="duplicateValues" dxfId="89" priority="9"/>
    <cfRule type="duplicateValues" dxfId="88" priority="11"/>
  </conditionalFormatting>
  <conditionalFormatting sqref="AI254">
    <cfRule type="duplicateValues" dxfId="87" priority="5"/>
    <cfRule type="duplicateValues" dxfId="86" priority="6"/>
    <cfRule type="duplicateValues" dxfId="85" priority="7"/>
  </conditionalFormatting>
  <conditionalFormatting sqref="AI255">
    <cfRule type="duplicateValues" dxfId="84" priority="4"/>
  </conditionalFormatting>
  <conditionalFormatting sqref="AI271">
    <cfRule type="duplicateValues" dxfId="83" priority="3"/>
  </conditionalFormatting>
  <pageMargins left="0.7" right="0.7" top="0.75" bottom="0.75" header="0.3" footer="0.3"/>
  <headerFooter>
    <oddFooter>&amp;L_x000D_&amp;1#&amp;"Aptos"&amp;10&amp;K000000 C0 - This document or email is owned by Canal+ Group.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9FBD-BF71-457D-8EE6-094DCEB8312D}">
  <sheetPr codeName="Sheet10" filterMode="1">
    <tabColor rgb="FF92D050"/>
  </sheetPr>
  <dimension ref="A1:X44"/>
  <sheetViews>
    <sheetView zoomScale="70" zoomScaleNormal="70" workbookViewId="0">
      <pane xSplit="3" ySplit="6" topLeftCell="D7" activePane="bottomRight" state="frozen"/>
      <selection pane="topRight" activeCell="D1" sqref="D1"/>
      <selection pane="bottomLeft" activeCell="A4" sqref="A4"/>
      <selection pane="bottomRight" activeCell="F6" sqref="F6"/>
    </sheetView>
  </sheetViews>
  <sheetFormatPr defaultColWidth="8.77734375" defaultRowHeight="22.5" customHeight="1" outlineLevelCol="1" x14ac:dyDescent="0.25"/>
  <cols>
    <col min="1" max="1" width="14.88671875" style="16" bestFit="1" customWidth="1"/>
    <col min="2" max="2" width="7.6640625" style="11" customWidth="1"/>
    <col min="3" max="3" width="12.109375" style="11" customWidth="1"/>
    <col min="4" max="4" width="32.21875" style="268" customWidth="1"/>
    <col min="5" max="5" width="27.21875" style="76" customWidth="1"/>
    <col min="6" max="6" width="19.33203125" style="76" customWidth="1"/>
    <col min="7" max="7" width="10.33203125" style="12" customWidth="1"/>
    <col min="8" max="8" width="12.33203125" style="12" customWidth="1"/>
    <col min="9" max="9" width="8.77734375" style="12" bestFit="1" customWidth="1"/>
    <col min="10" max="11" width="9.88671875" style="11" bestFit="1" customWidth="1" outlineLevel="1"/>
    <col min="12" max="12" width="21.77734375" style="11" hidden="1" customWidth="1" outlineLevel="1"/>
    <col min="13" max="13" width="30.77734375" style="11" hidden="1" customWidth="1" outlineLevel="1"/>
    <col min="14" max="14" width="23.44140625" style="100" hidden="1" customWidth="1"/>
    <col min="15" max="15" width="14.6640625" style="11" hidden="1" customWidth="1"/>
    <col min="16" max="16" width="13.6640625" style="12" hidden="1" customWidth="1"/>
    <col min="17" max="17" width="19.6640625" style="11" hidden="1" customWidth="1"/>
    <col min="18" max="18" width="20.88671875" style="11" hidden="1" customWidth="1"/>
    <col min="19" max="19" width="14.21875" style="11" hidden="1" customWidth="1"/>
    <col min="20" max="22" width="8.77734375" style="11"/>
    <col min="23" max="23" width="22.44140625" style="11" customWidth="1"/>
    <col min="24" max="24" width="22.33203125" style="11" customWidth="1"/>
    <col min="25" max="16384" width="8.77734375" style="11"/>
  </cols>
  <sheetData>
    <row r="1" spans="1:24" ht="22.5" customHeight="1" x14ac:dyDescent="0.25">
      <c r="A1" s="270" t="s">
        <v>3243</v>
      </c>
      <c r="B1" s="271" t="s">
        <v>3244</v>
      </c>
      <c r="T1" s="548" t="s">
        <v>3245</v>
      </c>
      <c r="U1" s="548"/>
      <c r="V1" s="548"/>
      <c r="W1" s="548"/>
      <c r="X1" s="548"/>
    </row>
    <row r="2" spans="1:24" ht="22.5" customHeight="1" x14ac:dyDescent="0.25">
      <c r="T2" s="549" t="s">
        <v>3246</v>
      </c>
      <c r="U2" s="549"/>
      <c r="V2" s="549"/>
      <c r="W2" s="549"/>
      <c r="X2" s="549"/>
    </row>
    <row r="4" spans="1:24" ht="22.5" customHeight="1" x14ac:dyDescent="0.25">
      <c r="Q4" s="11">
        <f>COUNTIF(Q7:Q44,1)</f>
        <v>0</v>
      </c>
      <c r="R4" s="11">
        <f>COUNTIF(R7:R44,1)</f>
        <v>38</v>
      </c>
    </row>
    <row r="5" spans="1:24" ht="22.5" customHeight="1" x14ac:dyDescent="0.25">
      <c r="A5" s="36"/>
      <c r="B5" s="35"/>
      <c r="C5" s="35"/>
      <c r="D5" s="78"/>
      <c r="E5" s="77"/>
      <c r="F5" s="77"/>
      <c r="G5" s="97"/>
      <c r="H5" s="97"/>
      <c r="I5" s="97"/>
      <c r="J5" s="35"/>
      <c r="K5" s="35"/>
      <c r="L5" s="35"/>
      <c r="M5" s="35"/>
      <c r="N5" s="550" t="s">
        <v>3215</v>
      </c>
      <c r="O5" s="550"/>
      <c r="P5" s="550"/>
      <c r="Q5" s="550"/>
      <c r="R5" s="550"/>
      <c r="S5" s="551" t="s">
        <v>3210</v>
      </c>
      <c r="T5" s="541" t="s">
        <v>3248</v>
      </c>
      <c r="U5" s="541"/>
      <c r="V5" s="541"/>
      <c r="W5" s="542" t="s">
        <v>3249</v>
      </c>
      <c r="X5" s="542" t="s">
        <v>3250</v>
      </c>
    </row>
    <row r="6" spans="1:24" ht="42.75" customHeight="1" x14ac:dyDescent="0.25">
      <c r="A6" s="32" t="s">
        <v>3135</v>
      </c>
      <c r="B6" s="30" t="s">
        <v>3134</v>
      </c>
      <c r="C6" s="30" t="s">
        <v>3133</v>
      </c>
      <c r="D6" s="30" t="s">
        <v>3132</v>
      </c>
      <c r="E6" s="30" t="s">
        <v>3131</v>
      </c>
      <c r="F6" s="34" t="s">
        <v>3130</v>
      </c>
      <c r="G6" s="234" t="s">
        <v>3129</v>
      </c>
      <c r="H6" s="235" t="s">
        <v>3124</v>
      </c>
      <c r="I6" s="235" t="s">
        <v>3123</v>
      </c>
      <c r="J6" s="33" t="s">
        <v>1122</v>
      </c>
      <c r="K6" s="33" t="s">
        <v>1121</v>
      </c>
      <c r="L6" s="31" t="s">
        <v>64</v>
      </c>
      <c r="M6" s="91"/>
      <c r="N6" s="103" t="s">
        <v>331</v>
      </c>
      <c r="O6" s="104" t="s">
        <v>330</v>
      </c>
      <c r="P6" s="105" t="s">
        <v>329</v>
      </c>
      <c r="Q6" s="106" t="s">
        <v>3214</v>
      </c>
      <c r="R6" s="106" t="s">
        <v>3212</v>
      </c>
      <c r="S6" s="551"/>
      <c r="T6" s="291" t="s">
        <v>3208</v>
      </c>
      <c r="U6" s="291" t="s">
        <v>69</v>
      </c>
      <c r="V6" s="291" t="s">
        <v>68</v>
      </c>
      <c r="W6" s="542"/>
      <c r="X6" s="542"/>
    </row>
    <row r="7" spans="1:24" s="76" customFormat="1" ht="39.450000000000003" hidden="1" customHeight="1" x14ac:dyDescent="0.3">
      <c r="A7" s="339" t="s">
        <v>3076</v>
      </c>
      <c r="B7" s="17" t="s">
        <v>2493</v>
      </c>
      <c r="C7" s="17" t="s">
        <v>2928</v>
      </c>
      <c r="D7" s="28" t="s">
        <v>2927</v>
      </c>
      <c r="E7" s="28" t="s">
        <v>3075</v>
      </c>
      <c r="F7" s="25" t="s">
        <v>2417</v>
      </c>
      <c r="G7" s="236">
        <v>1</v>
      </c>
      <c r="H7" s="237">
        <v>5</v>
      </c>
      <c r="I7" s="237">
        <v>5</v>
      </c>
      <c r="J7" s="247">
        <v>44519</v>
      </c>
      <c r="K7" s="247">
        <v>46160</v>
      </c>
      <c r="L7" s="24" t="s">
        <v>17</v>
      </c>
      <c r="M7" s="92"/>
      <c r="N7" s="98" t="s">
        <v>2362</v>
      </c>
      <c r="O7" s="95">
        <f>SUMIF('TK 15661.Bản quyền phim '!F:F,'KK6. Bổ sung'!D7,'TK 15661.Bản quyền phim '!X:X)</f>
        <v>0</v>
      </c>
      <c r="P7" s="95">
        <f>SUMIF('TK 15661.Bản quyền phim '!F:F,'KK6. Bổ sung'!N7,'TK 15661.Bản quyền phim '!X:X)</f>
        <v>59932952.666666672</v>
      </c>
      <c r="Q7" s="77"/>
      <c r="R7" s="77">
        <f>COUNTIF('TK 15661.Bản quyền phim '!F:F,'KK6. Bổ sung'!N7)</f>
        <v>1</v>
      </c>
      <c r="S7" s="76">
        <f>Q7+R7</f>
        <v>1</v>
      </c>
      <c r="T7" s="77"/>
      <c r="U7" s="77"/>
      <c r="V7" s="77"/>
      <c r="W7" s="77"/>
      <c r="X7" s="77"/>
    </row>
    <row r="8" spans="1:24" ht="22.5" hidden="1" customHeight="1" x14ac:dyDescent="0.25">
      <c r="A8" s="340" t="s">
        <v>3074</v>
      </c>
      <c r="B8" s="17" t="s">
        <v>2493</v>
      </c>
      <c r="C8" s="21" t="s">
        <v>2928</v>
      </c>
      <c r="D8" s="26" t="s">
        <v>2927</v>
      </c>
      <c r="E8" s="22" t="s">
        <v>3073</v>
      </c>
      <c r="F8" s="22" t="s">
        <v>2417</v>
      </c>
      <c r="G8" s="238">
        <v>1</v>
      </c>
      <c r="H8" s="237">
        <v>5</v>
      </c>
      <c r="I8" s="237">
        <v>5</v>
      </c>
      <c r="J8" s="248">
        <v>44491</v>
      </c>
      <c r="K8" s="249">
        <v>46133</v>
      </c>
      <c r="L8" s="18" t="s">
        <v>17</v>
      </c>
      <c r="M8" s="93"/>
      <c r="N8" s="99" t="s">
        <v>2358</v>
      </c>
      <c r="O8" s="97">
        <f>SUMIF('TK 15661.Bản quyền phim '!F:F,'KK6. Bổ sung'!D8,'TK 15661.Bản quyền phim '!X:X)</f>
        <v>0</v>
      </c>
      <c r="P8" s="97">
        <f>SUMIF('TK 15661.Bản quyền phim '!F:F,'KK6. Bổ sung'!N8,'TK 15661.Bản quyền phim '!X:X)</f>
        <v>0</v>
      </c>
      <c r="Q8" s="77"/>
      <c r="R8" s="35">
        <f>COUNTIF('TK 15661.Bản quyền phim '!F:F,'KK6. Bổ sung'!N8)</f>
        <v>1</v>
      </c>
      <c r="S8" s="76">
        <f t="shared" ref="S8:S44" si="0">Q8+R8</f>
        <v>1</v>
      </c>
      <c r="T8" s="35"/>
      <c r="U8" s="35"/>
      <c r="V8" s="35"/>
      <c r="W8" s="35"/>
      <c r="X8" s="35"/>
    </row>
    <row r="9" spans="1:24" ht="22.5" hidden="1" customHeight="1" x14ac:dyDescent="0.25">
      <c r="A9" s="340" t="s">
        <v>3072</v>
      </c>
      <c r="B9" s="21" t="s">
        <v>2493</v>
      </c>
      <c r="C9" s="21" t="s">
        <v>2928</v>
      </c>
      <c r="D9" s="26" t="s">
        <v>2927</v>
      </c>
      <c r="E9" s="22" t="s">
        <v>3071</v>
      </c>
      <c r="F9" s="22" t="s">
        <v>2417</v>
      </c>
      <c r="G9" s="238">
        <v>1</v>
      </c>
      <c r="H9" s="237">
        <v>5</v>
      </c>
      <c r="I9" s="237">
        <v>5</v>
      </c>
      <c r="J9" s="248">
        <v>44533</v>
      </c>
      <c r="K9" s="249">
        <v>46175</v>
      </c>
      <c r="L9" s="18" t="s">
        <v>17</v>
      </c>
      <c r="M9" s="93"/>
      <c r="N9" s="101" t="s">
        <v>2355</v>
      </c>
      <c r="O9" s="97">
        <f>SUMIF('TK 15661.Bản quyền phim '!F:F,'KK6. Bổ sung'!D9,'TK 15661.Bản quyền phim '!X:X)</f>
        <v>0</v>
      </c>
      <c r="P9" s="97">
        <f>SUMIF('TK 15661.Bản quyền phim '!F:F,'KK6. Bổ sung'!N9,'TK 15661.Bản quyền phim '!X:X)</f>
        <v>0</v>
      </c>
      <c r="Q9" s="77"/>
      <c r="R9" s="35">
        <f>COUNTIF('TK 15661.Bản quyền phim '!F:F,'KK6. Bổ sung'!N9)</f>
        <v>1</v>
      </c>
      <c r="S9" s="76">
        <f t="shared" si="0"/>
        <v>1</v>
      </c>
      <c r="T9" s="35"/>
      <c r="U9" s="35"/>
      <c r="V9" s="35"/>
      <c r="W9" s="35"/>
      <c r="X9" s="35"/>
    </row>
    <row r="10" spans="1:24" ht="22.5" hidden="1" customHeight="1" x14ac:dyDescent="0.25">
      <c r="A10" s="340" t="s">
        <v>3070</v>
      </c>
      <c r="B10" s="21" t="s">
        <v>2493</v>
      </c>
      <c r="C10" s="21" t="s">
        <v>2928</v>
      </c>
      <c r="D10" s="26" t="s">
        <v>2927</v>
      </c>
      <c r="E10" s="22" t="s">
        <v>3069</v>
      </c>
      <c r="F10" s="22" t="s">
        <v>2417</v>
      </c>
      <c r="G10" s="238">
        <v>1</v>
      </c>
      <c r="H10" s="237">
        <v>5</v>
      </c>
      <c r="I10" s="237">
        <v>5</v>
      </c>
      <c r="J10" s="249">
        <v>44517</v>
      </c>
      <c r="K10" s="249">
        <v>46158</v>
      </c>
      <c r="L10" s="18" t="s">
        <v>17</v>
      </c>
      <c r="M10" s="93"/>
      <c r="N10" s="101" t="s">
        <v>2352</v>
      </c>
      <c r="O10" s="97">
        <f>SUMIF('TK 15661.Bản quyền phim '!F:F,'KK6. Bổ sung'!D10,'TK 15661.Bản quyền phim '!X:X)</f>
        <v>0</v>
      </c>
      <c r="P10" s="97">
        <f>SUMIF('TK 15661.Bản quyền phim '!F:F,'KK6. Bổ sung'!N10,'TK 15661.Bản quyền phim '!X:X)</f>
        <v>0</v>
      </c>
      <c r="Q10" s="77"/>
      <c r="R10" s="35">
        <f>COUNTIF('TK 15661.Bản quyền phim '!F:F,'KK6. Bổ sung'!N10)</f>
        <v>1</v>
      </c>
      <c r="S10" s="76">
        <f t="shared" si="0"/>
        <v>1</v>
      </c>
      <c r="T10" s="35"/>
      <c r="U10" s="35"/>
      <c r="V10" s="35"/>
      <c r="W10" s="35"/>
      <c r="X10" s="35"/>
    </row>
    <row r="11" spans="1:24" ht="22.5" hidden="1" customHeight="1" x14ac:dyDescent="0.25">
      <c r="A11" s="340" t="s">
        <v>3068</v>
      </c>
      <c r="B11" s="17" t="s">
        <v>2493</v>
      </c>
      <c r="C11" s="20" t="s">
        <v>2928</v>
      </c>
      <c r="D11" s="26" t="s">
        <v>2927</v>
      </c>
      <c r="E11" s="22" t="s">
        <v>3067</v>
      </c>
      <c r="F11" s="22" t="s">
        <v>2417</v>
      </c>
      <c r="G11" s="238">
        <v>1</v>
      </c>
      <c r="H11" s="237">
        <v>5</v>
      </c>
      <c r="I11" s="237">
        <v>5</v>
      </c>
      <c r="J11" s="249">
        <v>44538</v>
      </c>
      <c r="K11" s="249">
        <v>46180</v>
      </c>
      <c r="L11" s="18" t="s">
        <v>17</v>
      </c>
      <c r="M11" s="93"/>
      <c r="N11" s="101" t="s">
        <v>2348</v>
      </c>
      <c r="O11" s="97">
        <f>SUMIF('TK 15661.Bản quyền phim '!F:F,'KK6. Bổ sung'!D11,'TK 15661.Bản quyền phim '!X:X)</f>
        <v>0</v>
      </c>
      <c r="P11" s="97">
        <f>SUMIF('TK 15661.Bản quyền phim '!F:F,'KK6. Bổ sung'!N11,'TK 15661.Bản quyền phim '!X:X)</f>
        <v>0</v>
      </c>
      <c r="Q11" s="77"/>
      <c r="R11" s="35">
        <f>COUNTIF('TK 15661.Bản quyền phim '!F:F,'KK6. Bổ sung'!N11)</f>
        <v>1</v>
      </c>
      <c r="S11" s="76">
        <f t="shared" si="0"/>
        <v>1</v>
      </c>
      <c r="T11" s="35"/>
      <c r="U11" s="35"/>
      <c r="V11" s="35"/>
      <c r="W11" s="35"/>
      <c r="X11" s="35"/>
    </row>
    <row r="12" spans="1:24" ht="22.5" hidden="1" customHeight="1" x14ac:dyDescent="0.25">
      <c r="A12" s="340" t="s">
        <v>3064</v>
      </c>
      <c r="B12" s="21" t="s">
        <v>2493</v>
      </c>
      <c r="C12" s="21" t="s">
        <v>2928</v>
      </c>
      <c r="D12" s="28" t="s">
        <v>2927</v>
      </c>
      <c r="E12" s="27" t="s">
        <v>3063</v>
      </c>
      <c r="F12" s="22" t="s">
        <v>2417</v>
      </c>
      <c r="G12" s="239">
        <v>1</v>
      </c>
      <c r="H12" s="240">
        <v>5</v>
      </c>
      <c r="I12" s="241">
        <v>5</v>
      </c>
      <c r="J12" s="250">
        <v>44531</v>
      </c>
      <c r="K12" s="250">
        <v>46356</v>
      </c>
      <c r="L12" s="18" t="s">
        <v>17</v>
      </c>
      <c r="M12" s="93"/>
      <c r="N12" s="102" t="s">
        <v>2345</v>
      </c>
      <c r="O12" s="97">
        <f>SUMIF('TK 15661.Bản quyền phim '!F:F,'KK6. Bổ sung'!D12,'TK 15661.Bản quyền phim '!X:X)</f>
        <v>0</v>
      </c>
      <c r="P12" s="97">
        <f>SUMIF('TK 15661.Bản quyền phim '!F:F,'KK6. Bổ sung'!N12,'TK 15661.Bản quyền phim '!X:X)</f>
        <v>46627350</v>
      </c>
      <c r="Q12" s="77"/>
      <c r="R12" s="35">
        <f>COUNTIF('TK 15661.Bản quyền phim '!F:F,'KK6. Bổ sung'!N12)</f>
        <v>1</v>
      </c>
      <c r="S12" s="76">
        <f t="shared" si="0"/>
        <v>1</v>
      </c>
      <c r="T12" s="35"/>
      <c r="U12" s="35"/>
      <c r="V12" s="35"/>
      <c r="W12" s="35"/>
      <c r="X12" s="35"/>
    </row>
    <row r="13" spans="1:24" ht="22.5" hidden="1" customHeight="1" x14ac:dyDescent="0.25">
      <c r="A13" s="340" t="s">
        <v>3062</v>
      </c>
      <c r="B13" s="21" t="s">
        <v>2493</v>
      </c>
      <c r="C13" s="20" t="s">
        <v>2928</v>
      </c>
      <c r="D13" s="26" t="s">
        <v>2927</v>
      </c>
      <c r="E13" s="22" t="s">
        <v>3061</v>
      </c>
      <c r="F13" s="22" t="s">
        <v>2417</v>
      </c>
      <c r="G13" s="238">
        <v>1</v>
      </c>
      <c r="H13" s="237">
        <v>5</v>
      </c>
      <c r="I13" s="237">
        <v>5</v>
      </c>
      <c r="J13" s="248">
        <v>44489</v>
      </c>
      <c r="K13" s="249">
        <v>46131</v>
      </c>
      <c r="L13" s="18" t="s">
        <v>17</v>
      </c>
      <c r="M13" s="93"/>
      <c r="N13" s="98" t="s">
        <v>2341</v>
      </c>
      <c r="O13" s="97">
        <f>SUMIF('TK 15661.Bản quyền phim '!F:F,'KK6. Bổ sung'!D13,'TK 15661.Bản quyền phim '!X:X)</f>
        <v>0</v>
      </c>
      <c r="P13" s="97">
        <f>SUMIF('TK 15661.Bản quyền phim '!F:F,'KK6. Bổ sung'!N13,'TK 15661.Bản quyền phim '!X:X)</f>
        <v>0</v>
      </c>
      <c r="Q13" s="77"/>
      <c r="R13" s="35">
        <f>COUNTIF('TK 15661.Bản quyền phim '!F:F,'KK6. Bổ sung'!N13)</f>
        <v>1</v>
      </c>
      <c r="S13" s="76">
        <f t="shared" si="0"/>
        <v>1</v>
      </c>
      <c r="T13" s="35"/>
      <c r="U13" s="35"/>
      <c r="V13" s="35"/>
      <c r="W13" s="35"/>
      <c r="X13" s="35"/>
    </row>
    <row r="14" spans="1:24" ht="22.5" hidden="1" customHeight="1" x14ac:dyDescent="0.25">
      <c r="A14" s="340" t="s">
        <v>3060</v>
      </c>
      <c r="B14" s="17" t="s">
        <v>2493</v>
      </c>
      <c r="C14" s="21" t="s">
        <v>2928</v>
      </c>
      <c r="D14" s="26" t="s">
        <v>2927</v>
      </c>
      <c r="E14" s="22" t="s">
        <v>3059</v>
      </c>
      <c r="F14" s="22" t="s">
        <v>2417</v>
      </c>
      <c r="G14" s="238">
        <v>1</v>
      </c>
      <c r="H14" s="237">
        <v>5</v>
      </c>
      <c r="I14" s="237">
        <v>5</v>
      </c>
      <c r="J14" s="248">
        <v>44461</v>
      </c>
      <c r="K14" s="249">
        <v>46102</v>
      </c>
      <c r="L14" s="18" t="s">
        <v>17</v>
      </c>
      <c r="M14" s="93"/>
      <c r="N14" s="101" t="s">
        <v>2338</v>
      </c>
      <c r="O14" s="97">
        <f>SUMIF('TK 15661.Bản quyền phim '!F:F,'KK6. Bổ sung'!D14,'TK 15661.Bản quyền phim '!X:X)</f>
        <v>0</v>
      </c>
      <c r="P14" s="97">
        <f>SUMIF('TK 15661.Bản quyền phim '!F:F,'KK6. Bổ sung'!N14,'TK 15661.Bản quyền phim '!X:X)</f>
        <v>0</v>
      </c>
      <c r="Q14" s="77"/>
      <c r="R14" s="35">
        <f>COUNTIF('TK 15661.Bản quyền phim '!F:F,'KK6. Bổ sung'!N14)</f>
        <v>1</v>
      </c>
      <c r="S14" s="76">
        <f t="shared" si="0"/>
        <v>1</v>
      </c>
      <c r="T14" s="35"/>
      <c r="U14" s="35"/>
      <c r="V14" s="35"/>
      <c r="W14" s="35"/>
      <c r="X14" s="35"/>
    </row>
    <row r="15" spans="1:24" ht="22.5" hidden="1" customHeight="1" x14ac:dyDescent="0.25">
      <c r="A15" s="340" t="s">
        <v>3058</v>
      </c>
      <c r="B15" s="21" t="s">
        <v>2493</v>
      </c>
      <c r="C15" s="21" t="s">
        <v>2928</v>
      </c>
      <c r="D15" s="28" t="s">
        <v>2927</v>
      </c>
      <c r="E15" s="27" t="s">
        <v>3057</v>
      </c>
      <c r="F15" s="22" t="s">
        <v>2417</v>
      </c>
      <c r="G15" s="238">
        <v>1</v>
      </c>
      <c r="H15" s="240">
        <v>5</v>
      </c>
      <c r="I15" s="242">
        <v>5</v>
      </c>
      <c r="J15" s="249">
        <v>44475</v>
      </c>
      <c r="K15" s="251">
        <v>46117</v>
      </c>
      <c r="L15" s="18" t="s">
        <v>17</v>
      </c>
      <c r="M15" s="93"/>
      <c r="N15" s="98" t="s">
        <v>2334</v>
      </c>
      <c r="O15" s="97">
        <f>SUMIF('TK 15661.Bản quyền phim '!F:F,'KK6. Bổ sung'!D15,'TK 15661.Bản quyền phim '!X:X)</f>
        <v>0</v>
      </c>
      <c r="P15" s="97">
        <f>SUMIF('TK 15661.Bản quyền phim '!F:F,'KK6. Bổ sung'!N15,'TK 15661.Bản quyền phim '!X:X)</f>
        <v>28571428.66666666</v>
      </c>
      <c r="Q15" s="77"/>
      <c r="R15" s="35">
        <f>COUNTIF('TK 15661.Bản quyền phim '!F:F,'KK6. Bổ sung'!N15)</f>
        <v>1</v>
      </c>
      <c r="S15" s="76">
        <f t="shared" si="0"/>
        <v>1</v>
      </c>
      <c r="T15" s="35"/>
      <c r="U15" s="35"/>
      <c r="V15" s="35"/>
      <c r="W15" s="35"/>
      <c r="X15" s="35"/>
    </row>
    <row r="16" spans="1:24" ht="22.5" hidden="1" customHeight="1" x14ac:dyDescent="0.25">
      <c r="A16" s="340" t="s">
        <v>3055</v>
      </c>
      <c r="B16" s="21" t="s">
        <v>2493</v>
      </c>
      <c r="C16" s="21" t="s">
        <v>2928</v>
      </c>
      <c r="D16" s="26" t="s">
        <v>2927</v>
      </c>
      <c r="E16" s="22" t="s">
        <v>3054</v>
      </c>
      <c r="F16" s="22" t="s">
        <v>2417</v>
      </c>
      <c r="G16" s="238">
        <v>1</v>
      </c>
      <c r="H16" s="237">
        <v>5</v>
      </c>
      <c r="I16" s="237">
        <v>5</v>
      </c>
      <c r="J16" s="248">
        <v>44559</v>
      </c>
      <c r="K16" s="249">
        <v>46201</v>
      </c>
      <c r="L16" s="18" t="s">
        <v>17</v>
      </c>
      <c r="M16" s="93" t="s">
        <v>2332</v>
      </c>
      <c r="N16" s="101" t="s">
        <v>2331</v>
      </c>
      <c r="O16" s="97">
        <f>SUMIF('TK 15661.Bản quyền phim '!F:F,'KK6. Bổ sung'!D16,'TK 15661.Bản quyền phim '!X:X)</f>
        <v>0</v>
      </c>
      <c r="P16" s="97">
        <f>SUMIF('TK 15661.Bản quyền phim '!F:F,'KK6. Bổ sung'!N16,'TK 15661.Bản quyền phim '!X:X)</f>
        <v>0</v>
      </c>
      <c r="Q16" s="77"/>
      <c r="R16" s="35">
        <f>COUNTIF('TK 15661.Bản quyền phim '!F:F,'KK6. Bổ sung'!N16)</f>
        <v>1</v>
      </c>
      <c r="S16" s="76">
        <f t="shared" si="0"/>
        <v>1</v>
      </c>
      <c r="T16" s="35"/>
      <c r="U16" s="35"/>
      <c r="V16" s="35"/>
      <c r="W16" s="35"/>
      <c r="X16" s="35"/>
    </row>
    <row r="17" spans="1:24" ht="22.5" hidden="1" customHeight="1" x14ac:dyDescent="0.25">
      <c r="A17" s="340" t="s">
        <v>3053</v>
      </c>
      <c r="B17" s="17" t="s">
        <v>2493</v>
      </c>
      <c r="C17" s="21" t="s">
        <v>2928</v>
      </c>
      <c r="D17" s="26" t="s">
        <v>2927</v>
      </c>
      <c r="E17" s="22" t="s">
        <v>3052</v>
      </c>
      <c r="F17" s="22" t="s">
        <v>2417</v>
      </c>
      <c r="G17" s="238">
        <v>1</v>
      </c>
      <c r="H17" s="240">
        <v>5</v>
      </c>
      <c r="I17" s="237">
        <v>5</v>
      </c>
      <c r="J17" s="249">
        <v>44503</v>
      </c>
      <c r="K17" s="249">
        <v>46144</v>
      </c>
      <c r="L17" s="18" t="s">
        <v>17</v>
      </c>
      <c r="M17" s="93" t="s">
        <v>2328</v>
      </c>
      <c r="N17" s="98" t="s">
        <v>2327</v>
      </c>
      <c r="O17" s="97">
        <f>SUMIF('TK 15661.Bản quyền phim '!F:F,'KK6. Bổ sung'!D17,'TK 15661.Bản quyền phim '!X:X)</f>
        <v>0</v>
      </c>
      <c r="P17" s="97">
        <f>SUMIF('TK 15661.Bản quyền phim '!F:F,'KK6. Bổ sung'!N17,'TK 15661.Bản quyền phim '!X:X)</f>
        <v>0</v>
      </c>
      <c r="Q17" s="77"/>
      <c r="R17" s="35">
        <f>COUNTIF('TK 15661.Bản quyền phim '!F:F,'KK6. Bổ sung'!N17)</f>
        <v>1</v>
      </c>
      <c r="S17" s="76">
        <f t="shared" si="0"/>
        <v>1</v>
      </c>
      <c r="T17" s="35"/>
      <c r="U17" s="35"/>
      <c r="V17" s="35"/>
      <c r="W17" s="35"/>
      <c r="X17" s="35"/>
    </row>
    <row r="18" spans="1:24" ht="22.5" hidden="1" customHeight="1" x14ac:dyDescent="0.25">
      <c r="A18" s="340" t="s">
        <v>3044</v>
      </c>
      <c r="B18" s="21" t="s">
        <v>2412</v>
      </c>
      <c r="C18" s="21" t="s">
        <v>2570</v>
      </c>
      <c r="D18" s="28" t="s">
        <v>2569</v>
      </c>
      <c r="E18" s="27" t="s">
        <v>3043</v>
      </c>
      <c r="F18" s="25" t="s">
        <v>2428</v>
      </c>
      <c r="G18" s="243">
        <v>40</v>
      </c>
      <c r="H18" s="244">
        <v>4</v>
      </c>
      <c r="I18" s="241">
        <v>160</v>
      </c>
      <c r="J18" s="252">
        <v>44642</v>
      </c>
      <c r="K18" s="250">
        <v>46102</v>
      </c>
      <c r="L18" s="18" t="s">
        <v>17</v>
      </c>
      <c r="M18" s="93"/>
      <c r="N18" s="101" t="s">
        <v>2324</v>
      </c>
      <c r="O18" s="97">
        <f>SUMIF('TK 15661.Bản quyền phim '!F:F,'KK6. Bổ sung'!D18,'TK 15661.Bản quyền phim '!X:X)</f>
        <v>0</v>
      </c>
      <c r="P18" s="97">
        <f>SUMIF('TK 15661.Bản quyền phim '!F:F,'KK6. Bổ sung'!N18,'TK 15661.Bản quyền phim '!X:X)</f>
        <v>0</v>
      </c>
      <c r="Q18" s="77"/>
      <c r="R18" s="35">
        <f>COUNTIF('TK 15661.Bản quyền phim '!F:F,'KK6. Bổ sung'!N18)</f>
        <v>1</v>
      </c>
      <c r="S18" s="76">
        <f t="shared" si="0"/>
        <v>1</v>
      </c>
      <c r="T18" s="35"/>
      <c r="U18" s="35"/>
      <c r="V18" s="35"/>
      <c r="W18" s="35"/>
      <c r="X18" s="35"/>
    </row>
    <row r="19" spans="1:24" ht="22.5" hidden="1" customHeight="1" x14ac:dyDescent="0.25">
      <c r="A19" s="340" t="s">
        <v>3014</v>
      </c>
      <c r="B19" s="17" t="s">
        <v>2493</v>
      </c>
      <c r="C19" s="21" t="s">
        <v>2649</v>
      </c>
      <c r="D19" s="22" t="s">
        <v>2648</v>
      </c>
      <c r="E19" s="22" t="s">
        <v>2360</v>
      </c>
      <c r="F19" s="22" t="s">
        <v>2417</v>
      </c>
      <c r="G19" s="236">
        <v>1</v>
      </c>
      <c r="H19" s="242">
        <v>3</v>
      </c>
      <c r="I19" s="242">
        <v>3</v>
      </c>
      <c r="J19" s="249">
        <v>45077</v>
      </c>
      <c r="K19" s="248">
        <v>46172</v>
      </c>
      <c r="L19" s="18" t="s">
        <v>17</v>
      </c>
      <c r="M19" s="93" t="s">
        <v>2322</v>
      </c>
      <c r="N19" s="101" t="s">
        <v>2321</v>
      </c>
      <c r="O19" s="97">
        <f>SUMIF('TK 15661.Bản quyền phim '!F:F,'KK6. Bổ sung'!D19,'TK 15661.Bản quyền phim '!X:X)</f>
        <v>0</v>
      </c>
      <c r="P19" s="97">
        <f>SUMIF('TK 15661.Bản quyền phim '!F:F,'KK6. Bổ sung'!N19,'TK 15661.Bản quyền phim '!X:X)</f>
        <v>0</v>
      </c>
      <c r="Q19" s="77"/>
      <c r="R19" s="35">
        <f>COUNTIF('TK 15661.Bản quyền phim '!F:F,'KK6. Bổ sung'!N19)</f>
        <v>1</v>
      </c>
      <c r="S19" s="76">
        <f t="shared" si="0"/>
        <v>1</v>
      </c>
      <c r="T19" s="35"/>
      <c r="U19" s="35"/>
      <c r="V19" s="35"/>
      <c r="W19" s="35"/>
      <c r="X19" s="35"/>
    </row>
    <row r="20" spans="1:24" ht="22.5" hidden="1" customHeight="1" x14ac:dyDescent="0.25">
      <c r="A20" s="340" t="s">
        <v>2877</v>
      </c>
      <c r="B20" s="21" t="s">
        <v>2412</v>
      </c>
      <c r="C20" s="21" t="s">
        <v>2876</v>
      </c>
      <c r="D20" s="28" t="s">
        <v>2875</v>
      </c>
      <c r="E20" s="27" t="s">
        <v>2874</v>
      </c>
      <c r="F20" s="22" t="s">
        <v>2409</v>
      </c>
      <c r="G20" s="238">
        <v>1</v>
      </c>
      <c r="H20" s="240">
        <v>3</v>
      </c>
      <c r="I20" s="242">
        <v>3</v>
      </c>
      <c r="J20" s="249">
        <v>45200</v>
      </c>
      <c r="K20" s="251">
        <v>46295</v>
      </c>
      <c r="L20" s="18" t="s">
        <v>17</v>
      </c>
      <c r="M20" s="93" t="s">
        <v>2314</v>
      </c>
      <c r="N20" s="98" t="s">
        <v>2313</v>
      </c>
      <c r="O20" s="97">
        <f>SUMIF('TK 15661.Bản quyền phim '!F:F,'KK6. Bổ sung'!D20,'TK 15661.Bản quyền phim '!X:X)</f>
        <v>0</v>
      </c>
      <c r="P20" s="97">
        <f>SUMIF('TK 15661.Bản quyền phim '!F:F,'KK6. Bổ sung'!N20,'TK 15661.Bản quyền phim '!X:X)</f>
        <v>28571428.66666666</v>
      </c>
      <c r="Q20" s="77"/>
      <c r="R20" s="35">
        <f>COUNTIF('TK 15661.Bản quyền phim '!F:F,'KK6. Bổ sung'!N20)</f>
        <v>1</v>
      </c>
      <c r="S20" s="76">
        <f t="shared" si="0"/>
        <v>1</v>
      </c>
      <c r="T20" s="35"/>
      <c r="U20" s="35"/>
      <c r="V20" s="35"/>
      <c r="W20" s="35"/>
      <c r="X20" s="35"/>
    </row>
    <row r="21" spans="1:24" ht="22.5" hidden="1" customHeight="1" x14ac:dyDescent="0.25">
      <c r="A21" s="340" t="s">
        <v>2760</v>
      </c>
      <c r="B21" s="21" t="s">
        <v>2493</v>
      </c>
      <c r="C21" s="21" t="s">
        <v>2690</v>
      </c>
      <c r="D21" s="26" t="s">
        <v>2689</v>
      </c>
      <c r="E21" s="22" t="s">
        <v>2759</v>
      </c>
      <c r="F21" s="22" t="s">
        <v>2417</v>
      </c>
      <c r="G21" s="245">
        <v>1</v>
      </c>
      <c r="H21" s="237">
        <v>3</v>
      </c>
      <c r="I21" s="237">
        <v>3</v>
      </c>
      <c r="J21" s="249">
        <v>45435</v>
      </c>
      <c r="K21" s="249">
        <v>46529</v>
      </c>
      <c r="L21" s="18" t="s">
        <v>17</v>
      </c>
      <c r="M21" s="93"/>
      <c r="N21" s="101" t="s">
        <v>2307</v>
      </c>
      <c r="O21" s="97">
        <f>SUMIF('TK 15661.Bản quyền phim '!F:F,'KK6. Bổ sung'!D21,'TK 15661.Bản quyền phim '!X:X)</f>
        <v>0</v>
      </c>
      <c r="P21" s="97">
        <f>SUMIF('TK 15661.Bản quyền phim '!F:F,'KK6. Bổ sung'!N21,'TK 15661.Bản quyền phim '!X:X)</f>
        <v>0</v>
      </c>
      <c r="Q21" s="77"/>
      <c r="R21" s="35">
        <f>COUNTIF('TK 15661.Bản quyền phim '!F:F,'KK6. Bổ sung'!N21)</f>
        <v>1</v>
      </c>
      <c r="S21" s="76">
        <f t="shared" si="0"/>
        <v>1</v>
      </c>
      <c r="T21" s="35"/>
      <c r="U21" s="35"/>
      <c r="V21" s="35"/>
      <c r="W21" s="35"/>
      <c r="X21" s="35"/>
    </row>
    <row r="22" spans="1:24" ht="22.5" hidden="1" customHeight="1" x14ac:dyDescent="0.25">
      <c r="A22" s="340" t="s">
        <v>2753</v>
      </c>
      <c r="B22" s="21" t="s">
        <v>2493</v>
      </c>
      <c r="C22" s="21" t="s">
        <v>2690</v>
      </c>
      <c r="D22" s="28" t="s">
        <v>2689</v>
      </c>
      <c r="E22" s="22" t="s">
        <v>2752</v>
      </c>
      <c r="F22" s="22" t="s">
        <v>2417</v>
      </c>
      <c r="G22" s="243">
        <v>1</v>
      </c>
      <c r="H22" s="240">
        <v>3</v>
      </c>
      <c r="I22" s="241">
        <v>3</v>
      </c>
      <c r="J22" s="250">
        <v>45506</v>
      </c>
      <c r="K22" s="250">
        <v>46600</v>
      </c>
      <c r="L22" s="18" t="s">
        <v>17</v>
      </c>
      <c r="M22" s="93"/>
      <c r="N22" s="102" t="s">
        <v>2304</v>
      </c>
      <c r="O22" s="97">
        <f>SUMIF('TK 15661.Bản quyền phim '!F:F,'KK6. Bổ sung'!D22,'TK 15661.Bản quyền phim '!X:X)</f>
        <v>0</v>
      </c>
      <c r="P22" s="97">
        <f>SUMIF('TK 15661.Bản quyền phim '!F:F,'KK6. Bổ sung'!N22,'TK 15661.Bản quyền phim '!X:X)</f>
        <v>29462698.33333334</v>
      </c>
      <c r="Q22" s="77"/>
      <c r="R22" s="35">
        <f>COUNTIF('TK 15661.Bản quyền phim '!F:F,'KK6. Bổ sung'!N22)</f>
        <v>1</v>
      </c>
      <c r="S22" s="76">
        <f t="shared" si="0"/>
        <v>1</v>
      </c>
      <c r="T22" s="35"/>
      <c r="U22" s="35"/>
      <c r="V22" s="35"/>
      <c r="W22" s="35"/>
      <c r="X22" s="35"/>
    </row>
    <row r="23" spans="1:24" ht="22.5" hidden="1" customHeight="1" x14ac:dyDescent="0.25">
      <c r="A23" s="340" t="s">
        <v>2751</v>
      </c>
      <c r="B23" s="19" t="s">
        <v>2493</v>
      </c>
      <c r="C23" s="20" t="s">
        <v>2690</v>
      </c>
      <c r="D23" s="26" t="s">
        <v>2689</v>
      </c>
      <c r="E23" s="22" t="s">
        <v>2750</v>
      </c>
      <c r="F23" s="22" t="s">
        <v>2417</v>
      </c>
      <c r="G23" s="245">
        <v>1</v>
      </c>
      <c r="H23" s="240">
        <v>3</v>
      </c>
      <c r="I23" s="237">
        <v>3</v>
      </c>
      <c r="J23" s="249">
        <v>45520</v>
      </c>
      <c r="K23" s="249">
        <v>46614</v>
      </c>
      <c r="L23" s="18" t="s">
        <v>17</v>
      </c>
      <c r="M23" s="93"/>
      <c r="N23" s="22" t="s">
        <v>2301</v>
      </c>
      <c r="O23" s="97">
        <f>SUMIF('TK 15661.Bản quyền phim '!F:F,'KK6. Bổ sung'!D23,'TK 15661.Bản quyền phim '!X:X)</f>
        <v>0</v>
      </c>
      <c r="P23" s="97">
        <f>SUMIF('TK 15661.Bản quyền phim '!F:F,'KK6. Bổ sung'!N23,'TK 15661.Bản quyền phim '!X:X)</f>
        <v>0</v>
      </c>
      <c r="Q23" s="77"/>
      <c r="R23" s="35">
        <f>COUNTIF('TK 15661.Bản quyền phim '!F:F,'KK6. Bổ sung'!N23)</f>
        <v>1</v>
      </c>
      <c r="S23" s="76">
        <f t="shared" si="0"/>
        <v>1</v>
      </c>
      <c r="T23" s="35"/>
      <c r="U23" s="35"/>
      <c r="V23" s="35"/>
      <c r="W23" s="35"/>
      <c r="X23" s="35"/>
    </row>
    <row r="24" spans="1:24" ht="22.5" hidden="1" customHeight="1" x14ac:dyDescent="0.25">
      <c r="A24" s="340" t="s">
        <v>2749</v>
      </c>
      <c r="B24" s="17" t="s">
        <v>2493</v>
      </c>
      <c r="C24" s="21" t="s">
        <v>2690</v>
      </c>
      <c r="D24" s="26" t="s">
        <v>2689</v>
      </c>
      <c r="E24" s="22" t="s">
        <v>2748</v>
      </c>
      <c r="F24" s="22" t="s">
        <v>2417</v>
      </c>
      <c r="G24" s="238">
        <v>1</v>
      </c>
      <c r="H24" s="240">
        <v>3</v>
      </c>
      <c r="I24" s="237">
        <v>3</v>
      </c>
      <c r="J24" s="249">
        <v>45548</v>
      </c>
      <c r="K24" s="249">
        <v>46642</v>
      </c>
      <c r="L24" s="18" t="s">
        <v>17</v>
      </c>
      <c r="M24" s="93"/>
      <c r="N24" s="98" t="s">
        <v>2297</v>
      </c>
      <c r="O24" s="97">
        <f>SUMIF('TK 15661.Bản quyền phim '!F:F,'KK6. Bổ sung'!D24,'TK 15661.Bản quyền phim '!X:X)</f>
        <v>0</v>
      </c>
      <c r="P24" s="97">
        <f>SUMIF('TK 15661.Bản quyền phim '!F:F,'KK6. Bổ sung'!N24,'TK 15661.Bản quyền phim '!X:X)</f>
        <v>0</v>
      </c>
      <c r="Q24" s="77"/>
      <c r="R24" s="35">
        <f>COUNTIF('TK 15661.Bản quyền phim '!F:F,'KK6. Bổ sung'!N24)</f>
        <v>1</v>
      </c>
      <c r="S24" s="76">
        <f t="shared" si="0"/>
        <v>1</v>
      </c>
      <c r="T24" s="35"/>
      <c r="U24" s="35"/>
      <c r="V24" s="35"/>
      <c r="W24" s="35"/>
      <c r="X24" s="35"/>
    </row>
    <row r="25" spans="1:24" ht="22.5" hidden="1" customHeight="1" x14ac:dyDescent="0.25">
      <c r="A25" s="340" t="s">
        <v>2747</v>
      </c>
      <c r="B25" s="17" t="s">
        <v>2412</v>
      </c>
      <c r="C25" s="21" t="s">
        <v>2461</v>
      </c>
      <c r="D25" s="26" t="s">
        <v>2460</v>
      </c>
      <c r="E25" s="22" t="s">
        <v>2746</v>
      </c>
      <c r="F25" s="22" t="s">
        <v>2417</v>
      </c>
      <c r="G25" s="238">
        <v>1</v>
      </c>
      <c r="H25" s="237">
        <v>2</v>
      </c>
      <c r="I25" s="237">
        <v>2</v>
      </c>
      <c r="J25" s="248">
        <v>45609</v>
      </c>
      <c r="K25" s="249">
        <v>46154</v>
      </c>
      <c r="L25" s="18" t="s">
        <v>17</v>
      </c>
      <c r="M25" s="93"/>
      <c r="N25" s="101" t="s">
        <v>2293</v>
      </c>
      <c r="O25" s="97">
        <f>SUMIF('TK 15661.Bản quyền phim '!F:F,'KK6. Bổ sung'!D25,'TK 15661.Bản quyền phim '!X:X)</f>
        <v>0</v>
      </c>
      <c r="P25" s="97">
        <f>SUMIF('TK 15661.Bản quyền phim '!F:F,'KK6. Bổ sung'!N25,'TK 15661.Bản quyền phim '!X:X)</f>
        <v>0</v>
      </c>
      <c r="Q25" s="77"/>
      <c r="R25" s="35">
        <f>COUNTIF('TK 15661.Bản quyền phim '!F:F,'KK6. Bổ sung'!N25)</f>
        <v>1</v>
      </c>
      <c r="S25" s="76">
        <f t="shared" si="0"/>
        <v>1</v>
      </c>
      <c r="T25" s="35"/>
      <c r="U25" s="35"/>
      <c r="V25" s="35"/>
      <c r="W25" s="35"/>
      <c r="X25" s="35"/>
    </row>
    <row r="26" spans="1:24" ht="22.5" hidden="1" customHeight="1" x14ac:dyDescent="0.25">
      <c r="A26" s="340" t="s">
        <v>2745</v>
      </c>
      <c r="B26" s="21" t="s">
        <v>2412</v>
      </c>
      <c r="C26" s="21" t="s">
        <v>2461</v>
      </c>
      <c r="D26" s="28" t="s">
        <v>2460</v>
      </c>
      <c r="E26" s="27" t="s">
        <v>2744</v>
      </c>
      <c r="F26" s="25" t="s">
        <v>2417</v>
      </c>
      <c r="G26" s="238">
        <v>1</v>
      </c>
      <c r="H26" s="240">
        <v>2</v>
      </c>
      <c r="I26" s="242">
        <v>2</v>
      </c>
      <c r="J26" s="249">
        <v>45609</v>
      </c>
      <c r="K26" s="251">
        <v>46154</v>
      </c>
      <c r="L26" s="18" t="s">
        <v>17</v>
      </c>
      <c r="M26" s="93"/>
      <c r="N26" s="102" t="s">
        <v>2289</v>
      </c>
      <c r="O26" s="97">
        <f>SUMIF('TK 15661.Bản quyền phim '!F:F,'KK6. Bổ sung'!D26,'TK 15661.Bản quyền phim '!X:X)</f>
        <v>0</v>
      </c>
      <c r="P26" s="97">
        <f>SUMIF('TK 15661.Bản quyền phim '!F:F,'KK6. Bổ sung'!N26,'TK 15661.Bản quyền phim '!X:X)</f>
        <v>19047619</v>
      </c>
      <c r="Q26" s="77"/>
      <c r="R26" s="35">
        <f>COUNTIF('TK 15661.Bản quyền phim '!F:F,'KK6. Bổ sung'!N26)</f>
        <v>1</v>
      </c>
      <c r="S26" s="76">
        <f t="shared" si="0"/>
        <v>1</v>
      </c>
      <c r="T26" s="35"/>
      <c r="U26" s="35"/>
      <c r="V26" s="35"/>
      <c r="W26" s="35"/>
      <c r="X26" s="35"/>
    </row>
    <row r="27" spans="1:24" ht="22.5" hidden="1" customHeight="1" x14ac:dyDescent="0.25">
      <c r="A27" s="340" t="s">
        <v>2743</v>
      </c>
      <c r="B27" s="21" t="s">
        <v>2412</v>
      </c>
      <c r="C27" s="21" t="s">
        <v>2461</v>
      </c>
      <c r="D27" s="26" t="s">
        <v>2460</v>
      </c>
      <c r="E27" s="22" t="s">
        <v>2742</v>
      </c>
      <c r="F27" s="17" t="s">
        <v>2417</v>
      </c>
      <c r="G27" s="238">
        <v>1</v>
      </c>
      <c r="H27" s="240">
        <v>2</v>
      </c>
      <c r="I27" s="237">
        <v>2</v>
      </c>
      <c r="J27" s="249">
        <v>45569</v>
      </c>
      <c r="K27" s="249">
        <v>46115</v>
      </c>
      <c r="L27" s="18" t="s">
        <v>17</v>
      </c>
      <c r="M27" s="93"/>
      <c r="N27" s="102" t="s">
        <v>2285</v>
      </c>
      <c r="O27" s="97">
        <f>SUMIF('TK 15661.Bản quyền phim '!F:F,'KK6. Bổ sung'!D27,'TK 15661.Bản quyền phim '!X:X)</f>
        <v>0</v>
      </c>
      <c r="P27" s="97">
        <f>SUMIF('TK 15661.Bản quyền phim '!F:F,'KK6. Bổ sung'!N27,'TK 15661.Bản quyền phim '!X:X)</f>
        <v>0</v>
      </c>
      <c r="Q27" s="77"/>
      <c r="R27" s="35">
        <f>COUNTIF('TK 15661.Bản quyền phim '!F:F,'KK6. Bổ sung'!N27)</f>
        <v>1</v>
      </c>
      <c r="S27" s="76">
        <f t="shared" si="0"/>
        <v>1</v>
      </c>
      <c r="T27" s="35"/>
      <c r="U27" s="35"/>
      <c r="V27" s="35"/>
      <c r="W27" s="35"/>
      <c r="X27" s="35"/>
    </row>
    <row r="28" spans="1:24" ht="22.5" hidden="1" customHeight="1" x14ac:dyDescent="0.25">
      <c r="A28" s="340" t="s">
        <v>2741</v>
      </c>
      <c r="B28" s="21" t="s">
        <v>2412</v>
      </c>
      <c r="C28" s="21" t="s">
        <v>2461</v>
      </c>
      <c r="D28" s="28" t="s">
        <v>2460</v>
      </c>
      <c r="E28" s="27" t="s">
        <v>2740</v>
      </c>
      <c r="F28" s="22" t="s">
        <v>2417</v>
      </c>
      <c r="G28" s="238">
        <v>1</v>
      </c>
      <c r="H28" s="240">
        <v>2</v>
      </c>
      <c r="I28" s="242">
        <v>2</v>
      </c>
      <c r="J28" s="249">
        <v>45597</v>
      </c>
      <c r="K28" s="251">
        <v>46142</v>
      </c>
      <c r="L28" s="18" t="s">
        <v>17</v>
      </c>
      <c r="M28" s="93"/>
      <c r="N28" s="101" t="s">
        <v>2282</v>
      </c>
      <c r="O28" s="97">
        <f>SUMIF('TK 15661.Bản quyền phim '!F:F,'KK6. Bổ sung'!D28,'TK 15661.Bản quyền phim '!X:X)</f>
        <v>0</v>
      </c>
      <c r="P28" s="97">
        <f>SUMIF('TK 15661.Bản quyền phim '!F:F,'KK6. Bổ sung'!N28,'TK 15661.Bản quyền phim '!X:X)</f>
        <v>0</v>
      </c>
      <c r="Q28" s="77"/>
      <c r="R28" s="35">
        <f>COUNTIF('TK 15661.Bản quyền phim '!F:F,'KK6. Bổ sung'!N28)</f>
        <v>1</v>
      </c>
      <c r="S28" s="76">
        <f t="shared" si="0"/>
        <v>1</v>
      </c>
      <c r="T28" s="35"/>
      <c r="U28" s="35"/>
      <c r="V28" s="35"/>
      <c r="W28" s="35"/>
      <c r="X28" s="35"/>
    </row>
    <row r="29" spans="1:24" ht="22.5" hidden="1" customHeight="1" x14ac:dyDescent="0.25">
      <c r="A29" s="340" t="s">
        <v>2739</v>
      </c>
      <c r="B29" s="17" t="s">
        <v>2412</v>
      </c>
      <c r="C29" s="21" t="s">
        <v>2461</v>
      </c>
      <c r="D29" s="26" t="s">
        <v>2460</v>
      </c>
      <c r="E29" s="22" t="s">
        <v>2738</v>
      </c>
      <c r="F29" s="22" t="s">
        <v>2417</v>
      </c>
      <c r="G29" s="238">
        <v>1</v>
      </c>
      <c r="H29" s="237">
        <v>2</v>
      </c>
      <c r="I29" s="237">
        <v>2</v>
      </c>
      <c r="J29" s="248">
        <v>45597</v>
      </c>
      <c r="K29" s="249">
        <v>46142</v>
      </c>
      <c r="L29" s="18" t="s">
        <v>17</v>
      </c>
      <c r="M29" s="93"/>
      <c r="N29" s="101" t="s">
        <v>2279</v>
      </c>
      <c r="O29" s="97">
        <f>SUMIF('TK 15661.Bản quyền phim '!F:F,'KK6. Bổ sung'!D29,'TK 15661.Bản quyền phim '!X:X)</f>
        <v>0</v>
      </c>
      <c r="P29" s="97">
        <f>SUMIF('TK 15661.Bản quyền phim '!F:F,'KK6. Bổ sung'!N29,'TK 15661.Bản quyền phim '!X:X)</f>
        <v>0</v>
      </c>
      <c r="Q29" s="77"/>
      <c r="R29" s="35">
        <f>COUNTIF('TK 15661.Bản quyền phim '!F:F,'KK6. Bổ sung'!N29)</f>
        <v>1</v>
      </c>
      <c r="S29" s="76">
        <f t="shared" si="0"/>
        <v>1</v>
      </c>
      <c r="T29" s="35"/>
      <c r="U29" s="35"/>
      <c r="V29" s="35"/>
      <c r="W29" s="35"/>
      <c r="X29" s="35"/>
    </row>
    <row r="30" spans="1:24" ht="22.5" hidden="1" customHeight="1" x14ac:dyDescent="0.25">
      <c r="A30" s="340" t="s">
        <v>2737</v>
      </c>
      <c r="B30" s="29" t="s">
        <v>2412</v>
      </c>
      <c r="C30" s="21" t="s">
        <v>2461</v>
      </c>
      <c r="D30" s="28" t="s">
        <v>2460</v>
      </c>
      <c r="E30" s="27" t="s">
        <v>2736</v>
      </c>
      <c r="F30" s="25" t="s">
        <v>2417</v>
      </c>
      <c r="G30" s="246">
        <v>1</v>
      </c>
      <c r="H30" s="244">
        <v>2</v>
      </c>
      <c r="I30" s="241">
        <v>2</v>
      </c>
      <c r="J30" s="252">
        <v>45597</v>
      </c>
      <c r="K30" s="250">
        <v>46142</v>
      </c>
      <c r="L30" s="18" t="s">
        <v>17</v>
      </c>
      <c r="M30" s="93"/>
      <c r="N30" s="101" t="s">
        <v>2276</v>
      </c>
      <c r="O30" s="97">
        <f>SUMIF('TK 15661.Bản quyền phim '!F:F,'KK6. Bổ sung'!D30,'TK 15661.Bản quyền phim '!X:X)</f>
        <v>0</v>
      </c>
      <c r="P30" s="97">
        <f>SUMIF('TK 15661.Bản quyền phim '!F:F,'KK6. Bổ sung'!N30,'TK 15661.Bản quyền phim '!X:X)</f>
        <v>0</v>
      </c>
      <c r="Q30" s="77"/>
      <c r="R30" s="35">
        <f>COUNTIF('TK 15661.Bản quyền phim '!F:F,'KK6. Bổ sung'!N30)</f>
        <v>1</v>
      </c>
      <c r="S30" s="76">
        <f t="shared" si="0"/>
        <v>1</v>
      </c>
      <c r="T30" s="35"/>
      <c r="U30" s="35"/>
      <c r="V30" s="35"/>
      <c r="W30" s="35"/>
      <c r="X30" s="35"/>
    </row>
    <row r="31" spans="1:24" ht="22.5" hidden="1" customHeight="1" x14ac:dyDescent="0.25">
      <c r="A31" s="340" t="s">
        <v>2735</v>
      </c>
      <c r="B31" s="21" t="s">
        <v>2412</v>
      </c>
      <c r="C31" s="21" t="s">
        <v>2461</v>
      </c>
      <c r="D31" s="28" t="s">
        <v>2460</v>
      </c>
      <c r="E31" s="22" t="s">
        <v>2734</v>
      </c>
      <c r="F31" s="22" t="s">
        <v>2417</v>
      </c>
      <c r="G31" s="243">
        <v>1</v>
      </c>
      <c r="H31" s="237">
        <v>2</v>
      </c>
      <c r="I31" s="244">
        <v>2</v>
      </c>
      <c r="J31" s="252">
        <v>45597</v>
      </c>
      <c r="K31" s="252">
        <v>46142</v>
      </c>
      <c r="L31" s="18" t="s">
        <v>17</v>
      </c>
      <c r="M31" s="93"/>
      <c r="N31" s="102" t="s">
        <v>2273</v>
      </c>
      <c r="O31" s="97">
        <f>SUMIF('TK 15661.Bản quyền phim '!F:F,'KK6. Bổ sung'!D31,'TK 15661.Bản quyền phim '!X:X)</f>
        <v>0</v>
      </c>
      <c r="P31" s="97">
        <f>SUMIF('TK 15661.Bản quyền phim '!F:F,'KK6. Bổ sung'!N31,'TK 15661.Bản quyền phim '!X:X)</f>
        <v>33333492</v>
      </c>
      <c r="Q31" s="77"/>
      <c r="R31" s="35">
        <f>COUNTIF('TK 15661.Bản quyền phim '!F:F,'KK6. Bổ sung'!N31)</f>
        <v>1</v>
      </c>
      <c r="S31" s="76">
        <f t="shared" si="0"/>
        <v>1</v>
      </c>
      <c r="T31" s="35"/>
      <c r="U31" s="35"/>
      <c r="V31" s="35"/>
      <c r="W31" s="35"/>
      <c r="X31" s="35"/>
    </row>
    <row r="32" spans="1:24" ht="22.5" hidden="1" customHeight="1" x14ac:dyDescent="0.25">
      <c r="A32" s="340" t="s">
        <v>2733</v>
      </c>
      <c r="B32" s="21" t="s">
        <v>2412</v>
      </c>
      <c r="C32" s="20" t="s">
        <v>2461</v>
      </c>
      <c r="D32" s="28" t="s">
        <v>2460</v>
      </c>
      <c r="E32" s="27" t="s">
        <v>2732</v>
      </c>
      <c r="F32" s="25" t="s">
        <v>2417</v>
      </c>
      <c r="G32" s="243">
        <v>1</v>
      </c>
      <c r="H32" s="244">
        <v>2</v>
      </c>
      <c r="I32" s="241">
        <v>2</v>
      </c>
      <c r="J32" s="252">
        <v>45597</v>
      </c>
      <c r="K32" s="252">
        <v>46142</v>
      </c>
      <c r="L32" s="18" t="s">
        <v>17</v>
      </c>
      <c r="M32" s="93"/>
      <c r="N32" s="101" t="s">
        <v>2270</v>
      </c>
      <c r="O32" s="97">
        <f>SUMIF('TK 15661.Bản quyền phim '!F:F,'KK6. Bổ sung'!D32,'TK 15661.Bản quyền phim '!X:X)</f>
        <v>0</v>
      </c>
      <c r="P32" s="97">
        <f>SUMIF('TK 15661.Bản quyền phim '!F:F,'KK6. Bổ sung'!N32,'TK 15661.Bản quyền phim '!X:X)</f>
        <v>0</v>
      </c>
      <c r="Q32" s="77"/>
      <c r="R32" s="35">
        <f>COUNTIF('TK 15661.Bản quyền phim '!F:F,'KK6. Bổ sung'!N32)</f>
        <v>1</v>
      </c>
      <c r="S32" s="76">
        <f t="shared" si="0"/>
        <v>1</v>
      </c>
      <c r="T32" s="35"/>
      <c r="U32" s="35"/>
      <c r="V32" s="35"/>
      <c r="W32" s="35"/>
      <c r="X32" s="35"/>
    </row>
    <row r="33" spans="1:24" ht="27.6" hidden="1" x14ac:dyDescent="0.25">
      <c r="A33" s="340" t="s">
        <v>2731</v>
      </c>
      <c r="B33" s="21" t="s">
        <v>2412</v>
      </c>
      <c r="C33" s="20" t="s">
        <v>2461</v>
      </c>
      <c r="D33" s="28" t="s">
        <v>2460</v>
      </c>
      <c r="E33" s="27" t="s">
        <v>2730</v>
      </c>
      <c r="F33" s="25" t="s">
        <v>2417</v>
      </c>
      <c r="G33" s="243">
        <v>1</v>
      </c>
      <c r="H33" s="244">
        <v>2</v>
      </c>
      <c r="I33" s="241">
        <v>2</v>
      </c>
      <c r="J33" s="252">
        <v>45569</v>
      </c>
      <c r="K33" s="250">
        <v>46115</v>
      </c>
      <c r="L33" s="18" t="s">
        <v>17</v>
      </c>
      <c r="M33" s="93"/>
      <c r="N33" s="101" t="s">
        <v>2267</v>
      </c>
      <c r="O33" s="97">
        <f>SUMIF('TK 15661.Bản quyền phim '!F:F,'KK6. Bổ sung'!D33,'TK 15661.Bản quyền phim '!X:X)</f>
        <v>0</v>
      </c>
      <c r="P33" s="97">
        <f>SUMIF('TK 15661.Bản quyền phim '!F:F,'KK6. Bổ sung'!N33,'TK 15661.Bản quyền phim '!X:X)</f>
        <v>0</v>
      </c>
      <c r="Q33" s="77"/>
      <c r="R33" s="35">
        <f>COUNTIF('TK 15661.Bản quyền phim '!F:F,'KK6. Bổ sung'!N33)</f>
        <v>1</v>
      </c>
      <c r="S33" s="76">
        <f t="shared" si="0"/>
        <v>1</v>
      </c>
      <c r="T33" s="35"/>
      <c r="U33" s="35"/>
      <c r="V33" s="35"/>
      <c r="W33" s="35"/>
      <c r="X33" s="35"/>
    </row>
    <row r="34" spans="1:24" ht="22.5" hidden="1" customHeight="1" x14ac:dyDescent="0.25">
      <c r="A34" s="340" t="s">
        <v>2729</v>
      </c>
      <c r="B34" s="17" t="s">
        <v>2412</v>
      </c>
      <c r="C34" s="21" t="s">
        <v>2461</v>
      </c>
      <c r="D34" s="26" t="s">
        <v>2460</v>
      </c>
      <c r="E34" s="22" t="s">
        <v>2728</v>
      </c>
      <c r="F34" s="17" t="s">
        <v>2417</v>
      </c>
      <c r="G34" s="245">
        <v>1</v>
      </c>
      <c r="H34" s="240">
        <v>2</v>
      </c>
      <c r="I34" s="237">
        <v>2</v>
      </c>
      <c r="J34" s="249">
        <v>45583</v>
      </c>
      <c r="K34" s="249">
        <v>46129</v>
      </c>
      <c r="L34" s="18" t="s">
        <v>17</v>
      </c>
      <c r="M34" s="93"/>
      <c r="N34" s="101" t="s">
        <v>2264</v>
      </c>
      <c r="O34" s="97">
        <f>SUMIF('TK 15661.Bản quyền phim '!F:F,'KK6. Bổ sung'!D34,'TK 15661.Bản quyền phim '!X:X)</f>
        <v>0</v>
      </c>
      <c r="P34" s="97">
        <f>SUMIF('TK 15661.Bản quyền phim '!F:F,'KK6. Bổ sung'!N34,'TK 15661.Bản quyền phim '!X:X)</f>
        <v>0</v>
      </c>
      <c r="Q34" s="77"/>
      <c r="R34" s="35">
        <f>COUNTIF('TK 15661.Bản quyền phim '!F:F,'KK6. Bổ sung'!N34)</f>
        <v>1</v>
      </c>
      <c r="S34" s="76">
        <f t="shared" si="0"/>
        <v>1</v>
      </c>
      <c r="T34" s="35"/>
      <c r="U34" s="35"/>
      <c r="V34" s="35"/>
      <c r="W34" s="35"/>
      <c r="X34" s="35"/>
    </row>
    <row r="35" spans="1:24" ht="22.5" hidden="1" customHeight="1" x14ac:dyDescent="0.25">
      <c r="A35" s="340" t="s">
        <v>2718</v>
      </c>
      <c r="B35" s="21" t="s">
        <v>2412</v>
      </c>
      <c r="C35" s="20" t="s">
        <v>2536</v>
      </c>
      <c r="D35" s="267" t="s">
        <v>2535</v>
      </c>
      <c r="E35" s="27" t="s">
        <v>2717</v>
      </c>
      <c r="F35" s="22" t="s">
        <v>2428</v>
      </c>
      <c r="G35" s="238">
        <v>24</v>
      </c>
      <c r="H35" s="240">
        <v>4</v>
      </c>
      <c r="I35" s="242">
        <v>96</v>
      </c>
      <c r="J35" s="249">
        <v>45614</v>
      </c>
      <c r="K35" s="251">
        <v>47074</v>
      </c>
      <c r="L35" s="18" t="s">
        <v>17</v>
      </c>
      <c r="M35" s="93"/>
      <c r="N35" s="102" t="s">
        <v>2260</v>
      </c>
      <c r="O35" s="97">
        <f>SUMIF('TK 15661.Bản quyền phim '!F:F,'KK6. Bổ sung'!D35,'TK 15661.Bản quyền phim '!X:X)</f>
        <v>0</v>
      </c>
      <c r="P35" s="97">
        <f>SUMIF('TK 15661.Bản quyền phim '!F:F,'KK6. Bổ sung'!N35,'TK 15661.Bản quyền phim '!X:X)</f>
        <v>19047619</v>
      </c>
      <c r="Q35" s="77"/>
      <c r="R35" s="35">
        <f>COUNTIF('TK 15661.Bản quyền phim '!F:F,'KK6. Bổ sung'!N35)</f>
        <v>1</v>
      </c>
      <c r="S35" s="76">
        <f t="shared" si="0"/>
        <v>1</v>
      </c>
      <c r="T35" s="35"/>
      <c r="U35" s="35"/>
      <c r="V35" s="35"/>
      <c r="W35" s="35"/>
      <c r="X35" s="35"/>
    </row>
    <row r="36" spans="1:24" ht="22.5" hidden="1" customHeight="1" x14ac:dyDescent="0.25">
      <c r="A36" s="340" t="s">
        <v>2693</v>
      </c>
      <c r="B36" s="19" t="s">
        <v>2493</v>
      </c>
      <c r="C36" s="21" t="s">
        <v>2690</v>
      </c>
      <c r="D36" s="26" t="s">
        <v>2689</v>
      </c>
      <c r="E36" s="24" t="s">
        <v>2692</v>
      </c>
      <c r="F36" s="17" t="s">
        <v>2417</v>
      </c>
      <c r="G36" s="238">
        <v>1</v>
      </c>
      <c r="H36" s="240">
        <v>3</v>
      </c>
      <c r="I36" s="237">
        <v>3</v>
      </c>
      <c r="J36" s="249">
        <v>45637</v>
      </c>
      <c r="K36" s="249">
        <v>46731</v>
      </c>
      <c r="L36" s="18" t="s">
        <v>17</v>
      </c>
      <c r="M36" s="93"/>
      <c r="N36" s="98" t="s">
        <v>2256</v>
      </c>
      <c r="O36" s="97">
        <f>SUMIF('TK 15661.Bản quyền phim '!F:F,'KK6. Bổ sung'!D36,'TK 15661.Bản quyền phim '!X:X)</f>
        <v>0</v>
      </c>
      <c r="P36" s="97">
        <f>SUMIF('TK 15661.Bản quyền phim '!F:F,'KK6. Bổ sung'!N36,'TK 15661.Bản quyền phim '!X:X)</f>
        <v>0</v>
      </c>
      <c r="Q36" s="77"/>
      <c r="R36" s="35">
        <f>COUNTIF('TK 15661.Bản quyền phim '!F:F,'KK6. Bổ sung'!N36)</f>
        <v>1</v>
      </c>
      <c r="S36" s="76">
        <f t="shared" si="0"/>
        <v>1</v>
      </c>
      <c r="T36" s="35"/>
      <c r="U36" s="35"/>
      <c r="V36" s="35"/>
      <c r="W36" s="35"/>
      <c r="X36" s="35"/>
    </row>
    <row r="37" spans="1:24" ht="22.5" hidden="1" customHeight="1" x14ac:dyDescent="0.25">
      <c r="A37" s="340" t="s">
        <v>2691</v>
      </c>
      <c r="B37" s="21" t="s">
        <v>2493</v>
      </c>
      <c r="C37" s="20" t="s">
        <v>2690</v>
      </c>
      <c r="D37" s="26" t="s">
        <v>2689</v>
      </c>
      <c r="E37" s="24" t="s">
        <v>2688</v>
      </c>
      <c r="F37" s="22" t="s">
        <v>2417</v>
      </c>
      <c r="G37" s="239">
        <v>1</v>
      </c>
      <c r="H37" s="240">
        <v>3</v>
      </c>
      <c r="I37" s="237">
        <v>3</v>
      </c>
      <c r="J37" s="253">
        <v>45637</v>
      </c>
      <c r="K37" s="249">
        <v>46731</v>
      </c>
      <c r="L37" s="18" t="s">
        <v>17</v>
      </c>
      <c r="M37" s="93"/>
      <c r="N37" s="102" t="s">
        <v>2252</v>
      </c>
      <c r="O37" s="97">
        <f>SUMIF('TK 15661.Bản quyền phim '!F:F,'KK6. Bổ sung'!D37,'TK 15661.Bản quyền phim '!X:X)</f>
        <v>0</v>
      </c>
      <c r="P37" s="97">
        <f>SUMIF('TK 15661.Bản quyền phim '!F:F,'KK6. Bổ sung'!N37,'TK 15661.Bản quyền phim '!X:X)</f>
        <v>0</v>
      </c>
      <c r="Q37" s="77"/>
      <c r="R37" s="35">
        <f>COUNTIF('TK 15661.Bản quyền phim '!F:F,'KK6. Bổ sung'!N37)</f>
        <v>1</v>
      </c>
      <c r="S37" s="76">
        <f t="shared" si="0"/>
        <v>1</v>
      </c>
      <c r="T37" s="35"/>
      <c r="U37" s="35"/>
      <c r="V37" s="35"/>
      <c r="W37" s="35"/>
      <c r="X37" s="35"/>
    </row>
    <row r="38" spans="1:24" ht="22.5" hidden="1" customHeight="1" x14ac:dyDescent="0.25">
      <c r="A38" s="340" t="s">
        <v>2664</v>
      </c>
      <c r="B38" s="21" t="s">
        <v>2493</v>
      </c>
      <c r="C38" s="21" t="s">
        <v>2663</v>
      </c>
      <c r="D38" s="26" t="s">
        <v>2662</v>
      </c>
      <c r="E38" s="22" t="s">
        <v>2661</v>
      </c>
      <c r="F38" s="22" t="s">
        <v>2417</v>
      </c>
      <c r="G38" s="238">
        <v>1</v>
      </c>
      <c r="H38" s="237">
        <v>1</v>
      </c>
      <c r="I38" s="237">
        <v>1</v>
      </c>
      <c r="J38" s="248">
        <v>45665</v>
      </c>
      <c r="K38" s="249">
        <v>46029</v>
      </c>
      <c r="L38" s="18" t="s">
        <v>17</v>
      </c>
      <c r="M38" s="93"/>
      <c r="N38" s="101" t="s">
        <v>2249</v>
      </c>
      <c r="O38" s="97">
        <f>SUMIF('TK 15661.Bản quyền phim '!F:F,'KK6. Bổ sung'!D38,'TK 15661.Bản quyền phim '!X:X)</f>
        <v>0</v>
      </c>
      <c r="P38" s="97">
        <f>SUMIF('TK 15661.Bản quyền phim '!F:F,'KK6. Bổ sung'!N38,'TK 15661.Bản quyền phim '!X:X)</f>
        <v>0</v>
      </c>
      <c r="Q38" s="77"/>
      <c r="R38" s="35">
        <f>COUNTIF('TK 15661.Bản quyền phim '!F:F,'KK6. Bổ sung'!N38)</f>
        <v>1</v>
      </c>
      <c r="S38" s="76">
        <f t="shared" si="0"/>
        <v>1</v>
      </c>
      <c r="T38" s="35"/>
      <c r="U38" s="35"/>
      <c r="V38" s="35"/>
      <c r="W38" s="35"/>
      <c r="X38" s="35"/>
    </row>
    <row r="39" spans="1:24" ht="22.5" hidden="1" customHeight="1" x14ac:dyDescent="0.25">
      <c r="A39" s="340" t="s">
        <v>2660</v>
      </c>
      <c r="B39" s="17" t="s">
        <v>2493</v>
      </c>
      <c r="C39" s="21" t="s">
        <v>2649</v>
      </c>
      <c r="D39" s="28" t="s">
        <v>2648</v>
      </c>
      <c r="E39" s="316" t="s">
        <v>2659</v>
      </c>
      <c r="F39" s="22" t="s">
        <v>2417</v>
      </c>
      <c r="G39" s="243">
        <v>1</v>
      </c>
      <c r="H39" s="240">
        <v>3</v>
      </c>
      <c r="I39" s="241">
        <v>3</v>
      </c>
      <c r="J39" s="250">
        <v>45659</v>
      </c>
      <c r="K39" s="250">
        <v>46753</v>
      </c>
      <c r="L39" s="18" t="s">
        <v>17</v>
      </c>
      <c r="M39" s="93"/>
      <c r="N39" s="102" t="s">
        <v>2246</v>
      </c>
      <c r="O39" s="97">
        <f>SUMIF('TK 15661.Bản quyền phim '!F:F,'KK6. Bổ sung'!D39,'TK 15661.Bản quyền phim '!X:X)</f>
        <v>0</v>
      </c>
      <c r="P39" s="97">
        <f>SUMIF('TK 15661.Bản quyền phim '!F:F,'KK6. Bổ sung'!N39,'TK 15661.Bản quyền phim '!X:X)</f>
        <v>34380952.333333321</v>
      </c>
      <c r="Q39" s="77"/>
      <c r="R39" s="35">
        <f>COUNTIF('TK 15661.Bản quyền phim '!F:F,'KK6. Bổ sung'!N39)</f>
        <v>1</v>
      </c>
      <c r="S39" s="76">
        <f t="shared" si="0"/>
        <v>1</v>
      </c>
      <c r="T39" s="35"/>
      <c r="U39" s="35"/>
      <c r="V39" s="35"/>
      <c r="W39" s="35"/>
      <c r="X39" s="35"/>
    </row>
    <row r="40" spans="1:24" ht="22.5" hidden="1" customHeight="1" x14ac:dyDescent="0.25">
      <c r="A40" s="340" t="s">
        <v>2657</v>
      </c>
      <c r="B40" s="17" t="s">
        <v>2493</v>
      </c>
      <c r="C40" s="21" t="s">
        <v>2649</v>
      </c>
      <c r="D40" s="26" t="s">
        <v>2648</v>
      </c>
      <c r="E40" s="22" t="s">
        <v>2656</v>
      </c>
      <c r="F40" s="17" t="s">
        <v>2417</v>
      </c>
      <c r="G40" s="245">
        <v>1</v>
      </c>
      <c r="H40" s="237">
        <v>3</v>
      </c>
      <c r="I40" s="237">
        <v>3</v>
      </c>
      <c r="J40" s="249">
        <v>45681</v>
      </c>
      <c r="K40" s="249">
        <v>46775</v>
      </c>
      <c r="L40" s="18" t="s">
        <v>17</v>
      </c>
      <c r="M40" s="93"/>
      <c r="N40" s="101" t="s">
        <v>2243</v>
      </c>
      <c r="O40" s="97">
        <f>SUMIF('TK 15661.Bản quyền phim '!F:F,'KK6. Bổ sung'!D40,'TK 15661.Bản quyền phim '!X:X)</f>
        <v>0</v>
      </c>
      <c r="P40" s="97">
        <f>SUMIF('TK 15661.Bản quyền phim '!F:F,'KK6. Bổ sung'!N40,'TK 15661.Bản quyền phim '!X:X)</f>
        <v>0</v>
      </c>
      <c r="Q40" s="77"/>
      <c r="R40" s="35">
        <f>COUNTIF('TK 15661.Bản quyền phim '!F:F,'KK6. Bổ sung'!N40)</f>
        <v>1</v>
      </c>
      <c r="S40" s="76">
        <f t="shared" si="0"/>
        <v>1</v>
      </c>
      <c r="T40" s="35"/>
      <c r="U40" s="35"/>
      <c r="V40" s="35"/>
      <c r="W40" s="35"/>
      <c r="X40" s="35"/>
    </row>
    <row r="41" spans="1:24" ht="22.5" hidden="1" customHeight="1" x14ac:dyDescent="0.25">
      <c r="A41" s="340" t="s">
        <v>2635</v>
      </c>
      <c r="B41" s="23" t="s">
        <v>2493</v>
      </c>
      <c r="C41" s="20" t="s">
        <v>2634</v>
      </c>
      <c r="D41" s="28" t="s">
        <v>2633</v>
      </c>
      <c r="E41" s="27" t="s">
        <v>2632</v>
      </c>
      <c r="F41" s="22" t="s">
        <v>2417</v>
      </c>
      <c r="G41" s="239">
        <v>1</v>
      </c>
      <c r="H41" s="240">
        <v>1</v>
      </c>
      <c r="I41" s="241">
        <v>1</v>
      </c>
      <c r="J41" s="250">
        <v>45688</v>
      </c>
      <c r="K41" s="250">
        <v>46052</v>
      </c>
      <c r="L41" s="18" t="s">
        <v>17</v>
      </c>
      <c r="M41" s="93"/>
      <c r="N41" s="102" t="s">
        <v>2240</v>
      </c>
      <c r="O41" s="97">
        <f>SUMIF('TK 15661.Bản quyền phim '!F:F,'KK6. Bổ sung'!D41,'TK 15661.Bản quyền phim '!X:X)</f>
        <v>0</v>
      </c>
      <c r="P41" s="97">
        <f>SUMIF('TK 15661.Bản quyền phim '!F:F,'KK6. Bổ sung'!N41,'TK 15661.Bản quyền phim '!X:X)</f>
        <v>46627350</v>
      </c>
      <c r="Q41" s="77"/>
      <c r="R41" s="35">
        <f>COUNTIF('TK 15661.Bản quyền phim '!F:F,'KK6. Bổ sung'!N41)</f>
        <v>1</v>
      </c>
      <c r="S41" s="76">
        <f t="shared" si="0"/>
        <v>1</v>
      </c>
      <c r="T41" s="35"/>
      <c r="U41" s="35"/>
      <c r="V41" s="35"/>
      <c r="W41" s="35"/>
      <c r="X41" s="35"/>
    </row>
    <row r="42" spans="1:24" ht="22.5" hidden="1" customHeight="1" x14ac:dyDescent="0.25">
      <c r="A42" s="340" t="s">
        <v>2610</v>
      </c>
      <c r="B42" s="21" t="s">
        <v>2493</v>
      </c>
      <c r="C42" s="21" t="s">
        <v>2604</v>
      </c>
      <c r="D42" s="28" t="s">
        <v>2603</v>
      </c>
      <c r="E42" s="27" t="s">
        <v>2609</v>
      </c>
      <c r="F42" s="25" t="s">
        <v>2417</v>
      </c>
      <c r="G42" s="243">
        <v>1</v>
      </c>
      <c r="H42" s="244">
        <v>3</v>
      </c>
      <c r="I42" s="241">
        <v>3</v>
      </c>
      <c r="J42" s="252">
        <v>45807</v>
      </c>
      <c r="K42" s="250">
        <v>46902</v>
      </c>
      <c r="L42" s="18" t="s">
        <v>17</v>
      </c>
      <c r="M42" s="93" t="s">
        <v>2238</v>
      </c>
      <c r="N42" s="101" t="s">
        <v>2237</v>
      </c>
      <c r="O42" s="97">
        <f>SUMIF('TK 15661.Bản quyền phim '!F:F,'KK6. Bổ sung'!D42,'TK 15661.Bản quyền phim '!X:X)</f>
        <v>0</v>
      </c>
      <c r="P42" s="97">
        <f>SUMIF('TK 15661.Bản quyền phim '!F:F,'KK6. Bổ sung'!N42,'TK 15661.Bản quyền phim '!X:X)</f>
        <v>0</v>
      </c>
      <c r="Q42" s="77"/>
      <c r="R42" s="35">
        <f>COUNTIF('TK 15661.Bản quyền phim '!F:F,'KK6. Bổ sung'!N42)</f>
        <v>1</v>
      </c>
      <c r="S42" s="76">
        <f t="shared" si="0"/>
        <v>1</v>
      </c>
      <c r="T42" s="35"/>
      <c r="U42" s="35"/>
      <c r="V42" s="35"/>
      <c r="W42" s="35"/>
      <c r="X42" s="35"/>
    </row>
    <row r="43" spans="1:24" ht="22.5" customHeight="1" x14ac:dyDescent="0.25">
      <c r="A43" s="340" t="s">
        <v>2443</v>
      </c>
      <c r="B43" s="21" t="s">
        <v>2412</v>
      </c>
      <c r="C43" s="21" t="s">
        <v>2442</v>
      </c>
      <c r="D43" s="26" t="s">
        <v>2441</v>
      </c>
      <c r="E43" s="22" t="s">
        <v>2440</v>
      </c>
      <c r="F43" s="17" t="s">
        <v>2439</v>
      </c>
      <c r="G43" s="238">
        <v>1</v>
      </c>
      <c r="H43" s="237">
        <v>1</v>
      </c>
      <c r="I43" s="237">
        <v>1</v>
      </c>
      <c r="J43" s="248">
        <v>45806</v>
      </c>
      <c r="K43" s="249">
        <v>46170</v>
      </c>
      <c r="L43" s="18" t="s">
        <v>17</v>
      </c>
      <c r="M43" s="93" t="s">
        <v>2235</v>
      </c>
      <c r="N43" s="101" t="s">
        <v>2234</v>
      </c>
      <c r="O43" s="97">
        <f>SUMIF('TK 15661.Bản quyền phim '!F:F,'KK6. Bổ sung'!D43,'TK 15661.Bản quyền phim '!X:X)</f>
        <v>0</v>
      </c>
      <c r="P43" s="97">
        <f>SUMIF('TK 15661.Bản quyền phim '!F:F,'KK6. Bổ sung'!N43,'TK 15661.Bản quyền phim '!X:X)</f>
        <v>0</v>
      </c>
      <c r="Q43" s="77"/>
      <c r="R43" s="35">
        <f>COUNTIF('TK 15661.Bản quyền phim '!F:F,'KK6. Bổ sung'!N43)</f>
        <v>1</v>
      </c>
      <c r="S43" s="76">
        <f t="shared" si="0"/>
        <v>1</v>
      </c>
      <c r="T43" s="35"/>
      <c r="U43" s="35"/>
      <c r="V43" s="35"/>
      <c r="W43" s="35"/>
      <c r="X43" s="35"/>
    </row>
    <row r="44" spans="1:24" ht="22.5" hidden="1" customHeight="1" x14ac:dyDescent="0.25">
      <c r="A44" s="340" t="s">
        <v>2432</v>
      </c>
      <c r="B44" s="21" t="s">
        <v>2412</v>
      </c>
      <c r="C44" s="21" t="s">
        <v>2431</v>
      </c>
      <c r="D44" s="28" t="s">
        <v>2430</v>
      </c>
      <c r="E44" s="27" t="s">
        <v>2429</v>
      </c>
      <c r="F44" s="25" t="s">
        <v>2428</v>
      </c>
      <c r="G44" s="243">
        <v>32</v>
      </c>
      <c r="H44" s="244">
        <v>5</v>
      </c>
      <c r="I44" s="241">
        <v>160</v>
      </c>
      <c r="J44" s="252">
        <v>45926</v>
      </c>
      <c r="K44" s="250">
        <v>47751</v>
      </c>
      <c r="L44" s="18" t="s">
        <v>17</v>
      </c>
      <c r="M44" s="93" t="s">
        <v>2231</v>
      </c>
      <c r="N44" s="102" t="s">
        <v>2230</v>
      </c>
      <c r="O44" s="97">
        <f>SUMIF('TK 15661.Bản quyền phim '!F:F,'KK6. Bổ sung'!D44,'TK 15661.Bản quyền phim '!X:X)</f>
        <v>0</v>
      </c>
      <c r="P44" s="97">
        <f>SUMIF('TK 15661.Bản quyền phim '!F:F,'KK6. Bổ sung'!N44,'TK 15661.Bản quyền phim '!X:X)</f>
        <v>33737936.666666679</v>
      </c>
      <c r="Q44" s="77"/>
      <c r="R44" s="35">
        <f>COUNTIF('TK 15661.Bản quyền phim '!F:F,'KK6. Bổ sung'!N44)</f>
        <v>1</v>
      </c>
      <c r="S44" s="76">
        <f t="shared" si="0"/>
        <v>1</v>
      </c>
      <c r="T44" s="35"/>
      <c r="U44" s="35"/>
      <c r="V44" s="35"/>
      <c r="W44" s="35"/>
      <c r="X44" s="35"/>
    </row>
  </sheetData>
  <autoFilter ref="A6:S44" xr:uid="{5895DDEB-FE61-4203-8D5F-0E1AE435EB1E}">
    <filterColumn colId="5">
      <filters>
        <filter val="Doc-Art"/>
      </filters>
    </filterColumn>
  </autoFilter>
  <mergeCells count="7">
    <mergeCell ref="T1:X1"/>
    <mergeCell ref="T2:X2"/>
    <mergeCell ref="N5:R5"/>
    <mergeCell ref="S5:S6"/>
    <mergeCell ref="T5:V5"/>
    <mergeCell ref="W5:W6"/>
    <mergeCell ref="X5:X6"/>
  </mergeCells>
  <conditionalFormatting sqref="D39">
    <cfRule type="duplicateValues" dxfId="82" priority="85"/>
    <cfRule type="duplicateValues" dxfId="81" priority="84"/>
    <cfRule type="duplicateValues" dxfId="80" priority="87"/>
    <cfRule type="duplicateValues" dxfId="79" priority="86"/>
  </conditionalFormatting>
  <conditionalFormatting sqref="D40:D44 D6:D38">
    <cfRule type="duplicateValues" dxfId="78" priority="101"/>
    <cfRule type="duplicateValues" dxfId="77" priority="95"/>
  </conditionalFormatting>
  <conditionalFormatting sqref="N7">
    <cfRule type="duplicateValues" dxfId="76" priority="72"/>
  </conditionalFormatting>
  <conditionalFormatting sqref="N8">
    <cfRule type="duplicateValues" dxfId="75" priority="69"/>
    <cfRule type="duplicateValues" dxfId="74" priority="70"/>
    <cfRule type="duplicateValues" dxfId="73" priority="71"/>
    <cfRule type="duplicateValues" dxfId="72" priority="56"/>
    <cfRule type="duplicateValues" dxfId="71" priority="57"/>
    <cfRule type="duplicateValues" dxfId="70" priority="58"/>
    <cfRule type="duplicateValues" dxfId="69" priority="59"/>
    <cfRule type="duplicateValues" dxfId="68" priority="60"/>
    <cfRule type="duplicateValues" dxfId="67" priority="61"/>
    <cfRule type="duplicateValues" dxfId="66" priority="62"/>
    <cfRule type="duplicateValues" dxfId="65" priority="63"/>
    <cfRule type="duplicateValues" dxfId="64" priority="64"/>
    <cfRule type="duplicateValues" dxfId="63" priority="65"/>
    <cfRule type="duplicateValues" dxfId="62" priority="66"/>
    <cfRule type="duplicateValues" dxfId="61" priority="67"/>
    <cfRule type="duplicateValues" dxfId="60" priority="68"/>
  </conditionalFormatting>
  <conditionalFormatting sqref="N13">
    <cfRule type="duplicateValues" dxfId="59" priority="55"/>
  </conditionalFormatting>
  <conditionalFormatting sqref="N15">
    <cfRule type="duplicateValues" dxfId="58" priority="54"/>
  </conditionalFormatting>
  <conditionalFormatting sqref="N17">
    <cfRule type="duplicateValues" dxfId="57" priority="53"/>
  </conditionalFormatting>
  <conditionalFormatting sqref="N20">
    <cfRule type="duplicateValues" dxfId="56" priority="51"/>
  </conditionalFormatting>
  <conditionalFormatting sqref="N23">
    <cfRule type="duplicateValues" dxfId="55" priority="47"/>
    <cfRule type="duplicateValues" dxfId="54" priority="48"/>
    <cfRule type="duplicateValues" dxfId="53" priority="50"/>
    <cfRule type="duplicateValues" dxfId="52" priority="49"/>
  </conditionalFormatting>
  <conditionalFormatting sqref="N24">
    <cfRule type="duplicateValues" dxfId="51" priority="46"/>
  </conditionalFormatting>
  <conditionalFormatting sqref="N36">
    <cfRule type="duplicateValues" dxfId="50" priority="45"/>
  </conditionalFormatting>
  <pageMargins left="0.7" right="0.7" top="0.75" bottom="0.75" header="0.3" footer="0.3"/>
  <headerFooter>
    <oddFooter>&amp;L_x000D_&amp;1#&amp;"Aptos"&amp;10&amp;K000000 C0 - This document or email is owned by Canal+ Group.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8215-8025-4EB8-91CA-1FD87461C9BC}">
  <sheetPr codeName="Sheet4">
    <tabColor rgb="FF92D050"/>
  </sheetPr>
  <dimension ref="A1:AY183"/>
  <sheetViews>
    <sheetView zoomScale="70" zoomScaleNormal="70" workbookViewId="0">
      <pane xSplit="4" ySplit="6" topLeftCell="E175" activePane="bottomRight" state="frozen"/>
      <selection pane="topRight" activeCell="E1" sqref="E1"/>
      <selection pane="bottomLeft" activeCell="A4" sqref="A4"/>
      <selection pane="bottomRight" activeCell="B177" sqref="B177"/>
    </sheetView>
  </sheetViews>
  <sheetFormatPr defaultColWidth="8.77734375" defaultRowHeight="13.2" outlineLevelCol="1" x14ac:dyDescent="0.25"/>
  <cols>
    <col min="1" max="1" width="8.77734375" style="134" bestFit="1" customWidth="1"/>
    <col min="2" max="2" width="21.109375" style="191" customWidth="1" outlineLevel="1"/>
    <col min="3" max="3" width="18.44140625" style="367" customWidth="1"/>
    <col min="4" max="4" width="18.33203125" style="367" customWidth="1"/>
    <col min="5" max="5" width="14" style="367" customWidth="1"/>
    <col min="6" max="6" width="20.44140625" style="367" customWidth="1"/>
    <col min="7" max="7" width="8.77734375" style="367"/>
    <col min="8" max="8" width="13.21875" style="367" customWidth="1"/>
    <col min="9" max="10" width="8.77734375" style="367" hidden="1" customWidth="1"/>
    <col min="11" max="11" width="12.21875" style="367" hidden="1" customWidth="1"/>
    <col min="12" max="12" width="8.77734375" style="367" hidden="1" customWidth="1"/>
    <col min="13" max="13" width="33.5546875" style="367" hidden="1" customWidth="1" outlineLevel="1"/>
    <col min="14" max="14" width="12.5546875" style="367" hidden="1" customWidth="1" outlineLevel="1"/>
    <col min="15" max="15" width="12.77734375" style="367" hidden="1" customWidth="1" outlineLevel="1"/>
    <col min="16" max="16" width="11.77734375" style="367" hidden="1" customWidth="1" outlineLevel="1"/>
    <col min="17" max="17" width="12" style="367" hidden="1" customWidth="1" outlineLevel="1"/>
    <col min="18" max="18" width="8.77734375" style="367" hidden="1" customWidth="1" outlineLevel="1"/>
    <col min="19" max="19" width="21.44140625" style="367" hidden="1" customWidth="1" outlineLevel="1"/>
    <col min="20" max="28" width="8.77734375" style="367" hidden="1" customWidth="1" outlineLevel="1"/>
    <col min="29" max="29" width="12.21875" style="367" customWidth="1" collapsed="1"/>
    <col min="30" max="30" width="13.5546875" style="367" customWidth="1"/>
    <col min="31" max="31" width="13.5546875" style="367" hidden="1" customWidth="1" outlineLevel="1"/>
    <col min="32" max="32" width="8.77734375" style="367" hidden="1" customWidth="1" outlineLevel="1"/>
    <col min="33" max="33" width="11.44140625" style="367" hidden="1" customWidth="1" outlineLevel="1"/>
    <col min="34" max="34" width="8.77734375" style="367" hidden="1" customWidth="1" outlineLevel="1"/>
    <col min="35" max="36" width="0" style="367" hidden="1" customWidth="1" outlineLevel="1"/>
    <col min="37" max="37" width="15.5546875" style="367" hidden="1" customWidth="1" outlineLevel="1"/>
    <col min="38" max="38" width="16.88671875" style="367" customWidth="1" collapsed="1"/>
    <col min="39" max="39" width="17.5546875" style="134" hidden="1" customWidth="1"/>
    <col min="40" max="40" width="12.44140625" style="134" hidden="1" customWidth="1"/>
    <col min="41" max="43" width="20.21875" style="140" hidden="1" customWidth="1"/>
    <col min="44" max="44" width="27" style="134" hidden="1" customWidth="1"/>
    <col min="45" max="45" width="20.21875" style="134" hidden="1" customWidth="1"/>
    <col min="46" max="46" width="15.6640625" style="134" hidden="1" customWidth="1"/>
    <col min="47" max="47" width="8.77734375" style="134"/>
    <col min="48" max="48" width="13.21875" style="134" customWidth="1"/>
    <col min="49" max="49" width="14.21875" style="134" customWidth="1"/>
    <col min="50" max="50" width="24.88671875" style="134" customWidth="1"/>
    <col min="51" max="51" width="23.88671875" style="134" customWidth="1"/>
    <col min="52" max="16384" width="8.77734375" style="134"/>
  </cols>
  <sheetData>
    <row r="1" spans="1:51" x14ac:dyDescent="0.25">
      <c r="A1" s="270" t="s">
        <v>3243</v>
      </c>
      <c r="B1" s="271" t="s">
        <v>3244</v>
      </c>
      <c r="C1" s="528"/>
      <c r="J1" s="529"/>
      <c r="AK1" s="530"/>
      <c r="AO1" s="538" t="s">
        <v>3245</v>
      </c>
      <c r="AP1" s="538"/>
      <c r="AQ1" s="538"/>
      <c r="AR1" s="538"/>
      <c r="AS1" s="538"/>
      <c r="AU1" s="538" t="s">
        <v>3245</v>
      </c>
      <c r="AV1" s="538"/>
      <c r="AW1" s="538"/>
      <c r="AX1" s="538"/>
      <c r="AY1" s="538"/>
    </row>
    <row r="2" spans="1:51" x14ac:dyDescent="0.25">
      <c r="A2" s="270"/>
      <c r="B2" s="134"/>
      <c r="J2" s="531"/>
      <c r="AK2" s="530"/>
      <c r="AO2" s="539" t="s">
        <v>3246</v>
      </c>
      <c r="AP2" s="539"/>
      <c r="AQ2" s="539"/>
      <c r="AR2" s="539"/>
      <c r="AS2" s="539"/>
      <c r="AU2" s="539" t="s">
        <v>3246</v>
      </c>
      <c r="AV2" s="539"/>
      <c r="AW2" s="539"/>
      <c r="AX2" s="539"/>
      <c r="AY2" s="539"/>
    </row>
    <row r="3" spans="1:51" x14ac:dyDescent="0.25">
      <c r="A3" s="540" t="s">
        <v>3251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/>
      <c r="AD3" s="540"/>
      <c r="AE3" s="540"/>
      <c r="AF3" s="540"/>
      <c r="AG3" s="540"/>
      <c r="AH3" s="540"/>
      <c r="AI3" s="540"/>
      <c r="AJ3" s="540"/>
      <c r="AK3" s="540"/>
      <c r="AL3" s="540"/>
      <c r="AM3" s="540"/>
      <c r="AN3" s="540"/>
      <c r="AO3" s="540"/>
      <c r="AP3" s="540"/>
      <c r="AQ3" s="540"/>
      <c r="AR3" s="540"/>
      <c r="AS3" s="540"/>
    </row>
    <row r="4" spans="1:51" x14ac:dyDescent="0.25">
      <c r="A4" s="540" t="s">
        <v>3247</v>
      </c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0"/>
      <c r="AG4" s="540"/>
      <c r="AH4" s="540"/>
      <c r="AI4" s="540"/>
      <c r="AJ4" s="540"/>
      <c r="AK4" s="540"/>
      <c r="AL4" s="540"/>
      <c r="AM4" s="540"/>
      <c r="AN4" s="540"/>
      <c r="AO4" s="540"/>
      <c r="AP4" s="540"/>
      <c r="AQ4" s="540"/>
      <c r="AR4" s="540"/>
      <c r="AS4" s="540"/>
      <c r="AT4" s="552" t="s">
        <v>3210</v>
      </c>
    </row>
    <row r="5" spans="1:51" ht="52.8" x14ac:dyDescent="0.25">
      <c r="A5" s="135" t="s">
        <v>347</v>
      </c>
      <c r="B5" s="136" t="s">
        <v>123</v>
      </c>
      <c r="C5" s="136" t="s">
        <v>84</v>
      </c>
      <c r="D5" s="136" t="s">
        <v>83</v>
      </c>
      <c r="E5" s="136" t="s">
        <v>82</v>
      </c>
      <c r="F5" s="136" t="s">
        <v>344</v>
      </c>
      <c r="G5" s="136" t="s">
        <v>81</v>
      </c>
      <c r="H5" s="136" t="s">
        <v>80</v>
      </c>
      <c r="I5" s="136" t="s">
        <v>79</v>
      </c>
      <c r="J5" s="136" t="s">
        <v>78</v>
      </c>
      <c r="K5" s="448" t="s">
        <v>77</v>
      </c>
      <c r="L5" s="448" t="s">
        <v>1124</v>
      </c>
      <c r="M5" s="136" t="s">
        <v>345</v>
      </c>
      <c r="N5" s="136" t="s">
        <v>1123</v>
      </c>
      <c r="O5" s="136" t="s">
        <v>1122</v>
      </c>
      <c r="P5" s="136" t="s">
        <v>1121</v>
      </c>
      <c r="Q5" s="280" t="s">
        <v>340</v>
      </c>
      <c r="R5" s="280" t="s">
        <v>339</v>
      </c>
      <c r="S5" s="280" t="s">
        <v>338</v>
      </c>
      <c r="T5" s="280" t="s">
        <v>76</v>
      </c>
      <c r="U5" s="280" t="s">
        <v>337</v>
      </c>
      <c r="V5" s="280" t="s">
        <v>336</v>
      </c>
      <c r="W5" s="449" t="s">
        <v>75</v>
      </c>
      <c r="X5" s="450" t="s">
        <v>74</v>
      </c>
      <c r="Y5" s="449" t="s">
        <v>73</v>
      </c>
      <c r="Z5" s="449" t="s">
        <v>72</v>
      </c>
      <c r="AA5" s="449" t="s">
        <v>71</v>
      </c>
      <c r="AB5" s="449" t="s">
        <v>70</v>
      </c>
      <c r="AC5" s="136" t="s">
        <v>69</v>
      </c>
      <c r="AD5" s="136" t="s">
        <v>68</v>
      </c>
      <c r="AE5" s="136" t="s">
        <v>334</v>
      </c>
      <c r="AF5" s="451" t="s">
        <v>1120</v>
      </c>
      <c r="AG5" s="452" t="s">
        <v>1119</v>
      </c>
      <c r="AH5" s="453" t="s">
        <v>333</v>
      </c>
      <c r="AI5" s="454" t="s">
        <v>67</v>
      </c>
      <c r="AJ5" s="449" t="s">
        <v>66</v>
      </c>
      <c r="AK5" s="455" t="s">
        <v>1118</v>
      </c>
      <c r="AL5" s="456" t="s">
        <v>64</v>
      </c>
      <c r="AM5" s="139" t="s">
        <v>331</v>
      </c>
      <c r="AN5" s="139" t="s">
        <v>330</v>
      </c>
      <c r="AO5" s="139" t="s">
        <v>329</v>
      </c>
      <c r="AP5" s="106" t="s">
        <v>3223</v>
      </c>
      <c r="AQ5" s="106" t="s">
        <v>3220</v>
      </c>
      <c r="AR5" s="106" t="s">
        <v>3212</v>
      </c>
      <c r="AS5" s="106" t="s">
        <v>3204</v>
      </c>
      <c r="AT5" s="552"/>
      <c r="AU5" s="541" t="s">
        <v>3248</v>
      </c>
      <c r="AV5" s="541"/>
      <c r="AW5" s="541"/>
      <c r="AX5" s="542" t="s">
        <v>3249</v>
      </c>
      <c r="AY5" s="542" t="s">
        <v>3250</v>
      </c>
    </row>
    <row r="6" spans="1:51" ht="26.4" x14ac:dyDescent="0.25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448"/>
      <c r="L6" s="448"/>
      <c r="M6" s="136"/>
      <c r="N6" s="136"/>
      <c r="O6" s="136"/>
      <c r="P6" s="136"/>
      <c r="Q6" s="280"/>
      <c r="R6" s="280"/>
      <c r="S6" s="280"/>
      <c r="T6" s="280"/>
      <c r="U6" s="280"/>
      <c r="V6" s="280"/>
      <c r="W6" s="449"/>
      <c r="X6" s="450"/>
      <c r="Y6" s="449"/>
      <c r="Z6" s="449"/>
      <c r="AA6" s="449"/>
      <c r="AB6" s="449"/>
      <c r="AC6" s="136"/>
      <c r="AD6" s="136"/>
      <c r="AE6" s="136"/>
      <c r="AF6" s="451"/>
      <c r="AG6" s="452"/>
      <c r="AH6" s="453"/>
      <c r="AI6" s="457"/>
      <c r="AJ6" s="457"/>
      <c r="AK6" s="458"/>
      <c r="AL6" s="449"/>
      <c r="AM6" s="193"/>
      <c r="AN6" s="193"/>
      <c r="AO6" s="194"/>
      <c r="AP6" s="195">
        <f>COUNTIF(AP7:AP174,1)</f>
        <v>36</v>
      </c>
      <c r="AQ6" s="195">
        <f t="shared" ref="AQ6:AR6" si="0">COUNTIF(AQ7:AQ174,1)</f>
        <v>7</v>
      </c>
      <c r="AR6" s="195">
        <f t="shared" si="0"/>
        <v>72</v>
      </c>
      <c r="AS6" s="193"/>
      <c r="AT6" s="193"/>
      <c r="AU6" s="291" t="s">
        <v>3208</v>
      </c>
      <c r="AV6" s="291" t="s">
        <v>69</v>
      </c>
      <c r="AW6" s="291" t="s">
        <v>68</v>
      </c>
      <c r="AX6" s="542"/>
      <c r="AY6" s="542"/>
    </row>
    <row r="7" spans="1:51" ht="409.6" x14ac:dyDescent="0.25">
      <c r="A7" s="141">
        <v>1</v>
      </c>
      <c r="B7" s="142" t="s">
        <v>1117</v>
      </c>
      <c r="C7" s="144" t="s">
        <v>1111</v>
      </c>
      <c r="D7" s="144" t="s">
        <v>1116</v>
      </c>
      <c r="E7" s="144" t="s">
        <v>1115</v>
      </c>
      <c r="F7" s="144" t="s">
        <v>1114</v>
      </c>
      <c r="G7" s="144" t="s">
        <v>178</v>
      </c>
      <c r="H7" s="459">
        <v>2021</v>
      </c>
      <c r="I7" s="459">
        <v>40</v>
      </c>
      <c r="J7" s="459">
        <v>45</v>
      </c>
      <c r="K7" s="459">
        <f t="shared" ref="K7:K38" si="1">(I7*J7)/60</f>
        <v>30</v>
      </c>
      <c r="L7" s="459">
        <f>I7</f>
        <v>40</v>
      </c>
      <c r="M7" s="144" t="s">
        <v>1113</v>
      </c>
      <c r="N7" s="144" t="s">
        <v>436</v>
      </c>
      <c r="O7" s="144">
        <v>44394</v>
      </c>
      <c r="P7" s="305">
        <v>46219</v>
      </c>
      <c r="Q7" s="305">
        <v>44595</v>
      </c>
      <c r="R7" s="305" t="s">
        <v>970</v>
      </c>
      <c r="S7" s="305" t="s">
        <v>1112</v>
      </c>
      <c r="T7" s="144" t="s">
        <v>18</v>
      </c>
      <c r="U7" s="144" t="s">
        <v>18</v>
      </c>
      <c r="V7" s="144" t="s">
        <v>18</v>
      </c>
      <c r="W7" s="144" t="s">
        <v>18</v>
      </c>
      <c r="X7" s="144" t="s">
        <v>18</v>
      </c>
      <c r="Y7" s="144" t="s">
        <v>18</v>
      </c>
      <c r="Z7" s="144" t="s">
        <v>18</v>
      </c>
      <c r="AA7" s="144" t="s">
        <v>20</v>
      </c>
      <c r="AB7" s="144" t="s">
        <v>20</v>
      </c>
      <c r="AC7" s="144">
        <v>44394</v>
      </c>
      <c r="AD7" s="305">
        <v>46219</v>
      </c>
      <c r="AE7" s="144" t="s">
        <v>218</v>
      </c>
      <c r="AF7" s="460">
        <v>3</v>
      </c>
      <c r="AG7" s="461">
        <v>44600</v>
      </c>
      <c r="AH7" s="144" t="s">
        <v>218</v>
      </c>
      <c r="AI7" s="171" t="s">
        <v>18</v>
      </c>
      <c r="AJ7" s="171" t="s">
        <v>18</v>
      </c>
      <c r="AK7" s="462"/>
      <c r="AL7" s="144" t="s">
        <v>17</v>
      </c>
      <c r="AM7" s="196" t="s">
        <v>1111</v>
      </c>
      <c r="AN7" s="193"/>
      <c r="AO7" s="194">
        <f>SUMIF('TK 15661.Bản quyền phim '!F:F,'KK2. Series'!C7,'TK 15661.Bản quyền phim '!K:K)</f>
        <v>2767800000</v>
      </c>
      <c r="AP7" s="194">
        <f>COUNTIF('242.BQ Phim VOD'!$C$5:$C$8,'KK2. Series'!AM7)</f>
        <v>0</v>
      </c>
      <c r="AQ7" s="194">
        <f>COUNTIF('TK 15666. Phim SX'!$C$6:$C$13,'KK2. Series'!AM7)</f>
        <v>0</v>
      </c>
      <c r="AR7" s="193">
        <f>COUNTIF('TK 15661.Bản quyền phim '!F:F,'KK2. Series'!AM7)</f>
        <v>1</v>
      </c>
      <c r="AS7" s="193"/>
      <c r="AT7" s="197">
        <f>SUM(AP7:AS7)</f>
        <v>1</v>
      </c>
      <c r="AU7" s="193"/>
      <c r="AV7" s="193"/>
      <c r="AW7" s="193"/>
      <c r="AX7" s="193"/>
      <c r="AY7" s="193"/>
    </row>
    <row r="8" spans="1:51" ht="409.6" x14ac:dyDescent="0.25">
      <c r="A8" s="141">
        <v>2</v>
      </c>
      <c r="B8" s="142" t="s">
        <v>1110</v>
      </c>
      <c r="C8" s="144" t="s">
        <v>1105</v>
      </c>
      <c r="D8" s="144" t="s">
        <v>1109</v>
      </c>
      <c r="E8" s="144" t="s">
        <v>1108</v>
      </c>
      <c r="F8" s="144" t="s">
        <v>1107</v>
      </c>
      <c r="G8" s="144" t="s">
        <v>496</v>
      </c>
      <c r="H8" s="459">
        <v>2020</v>
      </c>
      <c r="I8" s="459">
        <v>24</v>
      </c>
      <c r="J8" s="459">
        <v>45</v>
      </c>
      <c r="K8" s="459">
        <f t="shared" si="1"/>
        <v>18</v>
      </c>
      <c r="L8" s="459">
        <f>I8</f>
        <v>24</v>
      </c>
      <c r="M8" s="144" t="s">
        <v>1106</v>
      </c>
      <c r="N8" s="144" t="s">
        <v>350</v>
      </c>
      <c r="O8" s="144">
        <v>44286</v>
      </c>
      <c r="P8" s="144">
        <v>46111</v>
      </c>
      <c r="Q8" s="144">
        <v>44291</v>
      </c>
      <c r="R8" s="144" t="s">
        <v>970</v>
      </c>
      <c r="S8" s="144"/>
      <c r="T8" s="144" t="s">
        <v>18</v>
      </c>
      <c r="U8" s="144" t="s">
        <v>18</v>
      </c>
      <c r="V8" s="144" t="s">
        <v>18</v>
      </c>
      <c r="W8" s="144" t="s">
        <v>18</v>
      </c>
      <c r="X8" s="144" t="s">
        <v>18</v>
      </c>
      <c r="Y8" s="144" t="s">
        <v>18</v>
      </c>
      <c r="Z8" s="144" t="s">
        <v>18</v>
      </c>
      <c r="AA8" s="144" t="s">
        <v>20</v>
      </c>
      <c r="AB8" s="144" t="s">
        <v>20</v>
      </c>
      <c r="AC8" s="144">
        <v>44286</v>
      </c>
      <c r="AD8" s="144">
        <v>46111</v>
      </c>
      <c r="AE8" s="144" t="s">
        <v>218</v>
      </c>
      <c r="AF8" s="460">
        <v>8</v>
      </c>
      <c r="AG8" s="461">
        <v>44703</v>
      </c>
      <c r="AH8" s="144" t="s">
        <v>218</v>
      </c>
      <c r="AI8" s="171" t="s">
        <v>18</v>
      </c>
      <c r="AJ8" s="171" t="s">
        <v>18</v>
      </c>
      <c r="AK8" s="462"/>
      <c r="AL8" s="144" t="s">
        <v>17</v>
      </c>
      <c r="AM8" s="196" t="s">
        <v>1105</v>
      </c>
      <c r="AN8" s="193"/>
      <c r="AO8" s="194">
        <f>SUMIF('TK 15661.Bản quyền phim '!F:F,'KK2. Series'!C8,'TK 15661.Bản quyền phim '!K:K)</f>
        <v>660158900</v>
      </c>
      <c r="AP8" s="194">
        <f>COUNTIF('242.BQ Phim VOD'!$C$5:$C$8,'KK2. Series'!AM8)</f>
        <v>0</v>
      </c>
      <c r="AQ8" s="194">
        <f>COUNTIF('TK 15666. Phim SX'!$C$6:$C$13,'KK2. Series'!AM8)</f>
        <v>0</v>
      </c>
      <c r="AR8" s="193">
        <f>COUNTIF('TK 15661.Bản quyền phim '!F:F,'KK2. Series'!AM8)</f>
        <v>1</v>
      </c>
      <c r="AS8" s="193"/>
      <c r="AT8" s="197">
        <f t="shared" ref="AT8:AT71" si="2">SUM(AP8:AS8)</f>
        <v>1</v>
      </c>
      <c r="AU8" s="193"/>
      <c r="AV8" s="193"/>
      <c r="AW8" s="193"/>
      <c r="AX8" s="193"/>
      <c r="AY8" s="193"/>
    </row>
    <row r="9" spans="1:51" ht="409.6" x14ac:dyDescent="0.25">
      <c r="A9" s="141">
        <v>3</v>
      </c>
      <c r="B9" s="142" t="s">
        <v>1104</v>
      </c>
      <c r="C9" s="144" t="s">
        <v>1103</v>
      </c>
      <c r="D9" s="144" t="s">
        <v>1102</v>
      </c>
      <c r="E9" s="144" t="s">
        <v>1074</v>
      </c>
      <c r="F9" s="144" t="s">
        <v>1073</v>
      </c>
      <c r="G9" s="144" t="s">
        <v>133</v>
      </c>
      <c r="H9" s="459">
        <v>2021</v>
      </c>
      <c r="I9" s="459">
        <v>32</v>
      </c>
      <c r="J9" s="459">
        <v>45</v>
      </c>
      <c r="K9" s="463">
        <f t="shared" si="1"/>
        <v>24</v>
      </c>
      <c r="L9" s="459">
        <f>I9</f>
        <v>32</v>
      </c>
      <c r="M9" s="144" t="s">
        <v>898</v>
      </c>
      <c r="N9" s="144" t="s">
        <v>350</v>
      </c>
      <c r="O9" s="305">
        <v>44971</v>
      </c>
      <c r="P9" s="305">
        <v>46066</v>
      </c>
      <c r="Q9" s="305">
        <v>44971</v>
      </c>
      <c r="R9" s="305" t="s">
        <v>970</v>
      </c>
      <c r="S9" s="144" t="s">
        <v>1071</v>
      </c>
      <c r="T9" s="144" t="s">
        <v>18</v>
      </c>
      <c r="U9" s="144" t="s">
        <v>18</v>
      </c>
      <c r="V9" s="144" t="s">
        <v>18</v>
      </c>
      <c r="W9" s="144" t="s">
        <v>18</v>
      </c>
      <c r="X9" s="144" t="s">
        <v>18</v>
      </c>
      <c r="Y9" s="144" t="s">
        <v>18</v>
      </c>
      <c r="Z9" s="144" t="s">
        <v>18</v>
      </c>
      <c r="AA9" s="144" t="s">
        <v>18</v>
      </c>
      <c r="AB9" s="144" t="s">
        <v>18</v>
      </c>
      <c r="AC9" s="305">
        <v>44971</v>
      </c>
      <c r="AD9" s="305">
        <v>46066</v>
      </c>
      <c r="AE9" s="144" t="s">
        <v>218</v>
      </c>
      <c r="AF9" s="460">
        <v>8</v>
      </c>
      <c r="AG9" s="461">
        <v>45738</v>
      </c>
      <c r="AH9" s="144" t="s">
        <v>218</v>
      </c>
      <c r="AI9" s="171" t="s">
        <v>18</v>
      </c>
      <c r="AJ9" s="171" t="s">
        <v>18</v>
      </c>
      <c r="AK9" s="462"/>
      <c r="AL9" s="144" t="s">
        <v>17</v>
      </c>
      <c r="AM9" s="193" t="s">
        <v>1101</v>
      </c>
      <c r="AN9" s="193"/>
      <c r="AO9" s="194">
        <f>SUMIF('TK 15661.Bản quyền phim '!F:F,'KK2. Series'!C9,'TK 15661.Bản quyền phim '!K:K)</f>
        <v>0</v>
      </c>
      <c r="AP9" s="194">
        <f>COUNTIF('242.BQ Phim VOD'!$C$5:$C$8,'KK2. Series'!AM9)</f>
        <v>0</v>
      </c>
      <c r="AQ9" s="194">
        <f>COUNTIF('TK 15666. Phim SX'!$C$6:$C$13,'KK2. Series'!AM9)</f>
        <v>0</v>
      </c>
      <c r="AR9" s="193">
        <f>COUNTIF('TK 15661.Bản quyền phim '!F:F,'KK2. Series'!AM9)</f>
        <v>1</v>
      </c>
      <c r="AS9" s="193"/>
      <c r="AT9" s="197">
        <f t="shared" si="2"/>
        <v>1</v>
      </c>
      <c r="AU9" s="193"/>
      <c r="AV9" s="193"/>
      <c r="AW9" s="193"/>
      <c r="AX9" s="193"/>
      <c r="AY9" s="193"/>
    </row>
    <row r="10" spans="1:51" ht="409.6" x14ac:dyDescent="0.25">
      <c r="A10" s="141">
        <v>4</v>
      </c>
      <c r="B10" s="142" t="s">
        <v>1100</v>
      </c>
      <c r="C10" s="144" t="s">
        <v>1099</v>
      </c>
      <c r="D10" s="144" t="s">
        <v>1098</v>
      </c>
      <c r="E10" s="144" t="s">
        <v>513</v>
      </c>
      <c r="F10" s="144" t="s">
        <v>1097</v>
      </c>
      <c r="G10" s="144" t="s">
        <v>178</v>
      </c>
      <c r="H10" s="459">
        <v>2022</v>
      </c>
      <c r="I10" s="459">
        <v>38</v>
      </c>
      <c r="J10" s="459">
        <v>45</v>
      </c>
      <c r="K10" s="459">
        <f t="shared" si="1"/>
        <v>28.5</v>
      </c>
      <c r="L10" s="459">
        <f>I10</f>
        <v>38</v>
      </c>
      <c r="M10" s="144" t="s">
        <v>1096</v>
      </c>
      <c r="N10" s="144" t="s">
        <v>350</v>
      </c>
      <c r="O10" s="305">
        <v>45041</v>
      </c>
      <c r="P10" s="305">
        <v>46501</v>
      </c>
      <c r="Q10" s="305">
        <v>45055</v>
      </c>
      <c r="R10" s="305" t="s">
        <v>970</v>
      </c>
      <c r="S10" s="144" t="s">
        <v>1095</v>
      </c>
      <c r="T10" s="144" t="s">
        <v>20</v>
      </c>
      <c r="U10" s="144" t="s">
        <v>18</v>
      </c>
      <c r="V10" s="144" t="s">
        <v>18</v>
      </c>
      <c r="W10" s="144" t="s">
        <v>18</v>
      </c>
      <c r="X10" s="144" t="s">
        <v>20</v>
      </c>
      <c r="Y10" s="144" t="s">
        <v>20</v>
      </c>
      <c r="Z10" s="144" t="s">
        <v>18</v>
      </c>
      <c r="AA10" s="144" t="s">
        <v>20</v>
      </c>
      <c r="AB10" s="144" t="s">
        <v>20</v>
      </c>
      <c r="AC10" s="305">
        <v>45041</v>
      </c>
      <c r="AD10" s="305">
        <v>46501</v>
      </c>
      <c r="AE10" s="144" t="s">
        <v>218</v>
      </c>
      <c r="AF10" s="460">
        <v>5</v>
      </c>
      <c r="AG10" s="461">
        <v>45059</v>
      </c>
      <c r="AH10" s="144" t="s">
        <v>218</v>
      </c>
      <c r="AI10" s="171" t="s">
        <v>18</v>
      </c>
      <c r="AJ10" s="171" t="s">
        <v>18</v>
      </c>
      <c r="AK10" s="462"/>
      <c r="AL10" s="144" t="s">
        <v>17</v>
      </c>
      <c r="AM10" s="198" t="s">
        <v>1094</v>
      </c>
      <c r="AN10" s="193"/>
      <c r="AO10" s="194">
        <f>SUMIF('TK 15661.Bản quyền phim '!F:F,'KK2. Series'!C10,'TK 15661.Bản quyền phim '!K:K)</f>
        <v>0</v>
      </c>
      <c r="AP10" s="194">
        <f>COUNTIF('242.BQ Phim VOD'!$C$5:$C$8,'KK2. Series'!AM10)</f>
        <v>0</v>
      </c>
      <c r="AQ10" s="194">
        <f>COUNTIF('TK 15666. Phim SX'!$C$6:$C$13,'KK2. Series'!AM10)</f>
        <v>0</v>
      </c>
      <c r="AR10" s="193">
        <f>COUNTIF('TK 15661.Bản quyền phim '!F:F,'KK2. Series'!AM10)</f>
        <v>1</v>
      </c>
      <c r="AS10" s="193"/>
      <c r="AT10" s="197">
        <f t="shared" si="2"/>
        <v>1</v>
      </c>
      <c r="AU10" s="193"/>
      <c r="AV10" s="193"/>
      <c r="AW10" s="193"/>
      <c r="AX10" s="193"/>
      <c r="AY10" s="193"/>
    </row>
    <row r="11" spans="1:51" ht="409.6" x14ac:dyDescent="0.25">
      <c r="A11" s="141">
        <v>5</v>
      </c>
      <c r="B11" s="142" t="s">
        <v>1093</v>
      </c>
      <c r="C11" s="144" t="s">
        <v>1090</v>
      </c>
      <c r="D11" s="144" t="s">
        <v>1092</v>
      </c>
      <c r="E11" s="430" t="s">
        <v>870</v>
      </c>
      <c r="F11" s="144" t="s">
        <v>978</v>
      </c>
      <c r="G11" s="430" t="s">
        <v>133</v>
      </c>
      <c r="H11" s="459">
        <v>2023</v>
      </c>
      <c r="I11" s="459">
        <v>18</v>
      </c>
      <c r="J11" s="459">
        <v>70</v>
      </c>
      <c r="K11" s="463">
        <f t="shared" si="1"/>
        <v>21</v>
      </c>
      <c r="L11" s="459">
        <v>26</v>
      </c>
      <c r="M11" s="430" t="s">
        <v>898</v>
      </c>
      <c r="N11" s="144" t="s">
        <v>436</v>
      </c>
      <c r="O11" s="144">
        <v>45005</v>
      </c>
      <c r="P11" s="144">
        <v>46100</v>
      </c>
      <c r="Q11" s="305">
        <v>45065</v>
      </c>
      <c r="R11" s="144" t="s">
        <v>970</v>
      </c>
      <c r="S11" s="144" t="s">
        <v>1091</v>
      </c>
      <c r="T11" s="144" t="s">
        <v>18</v>
      </c>
      <c r="U11" s="144" t="s">
        <v>18</v>
      </c>
      <c r="V11" s="144" t="s">
        <v>18</v>
      </c>
      <c r="W11" s="144" t="s">
        <v>18</v>
      </c>
      <c r="X11" s="144" t="s">
        <v>18</v>
      </c>
      <c r="Y11" s="144" t="s">
        <v>18</v>
      </c>
      <c r="Z11" s="144" t="s">
        <v>18</v>
      </c>
      <c r="AA11" s="144" t="s">
        <v>18</v>
      </c>
      <c r="AB11" s="144" t="s">
        <v>18</v>
      </c>
      <c r="AC11" s="144">
        <v>45005</v>
      </c>
      <c r="AD11" s="144">
        <v>46100</v>
      </c>
      <c r="AE11" s="142">
        <v>8</v>
      </c>
      <c r="AF11" s="460">
        <v>3</v>
      </c>
      <c r="AG11" s="461">
        <v>45071</v>
      </c>
      <c r="AH11" s="460">
        <f>AE11-AF11</f>
        <v>5</v>
      </c>
      <c r="AI11" s="171" t="s">
        <v>18</v>
      </c>
      <c r="AJ11" s="171" t="s">
        <v>18</v>
      </c>
      <c r="AK11" s="462" t="s">
        <v>402</v>
      </c>
      <c r="AL11" s="144" t="s">
        <v>17</v>
      </c>
      <c r="AM11" s="196" t="s">
        <v>1090</v>
      </c>
      <c r="AN11" s="193"/>
      <c r="AO11" s="194">
        <f>SUMIF('TK 15661.Bản quyền phim '!F:F,'KK2. Series'!C11,'TK 15661.Bản quyền phim '!K:K)</f>
        <v>944000000</v>
      </c>
      <c r="AP11" s="194">
        <f>COUNTIF('242.BQ Phim VOD'!$C$5:$C$8,'KK2. Series'!AM11)</f>
        <v>0</v>
      </c>
      <c r="AQ11" s="194">
        <f>COUNTIF('TK 15666. Phim SX'!$C$6:$C$13,'KK2. Series'!AM11)</f>
        <v>0</v>
      </c>
      <c r="AR11" s="193">
        <f>COUNTIF('TK 15661.Bản quyền phim '!F:F,'KK2. Series'!AM11)</f>
        <v>1</v>
      </c>
      <c r="AS11" s="193"/>
      <c r="AT11" s="197">
        <f t="shared" si="2"/>
        <v>1</v>
      </c>
      <c r="AU11" s="193"/>
      <c r="AV11" s="193"/>
      <c r="AW11" s="193"/>
      <c r="AX11" s="193"/>
      <c r="AY11" s="193"/>
    </row>
    <row r="12" spans="1:51" ht="409.6" x14ac:dyDescent="0.25">
      <c r="A12" s="141">
        <v>6</v>
      </c>
      <c r="B12" s="142" t="s">
        <v>1089</v>
      </c>
      <c r="C12" s="164" t="s">
        <v>1088</v>
      </c>
      <c r="D12" s="144" t="s">
        <v>1087</v>
      </c>
      <c r="E12" s="144" t="s">
        <v>1086</v>
      </c>
      <c r="F12" s="144" t="s">
        <v>1085</v>
      </c>
      <c r="G12" s="144" t="s">
        <v>133</v>
      </c>
      <c r="H12" s="459">
        <v>2023</v>
      </c>
      <c r="I12" s="459">
        <v>16</v>
      </c>
      <c r="J12" s="459">
        <v>70</v>
      </c>
      <c r="K12" s="463">
        <f t="shared" si="1"/>
        <v>18.666666666666668</v>
      </c>
      <c r="L12" s="459">
        <v>25</v>
      </c>
      <c r="M12" s="144" t="s">
        <v>1084</v>
      </c>
      <c r="N12" s="144" t="s">
        <v>350</v>
      </c>
      <c r="O12" s="305">
        <v>45101</v>
      </c>
      <c r="P12" s="305">
        <v>46561</v>
      </c>
      <c r="Q12" s="305">
        <v>45101</v>
      </c>
      <c r="R12" s="305" t="s">
        <v>970</v>
      </c>
      <c r="S12" s="144" t="s">
        <v>867</v>
      </c>
      <c r="T12" s="144" t="s">
        <v>18</v>
      </c>
      <c r="U12" s="144" t="s">
        <v>18</v>
      </c>
      <c r="V12" s="144" t="s">
        <v>18</v>
      </c>
      <c r="W12" s="144" t="s">
        <v>18</v>
      </c>
      <c r="X12" s="144" t="s">
        <v>18</v>
      </c>
      <c r="Y12" s="144" t="s">
        <v>18</v>
      </c>
      <c r="Z12" s="144" t="s">
        <v>18</v>
      </c>
      <c r="AA12" s="144" t="s">
        <v>18</v>
      </c>
      <c r="AB12" s="144" t="s">
        <v>18</v>
      </c>
      <c r="AC12" s="305">
        <v>45101</v>
      </c>
      <c r="AD12" s="305">
        <v>46561</v>
      </c>
      <c r="AE12" s="144" t="s">
        <v>218</v>
      </c>
      <c r="AF12" s="460">
        <v>1</v>
      </c>
      <c r="AG12" s="461">
        <v>45101</v>
      </c>
      <c r="AH12" s="144" t="s">
        <v>218</v>
      </c>
      <c r="AI12" s="171" t="s">
        <v>18</v>
      </c>
      <c r="AJ12" s="171" t="s">
        <v>18</v>
      </c>
      <c r="AK12" s="462" t="s">
        <v>402</v>
      </c>
      <c r="AL12" s="144" t="s">
        <v>17</v>
      </c>
      <c r="AM12" s="198" t="s">
        <v>1083</v>
      </c>
      <c r="AN12" s="193"/>
      <c r="AO12" s="194">
        <f>SUMIF('TK 15661.Bản quyền phim '!F:F,'KK2. Series'!C12,'TK 15661.Bản quyền phim '!K:K)</f>
        <v>0</v>
      </c>
      <c r="AP12" s="194">
        <f>COUNTIF('242.BQ Phim VOD'!$C$5:$C$8,'KK2. Series'!AM12)</f>
        <v>0</v>
      </c>
      <c r="AQ12" s="194">
        <f>COUNTIF('TK 15666. Phim SX'!$C$6:$C$13,'KK2. Series'!AM12)</f>
        <v>0</v>
      </c>
      <c r="AR12" s="193">
        <f>COUNTIF('TK 15661.Bản quyền phim '!F:F,'KK2. Series'!AM12)</f>
        <v>1</v>
      </c>
      <c r="AS12" s="193"/>
      <c r="AT12" s="197">
        <f t="shared" si="2"/>
        <v>1</v>
      </c>
      <c r="AU12" s="193"/>
      <c r="AV12" s="193"/>
      <c r="AW12" s="193"/>
      <c r="AX12" s="193"/>
      <c r="AY12" s="193"/>
    </row>
    <row r="13" spans="1:51" ht="409.6" x14ac:dyDescent="0.25">
      <c r="A13" s="141">
        <v>7</v>
      </c>
      <c r="B13" s="142" t="s">
        <v>1082</v>
      </c>
      <c r="C13" s="144" t="s">
        <v>1077</v>
      </c>
      <c r="D13" s="144" t="s">
        <v>1081</v>
      </c>
      <c r="E13" s="144" t="s">
        <v>1080</v>
      </c>
      <c r="F13" s="144" t="s">
        <v>1079</v>
      </c>
      <c r="G13" s="144" t="s">
        <v>178</v>
      </c>
      <c r="H13" s="459">
        <v>2017</v>
      </c>
      <c r="I13" s="459">
        <v>32</v>
      </c>
      <c r="J13" s="459">
        <v>45</v>
      </c>
      <c r="K13" s="459">
        <f t="shared" si="1"/>
        <v>24</v>
      </c>
      <c r="L13" s="459">
        <f>I13</f>
        <v>32</v>
      </c>
      <c r="M13" s="144" t="s">
        <v>511</v>
      </c>
      <c r="N13" s="144" t="s">
        <v>511</v>
      </c>
      <c r="O13" s="305">
        <v>45107</v>
      </c>
      <c r="P13" s="305">
        <v>46567</v>
      </c>
      <c r="Q13" s="305">
        <v>45110</v>
      </c>
      <c r="R13" s="305" t="s">
        <v>970</v>
      </c>
      <c r="S13" s="144" t="s">
        <v>1078</v>
      </c>
      <c r="T13" s="144" t="s">
        <v>20</v>
      </c>
      <c r="U13" s="144" t="s">
        <v>18</v>
      </c>
      <c r="V13" s="144" t="s">
        <v>18</v>
      </c>
      <c r="W13" s="144" t="s">
        <v>18</v>
      </c>
      <c r="X13" s="144" t="s">
        <v>20</v>
      </c>
      <c r="Y13" s="144" t="s">
        <v>20</v>
      </c>
      <c r="Z13" s="144" t="s">
        <v>18</v>
      </c>
      <c r="AA13" s="144" t="s">
        <v>20</v>
      </c>
      <c r="AB13" s="144" t="s">
        <v>20</v>
      </c>
      <c r="AC13" s="305">
        <v>45107</v>
      </c>
      <c r="AD13" s="305">
        <v>46567</v>
      </c>
      <c r="AE13" s="144" t="s">
        <v>218</v>
      </c>
      <c r="AF13" s="460">
        <v>5</v>
      </c>
      <c r="AG13" s="461">
        <v>45115</v>
      </c>
      <c r="AH13" s="144" t="s">
        <v>218</v>
      </c>
      <c r="AI13" s="171" t="s">
        <v>18</v>
      </c>
      <c r="AJ13" s="171" t="s">
        <v>18</v>
      </c>
      <c r="AK13" s="462"/>
      <c r="AL13" s="144" t="s">
        <v>17</v>
      </c>
      <c r="AM13" s="196" t="s">
        <v>1077</v>
      </c>
      <c r="AN13" s="193"/>
      <c r="AO13" s="194">
        <f>SUMIF('TK 15661.Bản quyền phim '!F:F,'KK2. Series'!C13,'TK 15661.Bản quyền phim '!K:K)</f>
        <v>755200000</v>
      </c>
      <c r="AP13" s="194">
        <f>COUNTIF('242.BQ Phim VOD'!$C$5:$C$8,'KK2. Series'!AM13)</f>
        <v>0</v>
      </c>
      <c r="AQ13" s="194">
        <f>COUNTIF('TK 15666. Phim SX'!$C$6:$C$13,'KK2. Series'!AM13)</f>
        <v>0</v>
      </c>
      <c r="AR13" s="193">
        <f>COUNTIF('TK 15661.Bản quyền phim '!F:F,'KK2. Series'!AM13)</f>
        <v>1</v>
      </c>
      <c r="AS13" s="193"/>
      <c r="AT13" s="197">
        <f t="shared" si="2"/>
        <v>1</v>
      </c>
      <c r="AU13" s="193"/>
      <c r="AV13" s="193"/>
      <c r="AW13" s="193"/>
      <c r="AX13" s="193"/>
      <c r="AY13" s="193"/>
    </row>
    <row r="14" spans="1:51" ht="409.6" x14ac:dyDescent="0.25">
      <c r="A14" s="141">
        <v>8</v>
      </c>
      <c r="B14" s="142" t="s">
        <v>1076</v>
      </c>
      <c r="C14" s="144" t="s">
        <v>1070</v>
      </c>
      <c r="D14" s="144" t="s">
        <v>1075</v>
      </c>
      <c r="E14" s="144" t="s">
        <v>1074</v>
      </c>
      <c r="F14" s="144" t="s">
        <v>1073</v>
      </c>
      <c r="G14" s="144" t="s">
        <v>133</v>
      </c>
      <c r="H14" s="459">
        <v>2022</v>
      </c>
      <c r="I14" s="459">
        <v>18</v>
      </c>
      <c r="J14" s="459">
        <v>45</v>
      </c>
      <c r="K14" s="463">
        <f t="shared" si="1"/>
        <v>13.5</v>
      </c>
      <c r="L14" s="459">
        <f>I14</f>
        <v>18</v>
      </c>
      <c r="M14" s="144" t="s">
        <v>1072</v>
      </c>
      <c r="N14" s="144" t="s">
        <v>436</v>
      </c>
      <c r="O14" s="305">
        <v>44945</v>
      </c>
      <c r="P14" s="305">
        <v>46040</v>
      </c>
      <c r="Q14" s="305">
        <v>44959</v>
      </c>
      <c r="R14" s="305" t="s">
        <v>970</v>
      </c>
      <c r="S14" s="144" t="s">
        <v>1071</v>
      </c>
      <c r="T14" s="144" t="s">
        <v>18</v>
      </c>
      <c r="U14" s="144" t="s">
        <v>18</v>
      </c>
      <c r="V14" s="144" t="s">
        <v>18</v>
      </c>
      <c r="W14" s="144" t="s">
        <v>18</v>
      </c>
      <c r="X14" s="144" t="s">
        <v>18</v>
      </c>
      <c r="Y14" s="144" t="s">
        <v>18</v>
      </c>
      <c r="Z14" s="144" t="s">
        <v>18</v>
      </c>
      <c r="AA14" s="144" t="s">
        <v>18</v>
      </c>
      <c r="AB14" s="144" t="s">
        <v>18</v>
      </c>
      <c r="AC14" s="305">
        <v>44945</v>
      </c>
      <c r="AD14" s="305">
        <v>46040</v>
      </c>
      <c r="AE14" s="144" t="s">
        <v>218</v>
      </c>
      <c r="AF14" s="460">
        <v>11</v>
      </c>
      <c r="AG14" s="461">
        <v>45714</v>
      </c>
      <c r="AH14" s="144" t="s">
        <v>218</v>
      </c>
      <c r="AI14" s="171" t="s">
        <v>18</v>
      </c>
      <c r="AJ14" s="171" t="s">
        <v>18</v>
      </c>
      <c r="AK14" s="462"/>
      <c r="AL14" s="144" t="s">
        <v>17</v>
      </c>
      <c r="AM14" s="196" t="s">
        <v>1070</v>
      </c>
      <c r="AN14" s="193"/>
      <c r="AO14" s="194">
        <f>SUMIF('TK 15661.Bản quyền phim '!F:F,'KK2. Series'!C14,'TK 15661.Bản quyền phim '!K:K)</f>
        <v>542640000</v>
      </c>
      <c r="AP14" s="194">
        <f>COUNTIF('242.BQ Phim VOD'!$C$5:$C$8,'KK2. Series'!AM14)</f>
        <v>0</v>
      </c>
      <c r="AQ14" s="194">
        <f>COUNTIF('TK 15666. Phim SX'!$C$6:$C$13,'KK2. Series'!AM14)</f>
        <v>0</v>
      </c>
      <c r="AR14" s="193">
        <f>COUNTIF('TK 15661.Bản quyền phim '!F:F,'KK2. Series'!AM14)</f>
        <v>1</v>
      </c>
      <c r="AS14" s="193"/>
      <c r="AT14" s="197">
        <f t="shared" si="2"/>
        <v>1</v>
      </c>
      <c r="AU14" s="193"/>
      <c r="AV14" s="193"/>
      <c r="AW14" s="193"/>
      <c r="AX14" s="193"/>
      <c r="AY14" s="193"/>
    </row>
    <row r="15" spans="1:51" ht="409.6" x14ac:dyDescent="0.25">
      <c r="A15" s="141">
        <v>9</v>
      </c>
      <c r="B15" s="142" t="s">
        <v>1069</v>
      </c>
      <c r="C15" s="144" t="s">
        <v>1068</v>
      </c>
      <c r="D15" s="144" t="s">
        <v>1067</v>
      </c>
      <c r="E15" s="144" t="s">
        <v>985</v>
      </c>
      <c r="F15" s="144" t="s">
        <v>1066</v>
      </c>
      <c r="G15" s="144" t="s">
        <v>178</v>
      </c>
      <c r="H15" s="459">
        <v>2023</v>
      </c>
      <c r="I15" s="459">
        <v>40</v>
      </c>
      <c r="J15" s="459">
        <v>45</v>
      </c>
      <c r="K15" s="459">
        <f t="shared" si="1"/>
        <v>30</v>
      </c>
      <c r="L15" s="459">
        <f>I15</f>
        <v>40</v>
      </c>
      <c r="M15" s="144" t="s">
        <v>1065</v>
      </c>
      <c r="N15" s="144" t="s">
        <v>436</v>
      </c>
      <c r="O15" s="305">
        <v>45110</v>
      </c>
      <c r="P15" s="305">
        <v>46936</v>
      </c>
      <c r="Q15" s="305">
        <v>45124</v>
      </c>
      <c r="R15" s="305" t="s">
        <v>970</v>
      </c>
      <c r="S15" s="144" t="s">
        <v>867</v>
      </c>
      <c r="T15" s="144" t="s">
        <v>18</v>
      </c>
      <c r="U15" s="144" t="s">
        <v>18</v>
      </c>
      <c r="V15" s="144" t="s">
        <v>18</v>
      </c>
      <c r="W15" s="144" t="s">
        <v>18</v>
      </c>
      <c r="X15" s="144" t="s">
        <v>18</v>
      </c>
      <c r="Y15" s="144" t="s">
        <v>18</v>
      </c>
      <c r="Z15" s="144" t="s">
        <v>18</v>
      </c>
      <c r="AA15" s="144" t="s">
        <v>18</v>
      </c>
      <c r="AB15" s="144" t="s">
        <v>18</v>
      </c>
      <c r="AC15" s="305">
        <v>45110</v>
      </c>
      <c r="AD15" s="305">
        <v>46936</v>
      </c>
      <c r="AE15" s="144" t="s">
        <v>218</v>
      </c>
      <c r="AF15" s="460">
        <v>4</v>
      </c>
      <c r="AG15" s="461">
        <v>45138</v>
      </c>
      <c r="AH15" s="144" t="s">
        <v>218</v>
      </c>
      <c r="AI15" s="171" t="s">
        <v>18</v>
      </c>
      <c r="AJ15" s="171" t="s">
        <v>18</v>
      </c>
      <c r="AK15" s="462" t="s">
        <v>402</v>
      </c>
      <c r="AL15" s="144" t="s">
        <v>17</v>
      </c>
      <c r="AM15" s="198" t="s">
        <v>1064</v>
      </c>
      <c r="AN15" s="193"/>
      <c r="AO15" s="194">
        <f>SUMIF('TK 15661.Bản quyền phim '!F:F,'KK2. Series'!C15,'TK 15661.Bản quyền phim '!K:K)</f>
        <v>0</v>
      </c>
      <c r="AP15" s="194">
        <f>COUNTIF('242.BQ Phim VOD'!$C$5:$C$8,'KK2. Series'!AM15)</f>
        <v>0</v>
      </c>
      <c r="AQ15" s="194">
        <f>COUNTIF('TK 15666. Phim SX'!$C$6:$C$13,'KK2. Series'!AM15)</f>
        <v>0</v>
      </c>
      <c r="AR15" s="193">
        <f>COUNTIF('TK 15661.Bản quyền phim '!F:F,'KK2. Series'!AM15)</f>
        <v>1</v>
      </c>
      <c r="AS15" s="193"/>
      <c r="AT15" s="197">
        <f t="shared" si="2"/>
        <v>1</v>
      </c>
      <c r="AU15" s="193"/>
      <c r="AV15" s="193"/>
      <c r="AW15" s="193"/>
      <c r="AX15" s="193"/>
      <c r="AY15" s="193"/>
    </row>
    <row r="16" spans="1:51" ht="198" x14ac:dyDescent="0.25">
      <c r="A16" s="141">
        <v>10</v>
      </c>
      <c r="B16" s="142" t="s">
        <v>1063</v>
      </c>
      <c r="C16" s="144" t="s">
        <v>1060</v>
      </c>
      <c r="D16" s="144" t="s">
        <v>1062</v>
      </c>
      <c r="E16" s="164" t="s">
        <v>894</v>
      </c>
      <c r="F16" s="144" t="s">
        <v>893</v>
      </c>
      <c r="G16" s="164" t="s">
        <v>133</v>
      </c>
      <c r="H16" s="164">
        <v>2021</v>
      </c>
      <c r="I16" s="164">
        <v>3</v>
      </c>
      <c r="J16" s="164">
        <v>70</v>
      </c>
      <c r="K16" s="463">
        <f t="shared" si="1"/>
        <v>3.5</v>
      </c>
      <c r="L16" s="459">
        <v>5</v>
      </c>
      <c r="M16" s="164" t="s">
        <v>1061</v>
      </c>
      <c r="N16" s="144" t="s">
        <v>385</v>
      </c>
      <c r="O16" s="464">
        <v>45107</v>
      </c>
      <c r="P16" s="464">
        <v>46933</v>
      </c>
      <c r="Q16" s="144">
        <v>45143</v>
      </c>
      <c r="R16" s="144" t="s">
        <v>970</v>
      </c>
      <c r="S16" s="164" t="s">
        <v>867</v>
      </c>
      <c r="T16" s="164" t="s">
        <v>20</v>
      </c>
      <c r="U16" s="144" t="s">
        <v>18</v>
      </c>
      <c r="V16" s="144" t="s">
        <v>18</v>
      </c>
      <c r="W16" s="144" t="s">
        <v>18</v>
      </c>
      <c r="X16" s="144" t="s">
        <v>18</v>
      </c>
      <c r="Y16" s="144" t="s">
        <v>18</v>
      </c>
      <c r="Z16" s="144" t="s">
        <v>18</v>
      </c>
      <c r="AA16" s="144" t="s">
        <v>18</v>
      </c>
      <c r="AB16" s="144" t="s">
        <v>18</v>
      </c>
      <c r="AC16" s="464">
        <v>45107</v>
      </c>
      <c r="AD16" s="464">
        <v>46933</v>
      </c>
      <c r="AE16" s="164" t="s">
        <v>218</v>
      </c>
      <c r="AF16" s="460">
        <v>1</v>
      </c>
      <c r="AG16" s="461">
        <v>45143</v>
      </c>
      <c r="AH16" s="164" t="s">
        <v>218</v>
      </c>
      <c r="AI16" s="171" t="s">
        <v>18</v>
      </c>
      <c r="AJ16" s="171" t="s">
        <v>18</v>
      </c>
      <c r="AK16" s="462"/>
      <c r="AL16" s="144" t="s">
        <v>17</v>
      </c>
      <c r="AM16" s="196" t="s">
        <v>1060</v>
      </c>
      <c r="AN16" s="193"/>
      <c r="AO16" s="194">
        <f>SUMIF('TK 15661.Bản quyền phim '!F:F,'KK2. Series'!C16,'TK 15661.Bản quyền phim '!K:K)</f>
        <v>107100000</v>
      </c>
      <c r="AP16" s="194">
        <f>COUNTIF('242.BQ Phim VOD'!$C$5:$C$8,'KK2. Series'!AM16)</f>
        <v>0</v>
      </c>
      <c r="AQ16" s="194">
        <f>COUNTIF('TK 15666. Phim SX'!$C$6:$C$13,'KK2. Series'!AM16)</f>
        <v>0</v>
      </c>
      <c r="AR16" s="193">
        <f>COUNTIF('TK 15661.Bản quyền phim '!F:F,'KK2. Series'!AM16)</f>
        <v>1</v>
      </c>
      <c r="AS16" s="193"/>
      <c r="AT16" s="197">
        <f t="shared" si="2"/>
        <v>1</v>
      </c>
      <c r="AU16" s="193"/>
      <c r="AV16" s="193"/>
      <c r="AW16" s="193"/>
      <c r="AX16" s="193"/>
      <c r="AY16" s="193"/>
    </row>
    <row r="17" spans="1:51" ht="409.6" x14ac:dyDescent="0.25">
      <c r="A17" s="141">
        <v>11</v>
      </c>
      <c r="B17" s="142" t="s">
        <v>1059</v>
      </c>
      <c r="C17" s="144" t="s">
        <v>1058</v>
      </c>
      <c r="D17" s="144" t="s">
        <v>1057</v>
      </c>
      <c r="E17" s="144" t="s">
        <v>1056</v>
      </c>
      <c r="F17" s="144" t="s">
        <v>1055</v>
      </c>
      <c r="G17" s="144" t="s">
        <v>133</v>
      </c>
      <c r="H17" s="459">
        <v>2022</v>
      </c>
      <c r="I17" s="459">
        <v>26</v>
      </c>
      <c r="J17" s="459">
        <v>45</v>
      </c>
      <c r="K17" s="463">
        <f t="shared" si="1"/>
        <v>19.5</v>
      </c>
      <c r="L17" s="459">
        <f>I17</f>
        <v>26</v>
      </c>
      <c r="M17" s="144" t="s">
        <v>1054</v>
      </c>
      <c r="N17" s="144" t="s">
        <v>350</v>
      </c>
      <c r="O17" s="461">
        <v>45005</v>
      </c>
      <c r="P17" s="461">
        <v>46100</v>
      </c>
      <c r="Q17" s="305">
        <v>45019</v>
      </c>
      <c r="R17" s="305" t="s">
        <v>970</v>
      </c>
      <c r="S17" s="144" t="s">
        <v>1053</v>
      </c>
      <c r="T17" s="144" t="s">
        <v>20</v>
      </c>
      <c r="U17" s="144" t="s">
        <v>18</v>
      </c>
      <c r="V17" s="144" t="s">
        <v>18</v>
      </c>
      <c r="W17" s="144" t="s">
        <v>18</v>
      </c>
      <c r="X17" s="144" t="s">
        <v>18</v>
      </c>
      <c r="Y17" s="144" t="s">
        <v>18</v>
      </c>
      <c r="Z17" s="144" t="s">
        <v>18</v>
      </c>
      <c r="AA17" s="144" t="s">
        <v>18</v>
      </c>
      <c r="AB17" s="144" t="s">
        <v>18</v>
      </c>
      <c r="AC17" s="461">
        <v>45005</v>
      </c>
      <c r="AD17" s="461">
        <v>46100</v>
      </c>
      <c r="AE17" s="144" t="s">
        <v>218</v>
      </c>
      <c r="AF17" s="460">
        <v>8</v>
      </c>
      <c r="AG17" s="461">
        <v>45160</v>
      </c>
      <c r="AH17" s="144" t="s">
        <v>218</v>
      </c>
      <c r="AI17" s="171" t="s">
        <v>18</v>
      </c>
      <c r="AJ17" s="171" t="s">
        <v>18</v>
      </c>
      <c r="AK17" s="462"/>
      <c r="AL17" s="144" t="s">
        <v>17</v>
      </c>
      <c r="AM17" s="198" t="s">
        <v>1052</v>
      </c>
      <c r="AN17" s="193"/>
      <c r="AO17" s="194">
        <f>SUMIF('TK 15661.Bản quyền phim '!F:F,'KK2. Series'!C17,'TK 15661.Bản quyền phim '!K:K)</f>
        <v>0</v>
      </c>
      <c r="AP17" s="194">
        <f>COUNTIF('242.BQ Phim VOD'!$C$5:$C$8,'KK2. Series'!AM17)</f>
        <v>0</v>
      </c>
      <c r="AQ17" s="194">
        <f>COUNTIF('TK 15666. Phim SX'!$C$6:$C$13,'KK2. Series'!AM17)</f>
        <v>0</v>
      </c>
      <c r="AR17" s="193">
        <f>COUNTIF('TK 15661.Bản quyền phim '!F:F,'KK2. Series'!AM17)</f>
        <v>1</v>
      </c>
      <c r="AS17" s="193"/>
      <c r="AT17" s="197">
        <f t="shared" si="2"/>
        <v>1</v>
      </c>
      <c r="AU17" s="193"/>
      <c r="AV17" s="193"/>
      <c r="AW17" s="193"/>
      <c r="AX17" s="193"/>
      <c r="AY17" s="193"/>
    </row>
    <row r="18" spans="1:51" ht="409.6" x14ac:dyDescent="0.25">
      <c r="A18" s="141">
        <v>12</v>
      </c>
      <c r="B18" s="142" t="s">
        <v>1051</v>
      </c>
      <c r="C18" s="164" t="s">
        <v>1045</v>
      </c>
      <c r="D18" s="431" t="s">
        <v>1050</v>
      </c>
      <c r="E18" s="164" t="s">
        <v>1049</v>
      </c>
      <c r="F18" s="144" t="s">
        <v>1048</v>
      </c>
      <c r="G18" s="164" t="s">
        <v>133</v>
      </c>
      <c r="H18" s="164">
        <v>2023</v>
      </c>
      <c r="I18" s="164">
        <v>8</v>
      </c>
      <c r="J18" s="164">
        <v>25</v>
      </c>
      <c r="K18" s="463">
        <f t="shared" si="1"/>
        <v>3.3333333333333335</v>
      </c>
      <c r="L18" s="459">
        <f>I18</f>
        <v>8</v>
      </c>
      <c r="M18" s="164" t="s">
        <v>1047</v>
      </c>
      <c r="N18" s="144" t="s">
        <v>350</v>
      </c>
      <c r="O18" s="464">
        <v>45070</v>
      </c>
      <c r="P18" s="464">
        <v>46530</v>
      </c>
      <c r="Q18" s="144">
        <v>45108</v>
      </c>
      <c r="R18" s="144" t="s">
        <v>970</v>
      </c>
      <c r="S18" s="164" t="s">
        <v>1046</v>
      </c>
      <c r="T18" s="164" t="s">
        <v>18</v>
      </c>
      <c r="U18" s="144" t="s">
        <v>18</v>
      </c>
      <c r="V18" s="144" t="s">
        <v>18</v>
      </c>
      <c r="W18" s="144" t="s">
        <v>18</v>
      </c>
      <c r="X18" s="144" t="s">
        <v>18</v>
      </c>
      <c r="Y18" s="144" t="s">
        <v>18</v>
      </c>
      <c r="Z18" s="144" t="s">
        <v>18</v>
      </c>
      <c r="AA18" s="144" t="s">
        <v>18</v>
      </c>
      <c r="AB18" s="144" t="s">
        <v>18</v>
      </c>
      <c r="AC18" s="464">
        <v>45070</v>
      </c>
      <c r="AD18" s="464">
        <v>46530</v>
      </c>
      <c r="AE18" s="164" t="s">
        <v>218</v>
      </c>
      <c r="AF18" s="460">
        <v>3</v>
      </c>
      <c r="AG18" s="461">
        <v>45202</v>
      </c>
      <c r="AH18" s="164" t="s">
        <v>218</v>
      </c>
      <c r="AI18" s="171" t="s">
        <v>18</v>
      </c>
      <c r="AJ18" s="171" t="s">
        <v>18</v>
      </c>
      <c r="AK18" s="462" t="s">
        <v>402</v>
      </c>
      <c r="AL18" s="144" t="s">
        <v>17</v>
      </c>
      <c r="AM18" s="196" t="s">
        <v>1045</v>
      </c>
      <c r="AN18" s="193"/>
      <c r="AO18" s="194">
        <f>SUMIF('TK 15661.Bản quyền phim '!F:F,'KK2. Series'!C18,'TK 15661.Bản quyền phim '!K:K)</f>
        <v>283200000</v>
      </c>
      <c r="AP18" s="194">
        <f>COUNTIF('242.BQ Phim VOD'!$C$5:$C$8,'KK2. Series'!AM18)</f>
        <v>0</v>
      </c>
      <c r="AQ18" s="194">
        <f>COUNTIF('TK 15666. Phim SX'!$C$6:$C$13,'KK2. Series'!AM18)</f>
        <v>0</v>
      </c>
      <c r="AR18" s="193">
        <f>COUNTIF('TK 15661.Bản quyền phim '!F:F,'KK2. Series'!AM18)</f>
        <v>1</v>
      </c>
      <c r="AS18" s="193"/>
      <c r="AT18" s="197">
        <f t="shared" si="2"/>
        <v>1</v>
      </c>
      <c r="AU18" s="193"/>
      <c r="AV18" s="193"/>
      <c r="AW18" s="193"/>
      <c r="AX18" s="193"/>
      <c r="AY18" s="193"/>
    </row>
    <row r="19" spans="1:51" ht="409.6" x14ac:dyDescent="0.25">
      <c r="A19" s="141">
        <v>13</v>
      </c>
      <c r="B19" s="142" t="s">
        <v>1044</v>
      </c>
      <c r="C19" s="164" t="s">
        <v>1043</v>
      </c>
      <c r="D19" s="144" t="s">
        <v>1042</v>
      </c>
      <c r="E19" s="164" t="s">
        <v>438</v>
      </c>
      <c r="F19" s="144" t="s">
        <v>1041</v>
      </c>
      <c r="G19" s="164" t="s">
        <v>178</v>
      </c>
      <c r="H19" s="164">
        <v>2023</v>
      </c>
      <c r="I19" s="164">
        <v>36</v>
      </c>
      <c r="J19" s="164">
        <v>45</v>
      </c>
      <c r="K19" s="459">
        <f t="shared" si="1"/>
        <v>27</v>
      </c>
      <c r="L19" s="459">
        <f>I19</f>
        <v>36</v>
      </c>
      <c r="M19" s="164" t="s">
        <v>743</v>
      </c>
      <c r="N19" s="144" t="s">
        <v>436</v>
      </c>
      <c r="O19" s="464">
        <v>45231</v>
      </c>
      <c r="P19" s="464">
        <v>47057</v>
      </c>
      <c r="Q19" s="144">
        <v>45237</v>
      </c>
      <c r="R19" s="144" t="s">
        <v>553</v>
      </c>
      <c r="S19" s="164" t="s">
        <v>867</v>
      </c>
      <c r="T19" s="164" t="s">
        <v>18</v>
      </c>
      <c r="U19" s="144" t="s">
        <v>18</v>
      </c>
      <c r="V19" s="164" t="s">
        <v>18</v>
      </c>
      <c r="W19" s="164" t="s">
        <v>18</v>
      </c>
      <c r="X19" s="164" t="s">
        <v>18</v>
      </c>
      <c r="Y19" s="164" t="s">
        <v>18</v>
      </c>
      <c r="Z19" s="164" t="s">
        <v>18</v>
      </c>
      <c r="AA19" s="164" t="s">
        <v>18</v>
      </c>
      <c r="AB19" s="164" t="s">
        <v>18</v>
      </c>
      <c r="AC19" s="464">
        <v>45231</v>
      </c>
      <c r="AD19" s="464">
        <v>47057</v>
      </c>
      <c r="AE19" s="164" t="s">
        <v>218</v>
      </c>
      <c r="AF19" s="460">
        <v>3</v>
      </c>
      <c r="AG19" s="461">
        <v>45241</v>
      </c>
      <c r="AH19" s="465"/>
      <c r="AI19" s="171" t="s">
        <v>18</v>
      </c>
      <c r="AJ19" s="171" t="s">
        <v>18</v>
      </c>
      <c r="AK19" s="462" t="s">
        <v>402</v>
      </c>
      <c r="AL19" s="144" t="s">
        <v>17</v>
      </c>
      <c r="AM19" s="198" t="s">
        <v>1040</v>
      </c>
      <c r="AN19" s="193"/>
      <c r="AO19" s="194">
        <f>SUMIF('TK 15661.Bản quyền phim '!F:F,'KK2. Series'!C19,'TK 15661.Bản quyền phim '!K:K)</f>
        <v>0</v>
      </c>
      <c r="AP19" s="194">
        <f>COUNTIF('242.BQ Phim VOD'!$C$5:$C$8,'KK2. Series'!AM19)</f>
        <v>0</v>
      </c>
      <c r="AQ19" s="194">
        <f>COUNTIF('TK 15666. Phim SX'!$C$6:$C$13,'KK2. Series'!AM19)</f>
        <v>0</v>
      </c>
      <c r="AR19" s="193">
        <f>COUNTIF('TK 15661.Bản quyền phim '!F:F,'KK2. Series'!AM19)</f>
        <v>1</v>
      </c>
      <c r="AS19" s="193"/>
      <c r="AT19" s="197">
        <f t="shared" si="2"/>
        <v>1</v>
      </c>
      <c r="AU19" s="193"/>
      <c r="AV19" s="193"/>
      <c r="AW19" s="193"/>
      <c r="AX19" s="193"/>
      <c r="AY19" s="193"/>
    </row>
    <row r="20" spans="1:51" ht="237.6" x14ac:dyDescent="0.25">
      <c r="A20" s="141">
        <v>14</v>
      </c>
      <c r="B20" s="142" t="s">
        <v>1039</v>
      </c>
      <c r="C20" s="144" t="s">
        <v>1038</v>
      </c>
      <c r="D20" s="144" t="s">
        <v>1037</v>
      </c>
      <c r="E20" s="144" t="s">
        <v>934</v>
      </c>
      <c r="F20" s="144" t="s">
        <v>1036</v>
      </c>
      <c r="G20" s="144" t="s">
        <v>161</v>
      </c>
      <c r="H20" s="459">
        <v>2022</v>
      </c>
      <c r="I20" s="459">
        <v>9</v>
      </c>
      <c r="J20" s="459">
        <v>30</v>
      </c>
      <c r="K20" s="459">
        <f t="shared" si="1"/>
        <v>4.5</v>
      </c>
      <c r="L20" s="459">
        <f>I20</f>
        <v>9</v>
      </c>
      <c r="M20" s="144" t="s">
        <v>1035</v>
      </c>
      <c r="N20" s="144" t="s">
        <v>350</v>
      </c>
      <c r="O20" s="305">
        <v>44886</v>
      </c>
      <c r="P20" s="305">
        <v>48538</v>
      </c>
      <c r="Q20" s="305">
        <v>44963</v>
      </c>
      <c r="R20" s="305" t="s">
        <v>584</v>
      </c>
      <c r="S20" s="144" t="s">
        <v>1034</v>
      </c>
      <c r="T20" s="144" t="s">
        <v>18</v>
      </c>
      <c r="U20" s="144" t="s">
        <v>18</v>
      </c>
      <c r="V20" s="144" t="s">
        <v>18</v>
      </c>
      <c r="W20" s="144" t="s">
        <v>18</v>
      </c>
      <c r="X20" s="144" t="s">
        <v>18</v>
      </c>
      <c r="Y20" s="144" t="s">
        <v>18</v>
      </c>
      <c r="Z20" s="144" t="s">
        <v>18</v>
      </c>
      <c r="AA20" s="144" t="s">
        <v>18</v>
      </c>
      <c r="AB20" s="144" t="s">
        <v>18</v>
      </c>
      <c r="AC20" s="305">
        <v>44886</v>
      </c>
      <c r="AD20" s="305">
        <v>48538</v>
      </c>
      <c r="AE20" s="144" t="s">
        <v>218</v>
      </c>
      <c r="AF20" s="460">
        <v>18</v>
      </c>
      <c r="AG20" s="461">
        <v>45789</v>
      </c>
      <c r="AH20" s="144" t="s">
        <v>218</v>
      </c>
      <c r="AI20" s="171" t="s">
        <v>18</v>
      </c>
      <c r="AJ20" s="171" t="s">
        <v>18</v>
      </c>
      <c r="AK20" s="462"/>
      <c r="AL20" s="144" t="s">
        <v>17</v>
      </c>
      <c r="AM20" s="198" t="s">
        <v>1033</v>
      </c>
      <c r="AN20" s="193"/>
      <c r="AO20" s="194">
        <f>SUMIF('TK 15661.Bản quyền phim '!F:F,'KK2. Series'!C20,'TK 15661.Bản quyền phim '!K:K)</f>
        <v>0</v>
      </c>
      <c r="AP20" s="194">
        <f>COUNTIF('242.BQ Phim VOD'!$C$5:$C$8,'KK2. Series'!AM20)</f>
        <v>0</v>
      </c>
      <c r="AQ20" s="194">
        <f>COUNTIF('TK 15666. Phim SX'!$C$6:$C$13,'KK2. Series'!AM20)</f>
        <v>0</v>
      </c>
      <c r="AR20" s="193">
        <f>COUNTIF('TK 15661.Bản quyền phim '!F:F,'KK2. Series'!AM20)</f>
        <v>1</v>
      </c>
      <c r="AS20" s="193"/>
      <c r="AT20" s="197">
        <f t="shared" si="2"/>
        <v>1</v>
      </c>
      <c r="AU20" s="193"/>
      <c r="AV20" s="193"/>
      <c r="AW20" s="193"/>
      <c r="AX20" s="193"/>
      <c r="AY20" s="193"/>
    </row>
    <row r="21" spans="1:51" ht="409.6" x14ac:dyDescent="0.25">
      <c r="A21" s="141">
        <v>15</v>
      </c>
      <c r="B21" s="142" t="s">
        <v>1032</v>
      </c>
      <c r="C21" s="164" t="s">
        <v>1031</v>
      </c>
      <c r="D21" s="144" t="s">
        <v>1030</v>
      </c>
      <c r="E21" s="164" t="s">
        <v>1029</v>
      </c>
      <c r="F21" s="144" t="s">
        <v>1028</v>
      </c>
      <c r="G21" s="164" t="s">
        <v>178</v>
      </c>
      <c r="H21" s="164">
        <v>2023</v>
      </c>
      <c r="I21" s="164">
        <v>40</v>
      </c>
      <c r="J21" s="164">
        <v>45</v>
      </c>
      <c r="K21" s="459">
        <f t="shared" si="1"/>
        <v>30</v>
      </c>
      <c r="L21" s="459">
        <f>I21</f>
        <v>40</v>
      </c>
      <c r="M21" s="164" t="s">
        <v>1027</v>
      </c>
      <c r="N21" s="164" t="s">
        <v>708</v>
      </c>
      <c r="O21" s="464">
        <v>45653</v>
      </c>
      <c r="P21" s="464">
        <v>47478</v>
      </c>
      <c r="Q21" s="144">
        <v>45313</v>
      </c>
      <c r="R21" s="144" t="s">
        <v>553</v>
      </c>
      <c r="S21" s="164">
        <v>60</v>
      </c>
      <c r="T21" s="164" t="s">
        <v>18</v>
      </c>
      <c r="U21" s="144" t="s">
        <v>18</v>
      </c>
      <c r="V21" s="164" t="s">
        <v>18</v>
      </c>
      <c r="W21" s="164" t="s">
        <v>18</v>
      </c>
      <c r="X21" s="164" t="s">
        <v>18</v>
      </c>
      <c r="Y21" s="164" t="s">
        <v>18</v>
      </c>
      <c r="Z21" s="164" t="s">
        <v>18</v>
      </c>
      <c r="AA21" s="164" t="s">
        <v>18</v>
      </c>
      <c r="AB21" s="164" t="s">
        <v>18</v>
      </c>
      <c r="AC21" s="464">
        <v>45653</v>
      </c>
      <c r="AD21" s="464">
        <v>47478</v>
      </c>
      <c r="AE21" s="164" t="s">
        <v>130</v>
      </c>
      <c r="AF21" s="460">
        <v>5</v>
      </c>
      <c r="AG21" s="461">
        <v>45597</v>
      </c>
      <c r="AH21" s="465"/>
      <c r="AI21" s="171" t="s">
        <v>18</v>
      </c>
      <c r="AJ21" s="171" t="s">
        <v>18</v>
      </c>
      <c r="AK21" s="462"/>
      <c r="AL21" s="144" t="s">
        <v>17</v>
      </c>
      <c r="AM21" s="193" t="s">
        <v>1026</v>
      </c>
      <c r="AN21" s="193"/>
      <c r="AO21" s="194">
        <f>SUMIF('TK 15661.Bản quyền phim '!F:F,'KK2. Series'!C21,'TK 15661.Bản quyền phim '!K:K)</f>
        <v>0</v>
      </c>
      <c r="AP21" s="194">
        <f>COUNTIF('242.BQ Phim VOD'!$C$5:$C$8,'KK2. Series'!AM21)</f>
        <v>0</v>
      </c>
      <c r="AQ21" s="194">
        <f>COUNTIF('TK 15666. Phim SX'!$C$6:$C$13,'KK2. Series'!AM21)</f>
        <v>0</v>
      </c>
      <c r="AR21" s="193">
        <f>COUNTIF('TK 15661.Bản quyền phim '!F:F,'KK2. Series'!AM21)</f>
        <v>1</v>
      </c>
      <c r="AS21" s="193"/>
      <c r="AT21" s="197">
        <f t="shared" si="2"/>
        <v>1</v>
      </c>
      <c r="AU21" s="193"/>
      <c r="AV21" s="193"/>
      <c r="AW21" s="193"/>
      <c r="AX21" s="193"/>
      <c r="AY21" s="193"/>
    </row>
    <row r="22" spans="1:51" ht="409.6" x14ac:dyDescent="0.25">
      <c r="A22" s="141">
        <v>16</v>
      </c>
      <c r="B22" s="142" t="s">
        <v>1025</v>
      </c>
      <c r="C22" s="432" t="s">
        <v>1024</v>
      </c>
      <c r="D22" s="144" t="s">
        <v>1023</v>
      </c>
      <c r="E22" s="432" t="s">
        <v>1022</v>
      </c>
      <c r="F22" s="144" t="s">
        <v>1021</v>
      </c>
      <c r="G22" s="432" t="s">
        <v>178</v>
      </c>
      <c r="H22" s="432">
        <v>2023</v>
      </c>
      <c r="I22" s="432">
        <v>39</v>
      </c>
      <c r="J22" s="432">
        <v>42</v>
      </c>
      <c r="K22" s="459">
        <f t="shared" si="1"/>
        <v>27.3</v>
      </c>
      <c r="L22" s="459">
        <v>39</v>
      </c>
      <c r="M22" s="432" t="s">
        <v>1020</v>
      </c>
      <c r="N22" s="144" t="s">
        <v>436</v>
      </c>
      <c r="O22" s="466">
        <v>45369</v>
      </c>
      <c r="P22" s="466">
        <v>47194</v>
      </c>
      <c r="Q22" s="466">
        <v>45369</v>
      </c>
      <c r="R22" s="144" t="s">
        <v>553</v>
      </c>
      <c r="S22" s="467">
        <v>48</v>
      </c>
      <c r="T22" s="432" t="s">
        <v>18</v>
      </c>
      <c r="U22" s="144" t="s">
        <v>18</v>
      </c>
      <c r="V22" s="432" t="s">
        <v>18</v>
      </c>
      <c r="W22" s="432" t="s">
        <v>18</v>
      </c>
      <c r="X22" s="432" t="s">
        <v>18</v>
      </c>
      <c r="Y22" s="432" t="s">
        <v>18</v>
      </c>
      <c r="Z22" s="432" t="s">
        <v>18</v>
      </c>
      <c r="AA22" s="432" t="s">
        <v>18</v>
      </c>
      <c r="AB22" s="432" t="s">
        <v>18</v>
      </c>
      <c r="AC22" s="466">
        <v>45369</v>
      </c>
      <c r="AD22" s="466">
        <v>47194</v>
      </c>
      <c r="AE22" s="432" t="s">
        <v>733</v>
      </c>
      <c r="AF22" s="460">
        <v>2</v>
      </c>
      <c r="AG22" s="461">
        <v>45370</v>
      </c>
      <c r="AH22" s="465"/>
      <c r="AI22" s="171" t="s">
        <v>18</v>
      </c>
      <c r="AJ22" s="171" t="s">
        <v>18</v>
      </c>
      <c r="AK22" s="462" t="s">
        <v>402</v>
      </c>
      <c r="AL22" s="144" t="s">
        <v>17</v>
      </c>
      <c r="AM22" s="193" t="s">
        <v>1019</v>
      </c>
      <c r="AN22" s="193"/>
      <c r="AO22" s="194">
        <f>SUMIF('TK 15661.Bản quyền phim '!F:F,'KK2. Series'!C22,'TK 15661.Bản quyền phim '!K:K)</f>
        <v>0</v>
      </c>
      <c r="AP22" s="194">
        <f>COUNTIF('242.BQ Phim VOD'!$C$5:$C$8,'KK2. Series'!AM22)</f>
        <v>0</v>
      </c>
      <c r="AQ22" s="194">
        <f>COUNTIF('TK 15666. Phim SX'!$C$6:$C$13,'KK2. Series'!AM22)</f>
        <v>0</v>
      </c>
      <c r="AR22" s="193">
        <f>COUNTIF('TK 15661.Bản quyền phim '!F:F,'KK2. Series'!AM22)</f>
        <v>1</v>
      </c>
      <c r="AS22" s="193"/>
      <c r="AT22" s="197">
        <f t="shared" si="2"/>
        <v>1</v>
      </c>
      <c r="AU22" s="193"/>
      <c r="AV22" s="193"/>
      <c r="AW22" s="193"/>
      <c r="AX22" s="193"/>
      <c r="AY22" s="193"/>
    </row>
    <row r="23" spans="1:51" ht="409.6" x14ac:dyDescent="0.25">
      <c r="A23" s="141">
        <v>17</v>
      </c>
      <c r="B23" s="142" t="s">
        <v>1018</v>
      </c>
      <c r="C23" s="144" t="s">
        <v>1017</v>
      </c>
      <c r="D23" s="144" t="s">
        <v>1016</v>
      </c>
      <c r="E23" s="144" t="s">
        <v>570</v>
      </c>
      <c r="F23" s="144" t="s">
        <v>1015</v>
      </c>
      <c r="G23" s="144" t="s">
        <v>178</v>
      </c>
      <c r="H23" s="459">
        <v>2022</v>
      </c>
      <c r="I23" s="459">
        <v>24</v>
      </c>
      <c r="J23" s="459">
        <v>45</v>
      </c>
      <c r="K23" s="459">
        <f t="shared" si="1"/>
        <v>18</v>
      </c>
      <c r="L23" s="459">
        <f>I23</f>
        <v>24</v>
      </c>
      <c r="M23" s="144" t="s">
        <v>1014</v>
      </c>
      <c r="N23" s="144" t="s">
        <v>1013</v>
      </c>
      <c r="O23" s="461">
        <v>44937</v>
      </c>
      <c r="P23" s="461">
        <v>46032</v>
      </c>
      <c r="Q23" s="305">
        <v>44937</v>
      </c>
      <c r="R23" s="305" t="s">
        <v>970</v>
      </c>
      <c r="S23" s="144" t="s">
        <v>1012</v>
      </c>
      <c r="T23" s="144" t="s">
        <v>20</v>
      </c>
      <c r="U23" s="144" t="s">
        <v>18</v>
      </c>
      <c r="V23" s="144" t="s">
        <v>18</v>
      </c>
      <c r="W23" s="144" t="s">
        <v>18</v>
      </c>
      <c r="X23" s="144" t="s">
        <v>18</v>
      </c>
      <c r="Y23" s="144" t="s">
        <v>18</v>
      </c>
      <c r="Z23" s="144" t="s">
        <v>18</v>
      </c>
      <c r="AA23" s="144" t="s">
        <v>18</v>
      </c>
      <c r="AB23" s="144" t="s">
        <v>18</v>
      </c>
      <c r="AC23" s="461">
        <v>44937</v>
      </c>
      <c r="AD23" s="461">
        <v>46032</v>
      </c>
      <c r="AE23" s="142">
        <v>6</v>
      </c>
      <c r="AF23" s="460">
        <v>4</v>
      </c>
      <c r="AG23" s="461">
        <v>45829</v>
      </c>
      <c r="AH23" s="460">
        <f>AE23-AF23</f>
        <v>2</v>
      </c>
      <c r="AI23" s="171" t="s">
        <v>18</v>
      </c>
      <c r="AJ23" s="171" t="s">
        <v>18</v>
      </c>
      <c r="AK23" s="462"/>
      <c r="AL23" s="144" t="s">
        <v>17</v>
      </c>
      <c r="AM23" s="193" t="s">
        <v>1011</v>
      </c>
      <c r="AN23" s="193"/>
      <c r="AO23" s="194">
        <f>SUMIF('TK 15661.Bản quyền phim '!F:F,'KK2. Series'!C23,'TK 15661.Bản quyền phim '!K:K)</f>
        <v>0</v>
      </c>
      <c r="AP23" s="194">
        <f>COUNTIF('242.BQ Phim VOD'!$C$5:$C$8,'KK2. Series'!AM23)</f>
        <v>0</v>
      </c>
      <c r="AQ23" s="194">
        <f>COUNTIF('TK 15666. Phim SX'!$C$6:$C$13,'KK2. Series'!AM23)</f>
        <v>0</v>
      </c>
      <c r="AR23" s="193">
        <f>COUNTIF('TK 15661.Bản quyền phim '!F:F,'KK2. Series'!AM23)</f>
        <v>1</v>
      </c>
      <c r="AS23" s="193"/>
      <c r="AT23" s="197">
        <f t="shared" si="2"/>
        <v>1</v>
      </c>
      <c r="AU23" s="193"/>
      <c r="AV23" s="193"/>
      <c r="AW23" s="193"/>
      <c r="AX23" s="193"/>
      <c r="AY23" s="193"/>
    </row>
    <row r="24" spans="1:51" ht="409.6" x14ac:dyDescent="0.25">
      <c r="A24" s="141">
        <v>18</v>
      </c>
      <c r="B24" s="142" t="s">
        <v>1010</v>
      </c>
      <c r="C24" s="164" t="s">
        <v>1005</v>
      </c>
      <c r="D24" s="164" t="s">
        <v>1009</v>
      </c>
      <c r="E24" s="164" t="s">
        <v>1008</v>
      </c>
      <c r="F24" s="144" t="s">
        <v>1007</v>
      </c>
      <c r="G24" s="164" t="s">
        <v>133</v>
      </c>
      <c r="H24" s="164">
        <v>2023</v>
      </c>
      <c r="I24" s="164">
        <v>12</v>
      </c>
      <c r="J24" s="164">
        <v>30</v>
      </c>
      <c r="K24" s="463">
        <f t="shared" si="1"/>
        <v>6</v>
      </c>
      <c r="L24" s="459">
        <f>I24</f>
        <v>12</v>
      </c>
      <c r="M24" s="164" t="s">
        <v>1006</v>
      </c>
      <c r="N24" s="144" t="s">
        <v>511</v>
      </c>
      <c r="O24" s="464">
        <v>45264</v>
      </c>
      <c r="P24" s="464">
        <v>46724</v>
      </c>
      <c r="Q24" s="144">
        <v>45264</v>
      </c>
      <c r="R24" s="144" t="s">
        <v>553</v>
      </c>
      <c r="S24" s="164" t="s">
        <v>867</v>
      </c>
      <c r="T24" s="164" t="s">
        <v>18</v>
      </c>
      <c r="U24" s="144" t="s">
        <v>18</v>
      </c>
      <c r="V24" s="164" t="s">
        <v>18</v>
      </c>
      <c r="W24" s="164" t="s">
        <v>18</v>
      </c>
      <c r="X24" s="164" t="s">
        <v>18</v>
      </c>
      <c r="Y24" s="164" t="s">
        <v>18</v>
      </c>
      <c r="Z24" s="164" t="s">
        <v>18</v>
      </c>
      <c r="AA24" s="164" t="s">
        <v>18</v>
      </c>
      <c r="AB24" s="164" t="s">
        <v>18</v>
      </c>
      <c r="AC24" s="464">
        <v>45264</v>
      </c>
      <c r="AD24" s="464">
        <v>46724</v>
      </c>
      <c r="AE24" s="164" t="s">
        <v>218</v>
      </c>
      <c r="AF24" s="460">
        <v>5</v>
      </c>
      <c r="AG24" s="461">
        <v>45799</v>
      </c>
      <c r="AH24" s="465"/>
      <c r="AI24" s="171" t="s">
        <v>18</v>
      </c>
      <c r="AJ24" s="171" t="s">
        <v>18</v>
      </c>
      <c r="AK24" s="462" t="s">
        <v>402</v>
      </c>
      <c r="AL24" s="144" t="s">
        <v>17</v>
      </c>
      <c r="AM24" s="196" t="s">
        <v>1005</v>
      </c>
      <c r="AN24" s="193"/>
      <c r="AO24" s="194">
        <f>SUMIF('TK 15661.Bản quyền phim '!F:F,'KK2. Series'!C24,'TK 15661.Bản quyền phim '!K:K)</f>
        <v>439200000</v>
      </c>
      <c r="AP24" s="194">
        <f>COUNTIF('242.BQ Phim VOD'!$C$5:$C$8,'KK2. Series'!AM24)</f>
        <v>0</v>
      </c>
      <c r="AQ24" s="194">
        <f>COUNTIF('TK 15666. Phim SX'!$C$6:$C$13,'KK2. Series'!AM24)</f>
        <v>0</v>
      </c>
      <c r="AR24" s="193">
        <f>COUNTIF('TK 15661.Bản quyền phim '!F:F,'KK2. Series'!AM24)</f>
        <v>1</v>
      </c>
      <c r="AS24" s="193"/>
      <c r="AT24" s="197">
        <f t="shared" si="2"/>
        <v>1</v>
      </c>
      <c r="AU24" s="193"/>
      <c r="AV24" s="193"/>
      <c r="AW24" s="193"/>
      <c r="AX24" s="193"/>
      <c r="AY24" s="193"/>
    </row>
    <row r="25" spans="1:51" ht="409.6" x14ac:dyDescent="0.25">
      <c r="A25" s="141">
        <v>19</v>
      </c>
      <c r="B25" s="142" t="s">
        <v>1004</v>
      </c>
      <c r="C25" s="144" t="s">
        <v>1003</v>
      </c>
      <c r="D25" s="144" t="s">
        <v>1002</v>
      </c>
      <c r="E25" s="144" t="s">
        <v>513</v>
      </c>
      <c r="F25" s="144" t="s">
        <v>1001</v>
      </c>
      <c r="G25" s="144" t="s">
        <v>178</v>
      </c>
      <c r="H25" s="459">
        <v>2021</v>
      </c>
      <c r="I25" s="459">
        <v>39</v>
      </c>
      <c r="J25" s="459">
        <v>45</v>
      </c>
      <c r="K25" s="459">
        <f t="shared" si="1"/>
        <v>29.25</v>
      </c>
      <c r="L25" s="459">
        <f>I25</f>
        <v>39</v>
      </c>
      <c r="M25" s="144" t="s">
        <v>511</v>
      </c>
      <c r="N25" s="144" t="s">
        <v>511</v>
      </c>
      <c r="O25" s="305">
        <v>44638</v>
      </c>
      <c r="P25" s="144">
        <v>46098</v>
      </c>
      <c r="Q25" s="305">
        <v>44642</v>
      </c>
      <c r="R25" s="144" t="s">
        <v>970</v>
      </c>
      <c r="S25" s="144" t="s">
        <v>1000</v>
      </c>
      <c r="T25" s="144" t="s">
        <v>20</v>
      </c>
      <c r="U25" s="144" t="s">
        <v>18</v>
      </c>
      <c r="V25" s="144" t="s">
        <v>18</v>
      </c>
      <c r="W25" s="144" t="s">
        <v>18</v>
      </c>
      <c r="X25" s="144" t="s">
        <v>18</v>
      </c>
      <c r="Y25" s="144" t="s">
        <v>18</v>
      </c>
      <c r="Z25" s="144" t="s">
        <v>18</v>
      </c>
      <c r="AA25" s="144" t="s">
        <v>20</v>
      </c>
      <c r="AB25" s="144" t="s">
        <v>20</v>
      </c>
      <c r="AC25" s="305">
        <v>44638</v>
      </c>
      <c r="AD25" s="144">
        <v>46098</v>
      </c>
      <c r="AE25" s="144" t="s">
        <v>218</v>
      </c>
      <c r="AF25" s="460">
        <v>15</v>
      </c>
      <c r="AG25" s="461">
        <v>45602</v>
      </c>
      <c r="AH25" s="144" t="s">
        <v>218</v>
      </c>
      <c r="AI25" s="171" t="s">
        <v>18</v>
      </c>
      <c r="AJ25" s="171" t="s">
        <v>18</v>
      </c>
      <c r="AK25" s="462"/>
      <c r="AL25" s="144" t="s">
        <v>17</v>
      </c>
      <c r="AM25" s="193" t="s">
        <v>999</v>
      </c>
      <c r="AN25" s="193"/>
      <c r="AO25" s="194">
        <f>SUMIF('TK 15661.Bản quyền phim '!F:F,'KK2. Series'!C25,'TK 15661.Bản quyền phim '!K:K)</f>
        <v>0</v>
      </c>
      <c r="AP25" s="194">
        <f>COUNTIF('242.BQ Phim VOD'!$C$5:$C$8,'KK2. Series'!AM25)</f>
        <v>0</v>
      </c>
      <c r="AQ25" s="194">
        <f>COUNTIF('TK 15666. Phim SX'!$C$6:$C$13,'KK2. Series'!AM25)</f>
        <v>0</v>
      </c>
      <c r="AR25" s="193">
        <f>COUNTIF('TK 15661.Bản quyền phim '!F:F,'KK2. Series'!AM25)</f>
        <v>1</v>
      </c>
      <c r="AS25" s="193"/>
      <c r="AT25" s="197">
        <f t="shared" si="2"/>
        <v>1</v>
      </c>
      <c r="AU25" s="193"/>
      <c r="AV25" s="193"/>
      <c r="AW25" s="193"/>
      <c r="AX25" s="193"/>
      <c r="AY25" s="193"/>
    </row>
    <row r="26" spans="1:51" ht="409.6" x14ac:dyDescent="0.25">
      <c r="A26" s="141">
        <v>20</v>
      </c>
      <c r="B26" s="142" t="s">
        <v>998</v>
      </c>
      <c r="C26" s="144" t="s">
        <v>994</v>
      </c>
      <c r="D26" s="144" t="s">
        <v>997</v>
      </c>
      <c r="E26" s="144" t="s">
        <v>996</v>
      </c>
      <c r="F26" s="144" t="s">
        <v>978</v>
      </c>
      <c r="G26" s="144" t="s">
        <v>133</v>
      </c>
      <c r="H26" s="459">
        <v>2022</v>
      </c>
      <c r="I26" s="459">
        <v>12</v>
      </c>
      <c r="J26" s="459">
        <v>70</v>
      </c>
      <c r="K26" s="463">
        <f t="shared" si="1"/>
        <v>14</v>
      </c>
      <c r="L26" s="459">
        <v>18</v>
      </c>
      <c r="M26" s="144" t="s">
        <v>995</v>
      </c>
      <c r="N26" s="144" t="s">
        <v>511</v>
      </c>
      <c r="O26" s="305">
        <v>44986</v>
      </c>
      <c r="P26" s="305">
        <v>46446</v>
      </c>
      <c r="Q26" s="305">
        <v>44986</v>
      </c>
      <c r="R26" s="305" t="s">
        <v>970</v>
      </c>
      <c r="S26" s="144" t="s">
        <v>976</v>
      </c>
      <c r="T26" s="144" t="s">
        <v>18</v>
      </c>
      <c r="U26" s="144" t="s">
        <v>18</v>
      </c>
      <c r="V26" s="144" t="s">
        <v>18</v>
      </c>
      <c r="W26" s="144" t="s">
        <v>18</v>
      </c>
      <c r="X26" s="144" t="s">
        <v>18</v>
      </c>
      <c r="Y26" s="144" t="s">
        <v>18</v>
      </c>
      <c r="Z26" s="144" t="s">
        <v>18</v>
      </c>
      <c r="AA26" s="144" t="s">
        <v>18</v>
      </c>
      <c r="AB26" s="144" t="s">
        <v>18</v>
      </c>
      <c r="AC26" s="305">
        <v>44986</v>
      </c>
      <c r="AD26" s="305">
        <v>46446</v>
      </c>
      <c r="AE26" s="142">
        <v>8</v>
      </c>
      <c r="AF26" s="460">
        <v>8</v>
      </c>
      <c r="AG26" s="461">
        <v>45432</v>
      </c>
      <c r="AH26" s="460">
        <f>AE26-AF26</f>
        <v>0</v>
      </c>
      <c r="AI26" s="171" t="s">
        <v>18</v>
      </c>
      <c r="AJ26" s="171" t="s">
        <v>18</v>
      </c>
      <c r="AK26" s="462" t="s">
        <v>402</v>
      </c>
      <c r="AL26" s="144" t="s">
        <v>17</v>
      </c>
      <c r="AM26" s="196" t="s">
        <v>994</v>
      </c>
      <c r="AN26" s="193"/>
      <c r="AO26" s="194">
        <f>SUMIF('TK 15661.Bản quyền phim '!F:F,'KK2. Series'!C26,'TK 15661.Bản quyền phim '!K:K)</f>
        <v>1274658700</v>
      </c>
      <c r="AP26" s="194">
        <f>COUNTIF('242.BQ Phim VOD'!$C$5:$C$8,'KK2. Series'!AM26)</f>
        <v>0</v>
      </c>
      <c r="AQ26" s="194">
        <f>COUNTIF('TK 15666. Phim SX'!$C$6:$C$13,'KK2. Series'!AM26)</f>
        <v>0</v>
      </c>
      <c r="AR26" s="193">
        <f>COUNTIF('TK 15661.Bản quyền phim '!F:F,'KK2. Series'!AM26)</f>
        <v>1</v>
      </c>
      <c r="AS26" s="193"/>
      <c r="AT26" s="197">
        <f t="shared" si="2"/>
        <v>1</v>
      </c>
      <c r="AU26" s="193"/>
      <c r="AV26" s="193"/>
      <c r="AW26" s="193"/>
      <c r="AX26" s="193"/>
      <c r="AY26" s="193"/>
    </row>
    <row r="27" spans="1:51" ht="369.6" x14ac:dyDescent="0.25">
      <c r="A27" s="141">
        <v>21</v>
      </c>
      <c r="B27" s="142" t="s">
        <v>993</v>
      </c>
      <c r="C27" s="144" t="s">
        <v>988</v>
      </c>
      <c r="D27" s="144" t="s">
        <v>992</v>
      </c>
      <c r="E27" s="144" t="s">
        <v>513</v>
      </c>
      <c r="F27" s="144" t="s">
        <v>991</v>
      </c>
      <c r="G27" s="144" t="s">
        <v>178</v>
      </c>
      <c r="H27" s="459">
        <v>2023</v>
      </c>
      <c r="I27" s="459">
        <v>14</v>
      </c>
      <c r="J27" s="459">
        <v>45</v>
      </c>
      <c r="K27" s="459">
        <f t="shared" si="1"/>
        <v>10.5</v>
      </c>
      <c r="L27" s="459">
        <f>I27</f>
        <v>14</v>
      </c>
      <c r="M27" s="144" t="s">
        <v>990</v>
      </c>
      <c r="N27" s="144" t="s">
        <v>511</v>
      </c>
      <c r="O27" s="305">
        <v>45108</v>
      </c>
      <c r="P27" s="305">
        <v>46569</v>
      </c>
      <c r="Q27" s="305">
        <v>45126</v>
      </c>
      <c r="R27" s="305" t="s">
        <v>970</v>
      </c>
      <c r="S27" s="144" t="s">
        <v>989</v>
      </c>
      <c r="T27" s="144" t="s">
        <v>20</v>
      </c>
      <c r="U27" s="144" t="s">
        <v>18</v>
      </c>
      <c r="V27" s="144" t="s">
        <v>18</v>
      </c>
      <c r="W27" s="144" t="s">
        <v>18</v>
      </c>
      <c r="X27" s="144" t="s">
        <v>20</v>
      </c>
      <c r="Y27" s="144" t="s">
        <v>20</v>
      </c>
      <c r="Z27" s="144" t="s">
        <v>18</v>
      </c>
      <c r="AA27" s="144" t="s">
        <v>18</v>
      </c>
      <c r="AB27" s="144" t="s">
        <v>20</v>
      </c>
      <c r="AC27" s="305">
        <v>45108</v>
      </c>
      <c r="AD27" s="305">
        <v>46569</v>
      </c>
      <c r="AE27" s="144" t="s">
        <v>218</v>
      </c>
      <c r="AF27" s="460">
        <v>7</v>
      </c>
      <c r="AG27" s="461">
        <v>45437</v>
      </c>
      <c r="AH27" s="144" t="s">
        <v>218</v>
      </c>
      <c r="AI27" s="171" t="s">
        <v>18</v>
      </c>
      <c r="AJ27" s="171" t="s">
        <v>18</v>
      </c>
      <c r="AK27" s="462"/>
      <c r="AL27" s="144" t="s">
        <v>17</v>
      </c>
      <c r="AM27" s="196" t="s">
        <v>988</v>
      </c>
      <c r="AN27" s="193"/>
      <c r="AO27" s="194">
        <f>SUMIF('TK 15661.Bản quyền phim '!F:F,'KK2. Series'!C27,'TK 15661.Bản quyền phim '!K:K)</f>
        <v>605741200</v>
      </c>
      <c r="AP27" s="194">
        <f>COUNTIF('242.BQ Phim VOD'!$C$5:$C$8,'KK2. Series'!AM27)</f>
        <v>0</v>
      </c>
      <c r="AQ27" s="194">
        <f>COUNTIF('TK 15666. Phim SX'!$C$6:$C$13,'KK2. Series'!AM27)</f>
        <v>0</v>
      </c>
      <c r="AR27" s="193">
        <f>COUNTIF('TK 15661.Bản quyền phim '!F:F,'KK2. Series'!AM27)</f>
        <v>1</v>
      </c>
      <c r="AS27" s="193"/>
      <c r="AT27" s="197">
        <f t="shared" si="2"/>
        <v>1</v>
      </c>
      <c r="AU27" s="193"/>
      <c r="AV27" s="193"/>
      <c r="AW27" s="193"/>
      <c r="AX27" s="193"/>
      <c r="AY27" s="193"/>
    </row>
    <row r="28" spans="1:51" ht="409.6" x14ac:dyDescent="0.25">
      <c r="A28" s="141">
        <v>22</v>
      </c>
      <c r="B28" s="142" t="s">
        <v>987</v>
      </c>
      <c r="C28" s="144" t="s">
        <v>981</v>
      </c>
      <c r="D28" s="144" t="s">
        <v>986</v>
      </c>
      <c r="E28" s="144" t="s">
        <v>985</v>
      </c>
      <c r="F28" s="144" t="s">
        <v>984</v>
      </c>
      <c r="G28" s="144" t="s">
        <v>178</v>
      </c>
      <c r="H28" s="459">
        <v>2022</v>
      </c>
      <c r="I28" s="459">
        <v>24</v>
      </c>
      <c r="J28" s="459">
        <v>45</v>
      </c>
      <c r="K28" s="459">
        <f t="shared" si="1"/>
        <v>18</v>
      </c>
      <c r="L28" s="459">
        <f>I28</f>
        <v>24</v>
      </c>
      <c r="M28" s="144" t="s">
        <v>983</v>
      </c>
      <c r="N28" s="144" t="s">
        <v>511</v>
      </c>
      <c r="O28" s="461">
        <v>44971</v>
      </c>
      <c r="P28" s="461">
        <v>46796</v>
      </c>
      <c r="Q28" s="305">
        <v>44985</v>
      </c>
      <c r="R28" s="305" t="s">
        <v>970</v>
      </c>
      <c r="S28" s="144" t="s">
        <v>982</v>
      </c>
      <c r="T28" s="144" t="s">
        <v>20</v>
      </c>
      <c r="U28" s="144" t="s">
        <v>18</v>
      </c>
      <c r="V28" s="144" t="s">
        <v>18</v>
      </c>
      <c r="W28" s="144" t="s">
        <v>18</v>
      </c>
      <c r="X28" s="144" t="s">
        <v>18</v>
      </c>
      <c r="Y28" s="144" t="s">
        <v>18</v>
      </c>
      <c r="Z28" s="144" t="s">
        <v>18</v>
      </c>
      <c r="AA28" s="144" t="s">
        <v>18</v>
      </c>
      <c r="AB28" s="144" t="s">
        <v>18</v>
      </c>
      <c r="AC28" s="461">
        <v>44971</v>
      </c>
      <c r="AD28" s="461">
        <v>46796</v>
      </c>
      <c r="AE28" s="144" t="s">
        <v>218</v>
      </c>
      <c r="AF28" s="460">
        <v>8</v>
      </c>
      <c r="AG28" s="461">
        <v>45457</v>
      </c>
      <c r="AH28" s="144" t="s">
        <v>218</v>
      </c>
      <c r="AI28" s="171" t="s">
        <v>18</v>
      </c>
      <c r="AJ28" s="171" t="s">
        <v>18</v>
      </c>
      <c r="AK28" s="462"/>
      <c r="AL28" s="144" t="s">
        <v>17</v>
      </c>
      <c r="AM28" s="196" t="s">
        <v>981</v>
      </c>
      <c r="AN28" s="193"/>
      <c r="AO28" s="194">
        <f>SUMIF('TK 15661.Bản quyền phim '!F:F,'KK2. Series'!C28,'TK 15661.Bản quyền phim '!K:K)</f>
        <v>573600000</v>
      </c>
      <c r="AP28" s="194">
        <f>COUNTIF('242.BQ Phim VOD'!$C$5:$C$8,'KK2. Series'!AM28)</f>
        <v>0</v>
      </c>
      <c r="AQ28" s="194">
        <f>COUNTIF('TK 15666. Phim SX'!$C$6:$C$13,'KK2. Series'!AM28)</f>
        <v>0</v>
      </c>
      <c r="AR28" s="193">
        <f>COUNTIF('TK 15661.Bản quyền phim '!F:F,'KK2. Series'!AM28)</f>
        <v>1</v>
      </c>
      <c r="AS28" s="193"/>
      <c r="AT28" s="197">
        <f t="shared" si="2"/>
        <v>1</v>
      </c>
      <c r="AU28" s="193"/>
      <c r="AV28" s="193"/>
      <c r="AW28" s="193"/>
      <c r="AX28" s="193"/>
      <c r="AY28" s="193"/>
    </row>
    <row r="29" spans="1:51" ht="409.6" x14ac:dyDescent="0.25">
      <c r="A29" s="141">
        <v>23</v>
      </c>
      <c r="B29" s="142" t="s">
        <v>980</v>
      </c>
      <c r="C29" s="144" t="s">
        <v>975</v>
      </c>
      <c r="D29" s="144" t="s">
        <v>979</v>
      </c>
      <c r="E29" s="144" t="s">
        <v>870</v>
      </c>
      <c r="F29" s="144" t="s">
        <v>978</v>
      </c>
      <c r="G29" s="144" t="s">
        <v>133</v>
      </c>
      <c r="H29" s="459">
        <v>2022</v>
      </c>
      <c r="I29" s="459">
        <v>16</v>
      </c>
      <c r="J29" s="459">
        <v>70</v>
      </c>
      <c r="K29" s="463">
        <f t="shared" si="1"/>
        <v>18.666666666666668</v>
      </c>
      <c r="L29" s="459">
        <v>24</v>
      </c>
      <c r="M29" s="144" t="s">
        <v>977</v>
      </c>
      <c r="N29" s="144" t="s">
        <v>511</v>
      </c>
      <c r="O29" s="305">
        <v>44974</v>
      </c>
      <c r="P29" s="305">
        <v>46434</v>
      </c>
      <c r="Q29" s="305">
        <v>44974</v>
      </c>
      <c r="R29" s="305" t="s">
        <v>970</v>
      </c>
      <c r="S29" s="144" t="s">
        <v>976</v>
      </c>
      <c r="T29" s="144" t="s">
        <v>18</v>
      </c>
      <c r="U29" s="144" t="s">
        <v>18</v>
      </c>
      <c r="V29" s="144" t="s">
        <v>18</v>
      </c>
      <c r="W29" s="144" t="s">
        <v>18</v>
      </c>
      <c r="X29" s="144" t="s">
        <v>18</v>
      </c>
      <c r="Y29" s="144" t="s">
        <v>18</v>
      </c>
      <c r="Z29" s="144" t="s">
        <v>18</v>
      </c>
      <c r="AA29" s="144" t="s">
        <v>18</v>
      </c>
      <c r="AB29" s="144" t="s">
        <v>18</v>
      </c>
      <c r="AC29" s="305">
        <v>44974</v>
      </c>
      <c r="AD29" s="305">
        <v>46434</v>
      </c>
      <c r="AE29" s="142">
        <v>8</v>
      </c>
      <c r="AF29" s="460">
        <v>3</v>
      </c>
      <c r="AG29" s="461">
        <v>45457</v>
      </c>
      <c r="AH29" s="460">
        <f>AE29-AF29</f>
        <v>5</v>
      </c>
      <c r="AI29" s="171" t="s">
        <v>18</v>
      </c>
      <c r="AJ29" s="171" t="s">
        <v>18</v>
      </c>
      <c r="AK29" s="462" t="s">
        <v>402</v>
      </c>
      <c r="AL29" s="144" t="s">
        <v>17</v>
      </c>
      <c r="AM29" s="196" t="s">
        <v>975</v>
      </c>
      <c r="AN29" s="193"/>
      <c r="AO29" s="194">
        <f>SUMIF('TK 15661.Bản quyền phim '!F:F,'KK2. Series'!C29,'TK 15661.Bản quyền phim '!K:K)</f>
        <v>2974211600</v>
      </c>
      <c r="AP29" s="194">
        <f>COUNTIF('242.BQ Phim VOD'!$C$5:$C$8,'KK2. Series'!AM29)</f>
        <v>0</v>
      </c>
      <c r="AQ29" s="194">
        <f>COUNTIF('TK 15666. Phim SX'!$C$6:$C$13,'KK2. Series'!AM29)</f>
        <v>0</v>
      </c>
      <c r="AR29" s="193">
        <f>COUNTIF('TK 15661.Bản quyền phim '!F:F,'KK2. Series'!AM29)</f>
        <v>1</v>
      </c>
      <c r="AS29" s="193"/>
      <c r="AT29" s="197">
        <f t="shared" si="2"/>
        <v>1</v>
      </c>
      <c r="AU29" s="193"/>
      <c r="AV29" s="193"/>
      <c r="AW29" s="193"/>
      <c r="AX29" s="193"/>
      <c r="AY29" s="193"/>
    </row>
    <row r="30" spans="1:51" ht="409.6" x14ac:dyDescent="0.25">
      <c r="A30" s="141">
        <v>24</v>
      </c>
      <c r="B30" s="142" t="s">
        <v>974</v>
      </c>
      <c r="C30" s="144" t="s">
        <v>973</v>
      </c>
      <c r="D30" s="144" t="s">
        <v>972</v>
      </c>
      <c r="E30" s="430" t="s">
        <v>352</v>
      </c>
      <c r="F30" s="144" t="s">
        <v>971</v>
      </c>
      <c r="G30" s="430" t="s">
        <v>178</v>
      </c>
      <c r="H30" s="459">
        <v>2022</v>
      </c>
      <c r="I30" s="459">
        <v>36</v>
      </c>
      <c r="J30" s="459">
        <v>45</v>
      </c>
      <c r="K30" s="459">
        <f t="shared" si="1"/>
        <v>27</v>
      </c>
      <c r="L30" s="459">
        <f t="shared" ref="L30:L38" si="3">I30</f>
        <v>36</v>
      </c>
      <c r="M30" s="430" t="str">
        <f>M29</f>
        <v>Action, Crime</v>
      </c>
      <c r="N30" s="144" t="s">
        <v>511</v>
      </c>
      <c r="O30" s="144">
        <v>45015</v>
      </c>
      <c r="P30" s="144">
        <v>46110</v>
      </c>
      <c r="Q30" s="305">
        <v>45015</v>
      </c>
      <c r="R30" s="144" t="s">
        <v>970</v>
      </c>
      <c r="S30" s="144" t="s">
        <v>969</v>
      </c>
      <c r="T30" s="144" t="s">
        <v>20</v>
      </c>
      <c r="U30" s="144" t="s">
        <v>18</v>
      </c>
      <c r="V30" s="144" t="s">
        <v>18</v>
      </c>
      <c r="W30" s="144" t="s">
        <v>18</v>
      </c>
      <c r="X30" s="144" t="s">
        <v>20</v>
      </c>
      <c r="Y30" s="144" t="s">
        <v>20</v>
      </c>
      <c r="Z30" s="144" t="s">
        <v>18</v>
      </c>
      <c r="AA30" s="144" t="s">
        <v>20</v>
      </c>
      <c r="AB30" s="144" t="s">
        <v>20</v>
      </c>
      <c r="AC30" s="144">
        <v>45015</v>
      </c>
      <c r="AD30" s="144">
        <v>46110</v>
      </c>
      <c r="AE30" s="142">
        <v>6</v>
      </c>
      <c r="AF30" s="460">
        <v>3</v>
      </c>
      <c r="AG30" s="461">
        <v>45459</v>
      </c>
      <c r="AH30" s="460">
        <f>AE30-AF30</f>
        <v>3</v>
      </c>
      <c r="AI30" s="171" t="s">
        <v>18</v>
      </c>
      <c r="AJ30" s="171" t="s">
        <v>18</v>
      </c>
      <c r="AK30" s="462"/>
      <c r="AL30" s="144" t="s">
        <v>17</v>
      </c>
      <c r="AM30" s="193" t="s">
        <v>968</v>
      </c>
      <c r="AN30" s="193" t="s">
        <v>967</v>
      </c>
      <c r="AO30" s="194">
        <f>SUMIF('TK 15661.Bản quyền phim '!F:F,'KK2. Series'!C30,'TK 15661.Bản quyền phim '!K:K)</f>
        <v>0</v>
      </c>
      <c r="AP30" s="194">
        <f>COUNTIF('242.BQ Phim VOD'!$C$5:$C$8,'KK2. Series'!AM30)</f>
        <v>0</v>
      </c>
      <c r="AQ30" s="194">
        <f>COUNTIF('TK 15666. Phim SX'!$C$6:$C$13,'KK2. Series'!AM30)</f>
        <v>0</v>
      </c>
      <c r="AR30" s="193">
        <f>COUNTIF('TK 15661.Bản quyền phim '!F:F,'KK2. Series'!AM30)</f>
        <v>1</v>
      </c>
      <c r="AS30" s="193"/>
      <c r="AT30" s="197">
        <f t="shared" si="2"/>
        <v>1</v>
      </c>
      <c r="AU30" s="193"/>
      <c r="AV30" s="193"/>
      <c r="AW30" s="193"/>
      <c r="AX30" s="193"/>
      <c r="AY30" s="193"/>
    </row>
    <row r="31" spans="1:51" ht="409.6" x14ac:dyDescent="0.25">
      <c r="A31" s="141">
        <v>25</v>
      </c>
      <c r="B31" s="142" t="s">
        <v>966</v>
      </c>
      <c r="C31" s="144" t="s">
        <v>965</v>
      </c>
      <c r="D31" s="144" t="s">
        <v>964</v>
      </c>
      <c r="E31" s="144" t="s">
        <v>352</v>
      </c>
      <c r="F31" s="144" t="s">
        <v>899</v>
      </c>
      <c r="G31" s="144" t="s">
        <v>951</v>
      </c>
      <c r="H31" s="459">
        <v>2021</v>
      </c>
      <c r="I31" s="459">
        <v>104</v>
      </c>
      <c r="J31" s="459">
        <v>45</v>
      </c>
      <c r="K31" s="459">
        <f t="shared" si="1"/>
        <v>78</v>
      </c>
      <c r="L31" s="459">
        <f t="shared" si="3"/>
        <v>104</v>
      </c>
      <c r="M31" s="144" t="s">
        <v>350</v>
      </c>
      <c r="N31" s="144" t="s">
        <v>350</v>
      </c>
      <c r="O31" s="144"/>
      <c r="P31" s="144" t="s">
        <v>349</v>
      </c>
      <c r="Q31" s="144">
        <v>45291</v>
      </c>
      <c r="R31" s="144" t="s">
        <v>349</v>
      </c>
      <c r="S31" s="144" t="s">
        <v>950</v>
      </c>
      <c r="T31" s="144" t="s">
        <v>20</v>
      </c>
      <c r="U31" s="144" t="s">
        <v>18</v>
      </c>
      <c r="V31" s="144" t="s">
        <v>18</v>
      </c>
      <c r="W31" s="144" t="s">
        <v>18</v>
      </c>
      <c r="X31" s="144" t="s">
        <v>18</v>
      </c>
      <c r="Y31" s="144" t="s">
        <v>18</v>
      </c>
      <c r="Z31" s="144" t="s">
        <v>18</v>
      </c>
      <c r="AA31" s="144" t="s">
        <v>18</v>
      </c>
      <c r="AB31" s="144" t="s">
        <v>18</v>
      </c>
      <c r="AC31" s="144">
        <v>45657</v>
      </c>
      <c r="AD31" s="144">
        <v>46386</v>
      </c>
      <c r="AE31" s="144" t="s">
        <v>349</v>
      </c>
      <c r="AF31" s="460"/>
      <c r="AG31" s="461"/>
      <c r="AH31" s="144" t="s">
        <v>349</v>
      </c>
      <c r="AI31" s="171" t="s">
        <v>18</v>
      </c>
      <c r="AJ31" s="171" t="s">
        <v>18</v>
      </c>
      <c r="AK31" s="462"/>
      <c r="AL31" s="144" t="s">
        <v>17</v>
      </c>
      <c r="AM31" s="193"/>
      <c r="AN31" s="193"/>
      <c r="AO31" s="194">
        <f>SUMIF('TK 15661.Bản quyền phim '!F:F,'KK2. Series'!C31,'TK 15661.Bản quyền phim '!K:K)</f>
        <v>0</v>
      </c>
      <c r="AP31" s="194">
        <f>COUNTIF('242.BQ Phim VOD'!$C$5:$C$8,'KK2. Series'!AM31)</f>
        <v>0</v>
      </c>
      <c r="AQ31" s="194">
        <f>COUNTIF('TK 15666. Phim SX'!$C$6:$C$13,'KK2. Series'!AM31)</f>
        <v>0</v>
      </c>
      <c r="AR31" s="193">
        <f>COUNTIF('TK 15661.Bản quyền phim '!F:F,'KK2. Series'!AM31)</f>
        <v>0</v>
      </c>
      <c r="AS31" s="193">
        <v>1</v>
      </c>
      <c r="AT31" s="197">
        <f t="shared" si="2"/>
        <v>1</v>
      </c>
      <c r="AU31" s="193"/>
      <c r="AV31" s="193"/>
      <c r="AW31" s="193"/>
      <c r="AX31" s="193"/>
      <c r="AY31" s="193"/>
    </row>
    <row r="32" spans="1:51" ht="409.6" x14ac:dyDescent="0.25">
      <c r="A32" s="141">
        <v>26</v>
      </c>
      <c r="B32" s="142" t="s">
        <v>963</v>
      </c>
      <c r="C32" s="144" t="s">
        <v>962</v>
      </c>
      <c r="D32" s="144" t="s">
        <v>961</v>
      </c>
      <c r="E32" s="144" t="s">
        <v>352</v>
      </c>
      <c r="F32" s="144" t="s">
        <v>899</v>
      </c>
      <c r="G32" s="144" t="s">
        <v>133</v>
      </c>
      <c r="H32" s="459">
        <v>2022</v>
      </c>
      <c r="I32" s="459">
        <v>80</v>
      </c>
      <c r="J32" s="459">
        <v>45</v>
      </c>
      <c r="K32" s="463">
        <f t="shared" si="1"/>
        <v>60</v>
      </c>
      <c r="L32" s="459">
        <f t="shared" si="3"/>
        <v>80</v>
      </c>
      <c r="M32" s="144" t="s">
        <v>350</v>
      </c>
      <c r="N32" s="144" t="s">
        <v>350</v>
      </c>
      <c r="O32" s="144"/>
      <c r="P32" s="144" t="s">
        <v>349</v>
      </c>
      <c r="Q32" s="144">
        <v>45657</v>
      </c>
      <c r="R32" s="144" t="s">
        <v>349</v>
      </c>
      <c r="S32" s="144" t="s">
        <v>950</v>
      </c>
      <c r="T32" s="144" t="s">
        <v>20</v>
      </c>
      <c r="U32" s="144" t="s">
        <v>18</v>
      </c>
      <c r="V32" s="144" t="s">
        <v>18</v>
      </c>
      <c r="W32" s="144" t="s">
        <v>18</v>
      </c>
      <c r="X32" s="144" t="s">
        <v>18</v>
      </c>
      <c r="Y32" s="144" t="s">
        <v>18</v>
      </c>
      <c r="Z32" s="144" t="s">
        <v>18</v>
      </c>
      <c r="AA32" s="144" t="s">
        <v>18</v>
      </c>
      <c r="AB32" s="144" t="s">
        <v>18</v>
      </c>
      <c r="AC32" s="144">
        <v>45657</v>
      </c>
      <c r="AD32" s="144">
        <v>46386</v>
      </c>
      <c r="AE32" s="144" t="s">
        <v>349</v>
      </c>
      <c r="AF32" s="460"/>
      <c r="AG32" s="461"/>
      <c r="AH32" s="144" t="s">
        <v>349</v>
      </c>
      <c r="AI32" s="171" t="s">
        <v>18</v>
      </c>
      <c r="AJ32" s="171" t="s">
        <v>18</v>
      </c>
      <c r="AK32" s="462"/>
      <c r="AL32" s="144" t="s">
        <v>17</v>
      </c>
      <c r="AM32" s="193"/>
      <c r="AN32" s="193"/>
      <c r="AO32" s="194">
        <f>SUMIF('TK 15661.Bản quyền phim '!F:F,'KK2. Series'!C32,'TK 15661.Bản quyền phim '!K:K)</f>
        <v>0</v>
      </c>
      <c r="AP32" s="194">
        <f>COUNTIF('242.BQ Phim VOD'!$C$5:$C$8,'KK2. Series'!AM32)</f>
        <v>0</v>
      </c>
      <c r="AQ32" s="194">
        <f>COUNTIF('TK 15666. Phim SX'!$C$6:$C$13,'KK2. Series'!AM32)</f>
        <v>0</v>
      </c>
      <c r="AR32" s="193">
        <f>COUNTIF('TK 15661.Bản quyền phim '!F:F,'KK2. Series'!AM32)</f>
        <v>0</v>
      </c>
      <c r="AS32" s="193">
        <v>1</v>
      </c>
      <c r="AT32" s="197">
        <f t="shared" si="2"/>
        <v>1</v>
      </c>
      <c r="AU32" s="193"/>
      <c r="AV32" s="193"/>
      <c r="AW32" s="193"/>
      <c r="AX32" s="193"/>
      <c r="AY32" s="193"/>
    </row>
    <row r="33" spans="1:51" ht="409.6" x14ac:dyDescent="0.25">
      <c r="A33" s="141">
        <v>27</v>
      </c>
      <c r="B33" s="142" t="s">
        <v>960</v>
      </c>
      <c r="C33" s="144" t="s">
        <v>959</v>
      </c>
      <c r="D33" s="144" t="s">
        <v>958</v>
      </c>
      <c r="E33" s="144" t="s">
        <v>352</v>
      </c>
      <c r="F33" s="144" t="s">
        <v>899</v>
      </c>
      <c r="G33" s="144" t="s">
        <v>133</v>
      </c>
      <c r="H33" s="459">
        <v>2022</v>
      </c>
      <c r="I33" s="459">
        <v>75</v>
      </c>
      <c r="J33" s="459">
        <v>45</v>
      </c>
      <c r="K33" s="463">
        <f t="shared" si="1"/>
        <v>56.25</v>
      </c>
      <c r="L33" s="459">
        <f t="shared" si="3"/>
        <v>75</v>
      </c>
      <c r="M33" s="144" t="s">
        <v>350</v>
      </c>
      <c r="N33" s="144" t="s">
        <v>350</v>
      </c>
      <c r="O33" s="144"/>
      <c r="P33" s="144" t="s">
        <v>349</v>
      </c>
      <c r="Q33" s="144">
        <v>45657</v>
      </c>
      <c r="R33" s="144" t="s">
        <v>349</v>
      </c>
      <c r="S33" s="144" t="s">
        <v>950</v>
      </c>
      <c r="T33" s="144" t="s">
        <v>20</v>
      </c>
      <c r="U33" s="144" t="s">
        <v>18</v>
      </c>
      <c r="V33" s="144" t="s">
        <v>18</v>
      </c>
      <c r="W33" s="144" t="s">
        <v>18</v>
      </c>
      <c r="X33" s="144" t="s">
        <v>18</v>
      </c>
      <c r="Y33" s="144" t="s">
        <v>18</v>
      </c>
      <c r="Z33" s="144" t="s">
        <v>18</v>
      </c>
      <c r="AA33" s="144" t="s">
        <v>18</v>
      </c>
      <c r="AB33" s="144" t="s">
        <v>18</v>
      </c>
      <c r="AC33" s="144">
        <v>45657</v>
      </c>
      <c r="AD33" s="144">
        <v>46386</v>
      </c>
      <c r="AE33" s="144" t="s">
        <v>349</v>
      </c>
      <c r="AF33" s="460"/>
      <c r="AG33" s="461"/>
      <c r="AH33" s="144" t="s">
        <v>349</v>
      </c>
      <c r="AI33" s="171" t="s">
        <v>18</v>
      </c>
      <c r="AJ33" s="171" t="s">
        <v>18</v>
      </c>
      <c r="AK33" s="462"/>
      <c r="AL33" s="144" t="s">
        <v>17</v>
      </c>
      <c r="AM33" s="193"/>
      <c r="AN33" s="193"/>
      <c r="AO33" s="194">
        <f>SUMIF('TK 15661.Bản quyền phim '!F:F,'KK2. Series'!C33,'TK 15661.Bản quyền phim '!K:K)</f>
        <v>0</v>
      </c>
      <c r="AP33" s="194">
        <f>COUNTIF('242.BQ Phim VOD'!$C$5:$C$8,'KK2. Series'!AM33)</f>
        <v>0</v>
      </c>
      <c r="AQ33" s="194">
        <f>COUNTIF('TK 15666. Phim SX'!$C$6:$C$13,'KK2. Series'!AM33)</f>
        <v>0</v>
      </c>
      <c r="AR33" s="193">
        <f>COUNTIF('TK 15661.Bản quyền phim '!F:F,'KK2. Series'!AM33)</f>
        <v>0</v>
      </c>
      <c r="AS33" s="193">
        <v>1</v>
      </c>
      <c r="AT33" s="197">
        <f t="shared" si="2"/>
        <v>1</v>
      </c>
      <c r="AU33" s="193"/>
      <c r="AV33" s="193"/>
      <c r="AW33" s="193"/>
      <c r="AX33" s="193"/>
      <c r="AY33" s="193"/>
    </row>
    <row r="34" spans="1:51" ht="409.6" x14ac:dyDescent="0.25">
      <c r="A34" s="141">
        <v>28</v>
      </c>
      <c r="B34" s="142" t="s">
        <v>957</v>
      </c>
      <c r="C34" s="144" t="s">
        <v>956</v>
      </c>
      <c r="D34" s="144" t="s">
        <v>955</v>
      </c>
      <c r="E34" s="144" t="s">
        <v>352</v>
      </c>
      <c r="F34" s="144" t="s">
        <v>899</v>
      </c>
      <c r="G34" s="144" t="s">
        <v>951</v>
      </c>
      <c r="H34" s="459">
        <v>2021</v>
      </c>
      <c r="I34" s="459">
        <v>83</v>
      </c>
      <c r="J34" s="459">
        <v>45</v>
      </c>
      <c r="K34" s="459">
        <f t="shared" si="1"/>
        <v>62.25</v>
      </c>
      <c r="L34" s="459">
        <f t="shared" si="3"/>
        <v>83</v>
      </c>
      <c r="M34" s="144" t="s">
        <v>350</v>
      </c>
      <c r="N34" s="144" t="s">
        <v>350</v>
      </c>
      <c r="O34" s="144"/>
      <c r="P34" s="144" t="s">
        <v>349</v>
      </c>
      <c r="Q34" s="144">
        <v>45657</v>
      </c>
      <c r="R34" s="144" t="s">
        <v>349</v>
      </c>
      <c r="S34" s="144" t="s">
        <v>950</v>
      </c>
      <c r="T34" s="144" t="s">
        <v>20</v>
      </c>
      <c r="U34" s="144" t="s">
        <v>18</v>
      </c>
      <c r="V34" s="144" t="s">
        <v>18</v>
      </c>
      <c r="W34" s="144" t="s">
        <v>18</v>
      </c>
      <c r="X34" s="144" t="s">
        <v>18</v>
      </c>
      <c r="Y34" s="144" t="s">
        <v>18</v>
      </c>
      <c r="Z34" s="144" t="s">
        <v>18</v>
      </c>
      <c r="AA34" s="144" t="s">
        <v>18</v>
      </c>
      <c r="AB34" s="144" t="s">
        <v>18</v>
      </c>
      <c r="AC34" s="144">
        <v>45657</v>
      </c>
      <c r="AD34" s="144">
        <v>46386</v>
      </c>
      <c r="AE34" s="144" t="s">
        <v>349</v>
      </c>
      <c r="AF34" s="460"/>
      <c r="AG34" s="461"/>
      <c r="AH34" s="144" t="s">
        <v>349</v>
      </c>
      <c r="AI34" s="171" t="s">
        <v>18</v>
      </c>
      <c r="AJ34" s="171" t="s">
        <v>18</v>
      </c>
      <c r="AK34" s="462"/>
      <c r="AL34" s="144" t="s">
        <v>17</v>
      </c>
      <c r="AM34" s="193"/>
      <c r="AN34" s="193"/>
      <c r="AO34" s="194">
        <f>SUMIF('TK 15661.Bản quyền phim '!F:F,'KK2. Series'!C34,'TK 15661.Bản quyền phim '!K:K)</f>
        <v>0</v>
      </c>
      <c r="AP34" s="194">
        <f>COUNTIF('242.BQ Phim VOD'!$C$5:$C$8,'KK2. Series'!AM34)</f>
        <v>0</v>
      </c>
      <c r="AQ34" s="194">
        <f>COUNTIF('TK 15666. Phim SX'!$C$6:$C$13,'KK2. Series'!AM34)</f>
        <v>0</v>
      </c>
      <c r="AR34" s="193">
        <f>COUNTIF('TK 15661.Bản quyền phim '!F:F,'KK2. Series'!AM34)</f>
        <v>0</v>
      </c>
      <c r="AS34" s="193">
        <v>1</v>
      </c>
      <c r="AT34" s="197">
        <f t="shared" si="2"/>
        <v>1</v>
      </c>
      <c r="AU34" s="193"/>
      <c r="AV34" s="193"/>
      <c r="AW34" s="193"/>
      <c r="AX34" s="193"/>
      <c r="AY34" s="193"/>
    </row>
    <row r="35" spans="1:51" ht="409.6" x14ac:dyDescent="0.25">
      <c r="A35" s="141">
        <v>29</v>
      </c>
      <c r="B35" s="142" t="s">
        <v>954</v>
      </c>
      <c r="C35" s="164" t="s">
        <v>953</v>
      </c>
      <c r="D35" s="144" t="s">
        <v>952</v>
      </c>
      <c r="E35" s="144" t="s">
        <v>352</v>
      </c>
      <c r="F35" s="144" t="s">
        <v>899</v>
      </c>
      <c r="G35" s="144" t="s">
        <v>951</v>
      </c>
      <c r="H35" s="459">
        <v>2021</v>
      </c>
      <c r="I35" s="459">
        <v>93</v>
      </c>
      <c r="J35" s="459">
        <v>45</v>
      </c>
      <c r="K35" s="459">
        <f t="shared" si="1"/>
        <v>69.75</v>
      </c>
      <c r="L35" s="459">
        <f t="shared" si="3"/>
        <v>93</v>
      </c>
      <c r="M35" s="144" t="s">
        <v>350</v>
      </c>
      <c r="N35" s="144" t="s">
        <v>350</v>
      </c>
      <c r="O35" s="144"/>
      <c r="P35" s="144" t="s">
        <v>349</v>
      </c>
      <c r="Q35" s="144">
        <v>45397</v>
      </c>
      <c r="R35" s="144" t="s">
        <v>349</v>
      </c>
      <c r="S35" s="144" t="s">
        <v>950</v>
      </c>
      <c r="T35" s="144" t="s">
        <v>20</v>
      </c>
      <c r="U35" s="144" t="s">
        <v>18</v>
      </c>
      <c r="V35" s="352" t="s">
        <v>18</v>
      </c>
      <c r="W35" s="144" t="s">
        <v>18</v>
      </c>
      <c r="X35" s="144" t="s">
        <v>18</v>
      </c>
      <c r="Y35" s="144" t="s">
        <v>18</v>
      </c>
      <c r="Z35" s="144" t="s">
        <v>18</v>
      </c>
      <c r="AA35" s="144" t="s">
        <v>18</v>
      </c>
      <c r="AB35" s="144" t="s">
        <v>18</v>
      </c>
      <c r="AC35" s="144">
        <v>45397</v>
      </c>
      <c r="AD35" s="144">
        <v>46126</v>
      </c>
      <c r="AE35" s="144" t="s">
        <v>349</v>
      </c>
      <c r="AF35" s="460"/>
      <c r="AG35" s="461"/>
      <c r="AH35" s="144" t="s">
        <v>349</v>
      </c>
      <c r="AI35" s="171" t="s">
        <v>18</v>
      </c>
      <c r="AJ35" s="171" t="s">
        <v>18</v>
      </c>
      <c r="AK35" s="462"/>
      <c r="AL35" s="144" t="s">
        <v>17</v>
      </c>
      <c r="AM35" s="193"/>
      <c r="AN35" s="193"/>
      <c r="AO35" s="194">
        <f>SUMIF('TK 15661.Bản quyền phim '!F:F,'KK2. Series'!C35,'TK 15661.Bản quyền phim '!K:K)</f>
        <v>0</v>
      </c>
      <c r="AP35" s="194">
        <f>COUNTIF('242.BQ Phim VOD'!$C$5:$C$8,'KK2. Series'!AM35)</f>
        <v>0</v>
      </c>
      <c r="AQ35" s="194">
        <f>COUNTIF('TK 15666. Phim SX'!$C$6:$C$13,'KK2. Series'!AM35)</f>
        <v>0</v>
      </c>
      <c r="AR35" s="193">
        <f>COUNTIF('TK 15661.Bản quyền phim '!F:F,'KK2. Series'!AM35)</f>
        <v>0</v>
      </c>
      <c r="AS35" s="193">
        <v>1</v>
      </c>
      <c r="AT35" s="197">
        <f t="shared" si="2"/>
        <v>1</v>
      </c>
      <c r="AU35" s="193"/>
      <c r="AV35" s="193"/>
      <c r="AW35" s="193"/>
      <c r="AX35" s="193"/>
      <c r="AY35" s="193"/>
    </row>
    <row r="36" spans="1:51" ht="211.2" x14ac:dyDescent="0.25">
      <c r="A36" s="141">
        <v>30</v>
      </c>
      <c r="B36" s="142" t="s">
        <v>949</v>
      </c>
      <c r="C36" s="144" t="s">
        <v>948</v>
      </c>
      <c r="D36" s="144" t="s">
        <v>947</v>
      </c>
      <c r="E36" s="144" t="s">
        <v>934</v>
      </c>
      <c r="F36" s="144" t="s">
        <v>946</v>
      </c>
      <c r="G36" s="144" t="s">
        <v>161</v>
      </c>
      <c r="H36" s="459">
        <v>2023</v>
      </c>
      <c r="I36" s="459">
        <v>8</v>
      </c>
      <c r="J36" s="459">
        <v>60</v>
      </c>
      <c r="K36" s="459">
        <f t="shared" si="1"/>
        <v>8</v>
      </c>
      <c r="L36" s="459">
        <f t="shared" si="3"/>
        <v>8</v>
      </c>
      <c r="M36" s="164" t="s">
        <v>887</v>
      </c>
      <c r="N36" s="144" t="s">
        <v>511</v>
      </c>
      <c r="O36" s="305">
        <v>45096</v>
      </c>
      <c r="P36" s="305">
        <v>47652</v>
      </c>
      <c r="Q36" s="305">
        <v>45096</v>
      </c>
      <c r="R36" s="305" t="s">
        <v>584</v>
      </c>
      <c r="S36" s="144" t="s">
        <v>931</v>
      </c>
      <c r="T36" s="144" t="s">
        <v>20</v>
      </c>
      <c r="U36" s="144" t="s">
        <v>18</v>
      </c>
      <c r="V36" s="144" t="s">
        <v>18</v>
      </c>
      <c r="W36" s="144" t="s">
        <v>18</v>
      </c>
      <c r="X36" s="144" t="s">
        <v>18</v>
      </c>
      <c r="Y36" s="144" t="s">
        <v>18</v>
      </c>
      <c r="Z36" s="144" t="s">
        <v>18</v>
      </c>
      <c r="AA36" s="144" t="s">
        <v>18</v>
      </c>
      <c r="AB36" s="144" t="s">
        <v>20</v>
      </c>
      <c r="AC36" s="305">
        <v>45096</v>
      </c>
      <c r="AD36" s="305">
        <v>47652</v>
      </c>
      <c r="AE36" s="144" t="s">
        <v>218</v>
      </c>
      <c r="AF36" s="460">
        <v>14</v>
      </c>
      <c r="AG36" s="461">
        <v>45463</v>
      </c>
      <c r="AH36" s="144" t="s">
        <v>218</v>
      </c>
      <c r="AI36" s="171" t="s">
        <v>18</v>
      </c>
      <c r="AJ36" s="171" t="s">
        <v>18</v>
      </c>
      <c r="AK36" s="462"/>
      <c r="AL36" s="144" t="s">
        <v>17</v>
      </c>
      <c r="AM36" s="193" t="s">
        <v>945</v>
      </c>
      <c r="AN36" s="193"/>
      <c r="AO36" s="194">
        <f>SUMIF('TK 15661.Bản quyền phim '!F:F,'KK2. Series'!C36,'TK 15661.Bản quyền phim '!K:K)</f>
        <v>0</v>
      </c>
      <c r="AP36" s="194">
        <f>COUNTIF('242.BQ Phim VOD'!$C$5:$C$8,'KK2. Series'!AM36)</f>
        <v>0</v>
      </c>
      <c r="AQ36" s="194">
        <f>COUNTIF('TK 15666. Phim SX'!$C$6:$C$13,'KK2. Series'!AM36)</f>
        <v>0</v>
      </c>
      <c r="AR36" s="193">
        <f>COUNTIF('TK 15661.Bản quyền phim '!F:F,'KK2. Series'!AM36)</f>
        <v>1</v>
      </c>
      <c r="AS36" s="193"/>
      <c r="AT36" s="197">
        <f t="shared" si="2"/>
        <v>1</v>
      </c>
      <c r="AU36" s="193"/>
      <c r="AV36" s="193"/>
      <c r="AW36" s="193"/>
      <c r="AX36" s="193"/>
      <c r="AY36" s="193"/>
    </row>
    <row r="37" spans="1:51" ht="264" x14ac:dyDescent="0.25">
      <c r="A37" s="141">
        <v>31</v>
      </c>
      <c r="B37" s="142" t="s">
        <v>944</v>
      </c>
      <c r="C37" s="144" t="s">
        <v>943</v>
      </c>
      <c r="D37" s="144" t="s">
        <v>942</v>
      </c>
      <c r="E37" s="144" t="s">
        <v>486</v>
      </c>
      <c r="F37" s="144" t="s">
        <v>941</v>
      </c>
      <c r="G37" s="144" t="s">
        <v>940</v>
      </c>
      <c r="H37" s="459">
        <v>2022</v>
      </c>
      <c r="I37" s="459">
        <v>10</v>
      </c>
      <c r="J37" s="459">
        <v>45</v>
      </c>
      <c r="K37" s="459">
        <f t="shared" si="1"/>
        <v>7.5</v>
      </c>
      <c r="L37" s="459">
        <f t="shared" si="3"/>
        <v>10</v>
      </c>
      <c r="M37" s="144" t="s">
        <v>381</v>
      </c>
      <c r="N37" s="144" t="s">
        <v>381</v>
      </c>
      <c r="O37" s="305">
        <v>45017</v>
      </c>
      <c r="P37" s="305">
        <v>46843</v>
      </c>
      <c r="Q37" s="305">
        <v>45064</v>
      </c>
      <c r="R37" s="305" t="s">
        <v>584</v>
      </c>
      <c r="S37" s="144" t="s">
        <v>939</v>
      </c>
      <c r="T37" s="144" t="s">
        <v>20</v>
      </c>
      <c r="U37" s="144" t="s">
        <v>18</v>
      </c>
      <c r="V37" s="144" t="s">
        <v>18</v>
      </c>
      <c r="W37" s="144" t="s">
        <v>18</v>
      </c>
      <c r="X37" s="144" t="s">
        <v>18</v>
      </c>
      <c r="Y37" s="144" t="s">
        <v>18</v>
      </c>
      <c r="Z37" s="144" t="s">
        <v>18</v>
      </c>
      <c r="AA37" s="144" t="s">
        <v>18</v>
      </c>
      <c r="AB37" s="144" t="s">
        <v>18</v>
      </c>
      <c r="AC37" s="305">
        <v>45017</v>
      </c>
      <c r="AD37" s="305">
        <v>46843</v>
      </c>
      <c r="AE37" s="144" t="s">
        <v>218</v>
      </c>
      <c r="AF37" s="460">
        <v>11</v>
      </c>
      <c r="AG37" s="461">
        <v>45622</v>
      </c>
      <c r="AH37" s="144" t="s">
        <v>218</v>
      </c>
      <c r="AI37" s="171" t="s">
        <v>18</v>
      </c>
      <c r="AJ37" s="171" t="s">
        <v>18</v>
      </c>
      <c r="AK37" s="462"/>
      <c r="AL37" s="144" t="s">
        <v>17</v>
      </c>
      <c r="AM37" s="193" t="s">
        <v>938</v>
      </c>
      <c r="AN37" s="193"/>
      <c r="AO37" s="194">
        <f>SUMIF('TK 15661.Bản quyền phim '!F:F,'KK2. Series'!C37,'TK 15661.Bản quyền phim '!K:K)</f>
        <v>0</v>
      </c>
      <c r="AP37" s="194">
        <f>COUNTIF('242.BQ Phim VOD'!$C$5:$C$8,'KK2. Series'!AM37)</f>
        <v>0</v>
      </c>
      <c r="AQ37" s="194">
        <f>COUNTIF('TK 15666. Phim SX'!$C$6:$C$13,'KK2. Series'!AM37)</f>
        <v>0</v>
      </c>
      <c r="AR37" s="193">
        <f>COUNTIF('TK 15661.Bản quyền phim '!F:F,'KK2. Series'!AM37)</f>
        <v>1</v>
      </c>
      <c r="AS37" s="193"/>
      <c r="AT37" s="197">
        <f t="shared" si="2"/>
        <v>1</v>
      </c>
      <c r="AU37" s="193"/>
      <c r="AV37" s="193"/>
      <c r="AW37" s="193"/>
      <c r="AX37" s="193"/>
      <c r="AY37" s="193"/>
    </row>
    <row r="38" spans="1:51" ht="409.6" x14ac:dyDescent="0.25">
      <c r="A38" s="141">
        <v>32</v>
      </c>
      <c r="B38" s="142" t="s">
        <v>937</v>
      </c>
      <c r="C38" s="164" t="s">
        <v>936</v>
      </c>
      <c r="D38" s="144" t="s">
        <v>935</v>
      </c>
      <c r="E38" s="164" t="s">
        <v>934</v>
      </c>
      <c r="F38" s="144" t="s">
        <v>933</v>
      </c>
      <c r="G38" s="164" t="s">
        <v>161</v>
      </c>
      <c r="H38" s="164">
        <v>2023</v>
      </c>
      <c r="I38" s="164">
        <v>12</v>
      </c>
      <c r="J38" s="164">
        <v>45</v>
      </c>
      <c r="K38" s="459">
        <f t="shared" si="1"/>
        <v>9</v>
      </c>
      <c r="L38" s="459">
        <f t="shared" si="3"/>
        <v>12</v>
      </c>
      <c r="M38" s="164" t="s">
        <v>932</v>
      </c>
      <c r="N38" s="167" t="s">
        <v>394</v>
      </c>
      <c r="O38" s="464">
        <v>45291</v>
      </c>
      <c r="P38" s="464">
        <v>47847</v>
      </c>
      <c r="Q38" s="144">
        <v>45299</v>
      </c>
      <c r="R38" s="305" t="s">
        <v>584</v>
      </c>
      <c r="S38" s="164" t="s">
        <v>931</v>
      </c>
      <c r="T38" s="144" t="s">
        <v>20</v>
      </c>
      <c r="U38" s="144" t="s">
        <v>18</v>
      </c>
      <c r="V38" s="164" t="s">
        <v>18</v>
      </c>
      <c r="W38" s="164" t="s">
        <v>18</v>
      </c>
      <c r="X38" s="164" t="s">
        <v>18</v>
      </c>
      <c r="Y38" s="164" t="s">
        <v>18</v>
      </c>
      <c r="Z38" s="164" t="s">
        <v>18</v>
      </c>
      <c r="AA38" s="164" t="s">
        <v>18</v>
      </c>
      <c r="AB38" s="164" t="s">
        <v>20</v>
      </c>
      <c r="AC38" s="464">
        <v>45291</v>
      </c>
      <c r="AD38" s="464">
        <v>47847</v>
      </c>
      <c r="AE38" s="164" t="s">
        <v>218</v>
      </c>
      <c r="AF38" s="460">
        <v>13</v>
      </c>
      <c r="AG38" s="461">
        <v>45727</v>
      </c>
      <c r="AH38" s="465"/>
      <c r="AI38" s="171" t="s">
        <v>18</v>
      </c>
      <c r="AJ38" s="171" t="s">
        <v>18</v>
      </c>
      <c r="AK38" s="462"/>
      <c r="AL38" s="144" t="s">
        <v>17</v>
      </c>
      <c r="AM38" s="193" t="s">
        <v>930</v>
      </c>
      <c r="AN38" s="193"/>
      <c r="AO38" s="194">
        <f>SUMIF('TK 15661.Bản quyền phim '!F:F,'KK2. Series'!C38,'TK 15661.Bản quyền phim '!K:K)</f>
        <v>0</v>
      </c>
      <c r="AP38" s="194">
        <f>COUNTIF('242.BQ Phim VOD'!$C$5:$C$8,'KK2. Series'!AM38)</f>
        <v>0</v>
      </c>
      <c r="AQ38" s="194">
        <f>COUNTIF('TK 15666. Phim SX'!$C$6:$C$13,'KK2. Series'!AM38)</f>
        <v>0</v>
      </c>
      <c r="AR38" s="193">
        <f>COUNTIF('TK 15661.Bản quyền phim '!F:F,'KK2. Series'!AM38)</f>
        <v>1</v>
      </c>
      <c r="AS38" s="193"/>
      <c r="AT38" s="197">
        <f t="shared" si="2"/>
        <v>1</v>
      </c>
      <c r="AU38" s="193"/>
      <c r="AV38" s="193"/>
      <c r="AW38" s="193"/>
      <c r="AX38" s="193"/>
      <c r="AY38" s="193"/>
    </row>
    <row r="39" spans="1:51" ht="132" x14ac:dyDescent="0.25">
      <c r="A39" s="141">
        <v>33</v>
      </c>
      <c r="B39" s="142" t="s">
        <v>929</v>
      </c>
      <c r="C39" s="164" t="s">
        <v>926</v>
      </c>
      <c r="D39" s="164" t="s">
        <v>928</v>
      </c>
      <c r="E39" s="164" t="s">
        <v>405</v>
      </c>
      <c r="F39" s="144" t="s">
        <v>586</v>
      </c>
      <c r="G39" s="164" t="s">
        <v>133</v>
      </c>
      <c r="H39" s="164">
        <v>2024</v>
      </c>
      <c r="I39" s="164">
        <v>16</v>
      </c>
      <c r="J39" s="164">
        <v>70</v>
      </c>
      <c r="K39" s="459">
        <f t="shared" ref="K39:K70" si="4">(I39*J39)/60</f>
        <v>18.666666666666668</v>
      </c>
      <c r="L39" s="459">
        <v>16</v>
      </c>
      <c r="M39" s="144" t="s">
        <v>927</v>
      </c>
      <c r="N39" s="164" t="s">
        <v>350</v>
      </c>
      <c r="O39" s="464">
        <v>45485</v>
      </c>
      <c r="P39" s="464">
        <v>46945</v>
      </c>
      <c r="Q39" s="144">
        <v>45485</v>
      </c>
      <c r="R39" s="144" t="s">
        <v>584</v>
      </c>
      <c r="S39" s="432">
        <v>48</v>
      </c>
      <c r="T39" s="164" t="s">
        <v>18</v>
      </c>
      <c r="U39" s="144" t="s">
        <v>18</v>
      </c>
      <c r="V39" s="144" t="s">
        <v>20</v>
      </c>
      <c r="W39" s="164" t="s">
        <v>18</v>
      </c>
      <c r="X39" s="164" t="s">
        <v>18</v>
      </c>
      <c r="Y39" s="164" t="s">
        <v>18</v>
      </c>
      <c r="Z39" s="164" t="s">
        <v>18</v>
      </c>
      <c r="AA39" s="164" t="s">
        <v>18</v>
      </c>
      <c r="AB39" s="164" t="s">
        <v>18</v>
      </c>
      <c r="AC39" s="466">
        <v>45485</v>
      </c>
      <c r="AD39" s="466">
        <v>46945</v>
      </c>
      <c r="AE39" s="164" t="s">
        <v>218</v>
      </c>
      <c r="AF39" s="460">
        <v>5</v>
      </c>
      <c r="AG39" s="461">
        <v>45765</v>
      </c>
      <c r="AH39" s="465"/>
      <c r="AI39" s="171" t="s">
        <v>18</v>
      </c>
      <c r="AJ39" s="171" t="s">
        <v>18</v>
      </c>
      <c r="AK39" s="462" t="s">
        <v>402</v>
      </c>
      <c r="AL39" s="144" t="s">
        <v>17</v>
      </c>
      <c r="AM39" s="196" t="s">
        <v>926</v>
      </c>
      <c r="AN39" s="193"/>
      <c r="AO39" s="194">
        <f>SUMIF('TK 15661.Bản quyền phim '!F:F,'KK2. Series'!C39,'TK 15661.Bản quyền phim '!K:K)</f>
        <v>1352258215</v>
      </c>
      <c r="AP39" s="194">
        <f>COUNTIF('242.BQ Phim VOD'!$C$5:$C$8,'KK2. Series'!AM39)</f>
        <v>0</v>
      </c>
      <c r="AQ39" s="194">
        <f>COUNTIF('TK 15666. Phim SX'!$C$6:$C$13,'KK2. Series'!AM39)</f>
        <v>0</v>
      </c>
      <c r="AR39" s="193">
        <f>COUNTIF('TK 15661.Bản quyền phim '!F:F,'KK2. Series'!AM39)</f>
        <v>1</v>
      </c>
      <c r="AS39" s="193"/>
      <c r="AT39" s="197">
        <f t="shared" si="2"/>
        <v>1</v>
      </c>
      <c r="AU39" s="193"/>
      <c r="AV39" s="193"/>
      <c r="AW39" s="193"/>
      <c r="AX39" s="193"/>
      <c r="AY39" s="193"/>
    </row>
    <row r="40" spans="1:51" ht="409.6" x14ac:dyDescent="0.25">
      <c r="A40" s="141">
        <v>34</v>
      </c>
      <c r="B40" s="142" t="s">
        <v>925</v>
      </c>
      <c r="C40" s="164" t="s">
        <v>924</v>
      </c>
      <c r="D40" s="144" t="s">
        <v>923</v>
      </c>
      <c r="E40" s="164" t="s">
        <v>870</v>
      </c>
      <c r="F40" s="144" t="s">
        <v>869</v>
      </c>
      <c r="G40" s="164" t="s">
        <v>133</v>
      </c>
      <c r="H40" s="164">
        <v>2023</v>
      </c>
      <c r="I40" s="164">
        <v>17</v>
      </c>
      <c r="J40" s="164">
        <v>70</v>
      </c>
      <c r="K40" s="463">
        <f t="shared" si="4"/>
        <v>19.833333333333332</v>
      </c>
      <c r="L40" s="459">
        <v>30</v>
      </c>
      <c r="M40" s="164" t="s">
        <v>922</v>
      </c>
      <c r="N40" s="144" t="s">
        <v>511</v>
      </c>
      <c r="O40" s="464">
        <v>45184</v>
      </c>
      <c r="P40" s="464">
        <v>46644</v>
      </c>
      <c r="Q40" s="144">
        <v>45184</v>
      </c>
      <c r="R40" s="144" t="s">
        <v>584</v>
      </c>
      <c r="S40" s="164" t="s">
        <v>867</v>
      </c>
      <c r="T40" s="164" t="s">
        <v>18</v>
      </c>
      <c r="U40" s="144" t="s">
        <v>18</v>
      </c>
      <c r="V40" s="144" t="s">
        <v>18</v>
      </c>
      <c r="W40" s="144" t="s">
        <v>18</v>
      </c>
      <c r="X40" s="144" t="s">
        <v>18</v>
      </c>
      <c r="Y40" s="144" t="s">
        <v>18</v>
      </c>
      <c r="Z40" s="144" t="s">
        <v>18</v>
      </c>
      <c r="AA40" s="144" t="s">
        <v>18</v>
      </c>
      <c r="AB40" s="144" t="s">
        <v>18</v>
      </c>
      <c r="AC40" s="464">
        <v>45184</v>
      </c>
      <c r="AD40" s="464">
        <v>46644</v>
      </c>
      <c r="AE40" s="164" t="s">
        <v>866</v>
      </c>
      <c r="AF40" s="460">
        <v>7</v>
      </c>
      <c r="AG40" s="461">
        <v>45784</v>
      </c>
      <c r="AH40" s="465"/>
      <c r="AI40" s="171" t="s">
        <v>18</v>
      </c>
      <c r="AJ40" s="171" t="s">
        <v>18</v>
      </c>
      <c r="AK40" s="462" t="s">
        <v>402</v>
      </c>
      <c r="AL40" s="144" t="s">
        <v>17</v>
      </c>
      <c r="AM40" s="193" t="s">
        <v>921</v>
      </c>
      <c r="AN40" s="193"/>
      <c r="AO40" s="194">
        <f>SUMIF('TK 15661.Bản quyền phim '!F:F,'KK2. Series'!C40,'TK 15661.Bản quyền phim '!K:K)</f>
        <v>0</v>
      </c>
      <c r="AP40" s="194">
        <f>COUNTIF('242.BQ Phim VOD'!$C$5:$C$8,'KK2. Series'!AM40)</f>
        <v>0</v>
      </c>
      <c r="AQ40" s="194">
        <f>COUNTIF('TK 15666. Phim SX'!$C$6:$C$13,'KK2. Series'!AM40)</f>
        <v>0</v>
      </c>
      <c r="AR40" s="193">
        <f>COUNTIF('TK 15661.Bản quyền phim '!F:F,'KK2. Series'!AM40)</f>
        <v>1</v>
      </c>
      <c r="AS40" s="193"/>
      <c r="AT40" s="197">
        <f t="shared" si="2"/>
        <v>1</v>
      </c>
      <c r="AU40" s="193"/>
      <c r="AV40" s="193"/>
      <c r="AW40" s="193"/>
      <c r="AX40" s="193"/>
      <c r="AY40" s="193"/>
    </row>
    <row r="41" spans="1:51" ht="409.6" x14ac:dyDescent="0.25">
      <c r="A41" s="141">
        <v>35</v>
      </c>
      <c r="B41" s="142" t="s">
        <v>920</v>
      </c>
      <c r="C41" s="164" t="s">
        <v>917</v>
      </c>
      <c r="D41" s="144" t="s">
        <v>919</v>
      </c>
      <c r="E41" s="164" t="s">
        <v>513</v>
      </c>
      <c r="F41" s="144" t="s">
        <v>918</v>
      </c>
      <c r="G41" s="164" t="s">
        <v>178</v>
      </c>
      <c r="H41" s="164">
        <v>2022</v>
      </c>
      <c r="I41" s="164">
        <v>39</v>
      </c>
      <c r="J41" s="164">
        <v>45</v>
      </c>
      <c r="K41" s="459">
        <f t="shared" si="4"/>
        <v>29.25</v>
      </c>
      <c r="L41" s="459">
        <v>39</v>
      </c>
      <c r="M41" s="164" t="s">
        <v>350</v>
      </c>
      <c r="N41" s="164" t="s">
        <v>350</v>
      </c>
      <c r="O41" s="464">
        <v>45446</v>
      </c>
      <c r="P41" s="464">
        <v>46906</v>
      </c>
      <c r="Q41" s="144">
        <v>45490</v>
      </c>
      <c r="R41" s="144" t="s">
        <v>553</v>
      </c>
      <c r="S41" s="164">
        <v>12</v>
      </c>
      <c r="T41" s="164" t="s">
        <v>20</v>
      </c>
      <c r="U41" s="144" t="s">
        <v>18</v>
      </c>
      <c r="V41" s="164" t="s">
        <v>18</v>
      </c>
      <c r="W41" s="164" t="s">
        <v>18</v>
      </c>
      <c r="X41" s="164" t="s">
        <v>20</v>
      </c>
      <c r="Y41" s="164" t="s">
        <v>18</v>
      </c>
      <c r="Z41" s="164" t="s">
        <v>20</v>
      </c>
      <c r="AA41" s="164" t="s">
        <v>20</v>
      </c>
      <c r="AB41" s="164" t="s">
        <v>18</v>
      </c>
      <c r="AC41" s="464">
        <v>45446</v>
      </c>
      <c r="AD41" s="464">
        <v>46906</v>
      </c>
      <c r="AE41" s="164" t="s">
        <v>130</v>
      </c>
      <c r="AF41" s="460">
        <v>3</v>
      </c>
      <c r="AG41" s="461">
        <v>45494</v>
      </c>
      <c r="AH41" s="465"/>
      <c r="AI41" s="171" t="s">
        <v>18</v>
      </c>
      <c r="AJ41" s="171" t="s">
        <v>18</v>
      </c>
      <c r="AK41" s="462"/>
      <c r="AL41" s="144" t="s">
        <v>17</v>
      </c>
      <c r="AM41" s="196" t="s">
        <v>917</v>
      </c>
      <c r="AN41" s="193"/>
      <c r="AO41" s="194">
        <f>SUMIF('TK 15661.Bản quyền phim '!F:F,'KK2. Series'!C41,'TK 15661.Bản quyền phim '!K:K)</f>
        <v>1596400000</v>
      </c>
      <c r="AP41" s="194">
        <f>COUNTIF('242.BQ Phim VOD'!$C$5:$C$8,'KK2. Series'!AM41)</f>
        <v>0</v>
      </c>
      <c r="AQ41" s="194">
        <f>COUNTIF('TK 15666. Phim SX'!$C$6:$C$13,'KK2. Series'!AM41)</f>
        <v>0</v>
      </c>
      <c r="AR41" s="193">
        <f>COUNTIF('TK 15661.Bản quyền phim '!F:F,'KK2. Series'!AM41)</f>
        <v>1</v>
      </c>
      <c r="AS41" s="193"/>
      <c r="AT41" s="197">
        <f t="shared" si="2"/>
        <v>1</v>
      </c>
      <c r="AU41" s="193"/>
      <c r="AV41" s="193"/>
      <c r="AW41" s="193"/>
      <c r="AX41" s="193"/>
      <c r="AY41" s="193"/>
    </row>
    <row r="42" spans="1:51" ht="409.6" x14ac:dyDescent="0.25">
      <c r="A42" s="141">
        <v>36</v>
      </c>
      <c r="B42" s="142" t="s">
        <v>916</v>
      </c>
      <c r="C42" s="144" t="s">
        <v>910</v>
      </c>
      <c r="D42" s="144" t="s">
        <v>915</v>
      </c>
      <c r="E42" s="144" t="s">
        <v>914</v>
      </c>
      <c r="F42" s="144" t="s">
        <v>913</v>
      </c>
      <c r="G42" s="144" t="s">
        <v>133</v>
      </c>
      <c r="H42" s="459">
        <v>2023</v>
      </c>
      <c r="I42" s="459">
        <v>16</v>
      </c>
      <c r="J42" s="459">
        <v>70</v>
      </c>
      <c r="K42" s="463">
        <f t="shared" si="4"/>
        <v>18.666666666666668</v>
      </c>
      <c r="L42" s="459">
        <f>I42</f>
        <v>16</v>
      </c>
      <c r="M42" s="144" t="s">
        <v>912</v>
      </c>
      <c r="N42" s="144" t="s">
        <v>511</v>
      </c>
      <c r="O42" s="305">
        <v>45105</v>
      </c>
      <c r="P42" s="305">
        <v>46565</v>
      </c>
      <c r="Q42" s="305">
        <v>45105</v>
      </c>
      <c r="R42" s="144" t="s">
        <v>553</v>
      </c>
      <c r="S42" s="144" t="s">
        <v>911</v>
      </c>
      <c r="T42" s="144" t="s">
        <v>18</v>
      </c>
      <c r="U42" s="144" t="s">
        <v>18</v>
      </c>
      <c r="V42" s="144" t="s">
        <v>18</v>
      </c>
      <c r="W42" s="144" t="s">
        <v>18</v>
      </c>
      <c r="X42" s="144" t="s">
        <v>18</v>
      </c>
      <c r="Y42" s="144" t="s">
        <v>18</v>
      </c>
      <c r="Z42" s="144" t="s">
        <v>18</v>
      </c>
      <c r="AA42" s="144" t="s">
        <v>18</v>
      </c>
      <c r="AB42" s="144" t="s">
        <v>18</v>
      </c>
      <c r="AC42" s="305">
        <v>45105</v>
      </c>
      <c r="AD42" s="305">
        <v>46565</v>
      </c>
      <c r="AE42" s="144" t="s">
        <v>218</v>
      </c>
      <c r="AF42" s="460">
        <v>9</v>
      </c>
      <c r="AG42" s="461">
        <v>45509</v>
      </c>
      <c r="AH42" s="144" t="s">
        <v>218</v>
      </c>
      <c r="AI42" s="171" t="s">
        <v>18</v>
      </c>
      <c r="AJ42" s="171" t="s">
        <v>18</v>
      </c>
      <c r="AK42" s="462" t="s">
        <v>402</v>
      </c>
      <c r="AL42" s="144" t="s">
        <v>17</v>
      </c>
      <c r="AM42" s="196" t="s">
        <v>910</v>
      </c>
      <c r="AN42" s="193"/>
      <c r="AO42" s="194">
        <f>SUMIF('TK 15661.Bản quyền phim '!F:F,'KK2. Series'!C42,'TK 15661.Bản quyền phim '!K:K)</f>
        <v>1510400000</v>
      </c>
      <c r="AP42" s="194">
        <f>COUNTIF('242.BQ Phim VOD'!$C$5:$C$8,'KK2. Series'!AM42)</f>
        <v>0</v>
      </c>
      <c r="AQ42" s="194">
        <f>COUNTIF('TK 15666. Phim SX'!$C$6:$C$13,'KK2. Series'!AM42)</f>
        <v>0</v>
      </c>
      <c r="AR42" s="193">
        <f>COUNTIF('TK 15661.Bản quyền phim '!F:F,'KK2. Series'!AM42)</f>
        <v>1</v>
      </c>
      <c r="AS42" s="193"/>
      <c r="AT42" s="197">
        <f t="shared" si="2"/>
        <v>1</v>
      </c>
      <c r="AU42" s="193"/>
      <c r="AV42" s="193"/>
      <c r="AW42" s="193"/>
      <c r="AX42" s="193"/>
      <c r="AY42" s="193"/>
    </row>
    <row r="43" spans="1:51" ht="211.2" x14ac:dyDescent="0.25">
      <c r="A43" s="141">
        <v>37</v>
      </c>
      <c r="B43" s="142" t="s">
        <v>909</v>
      </c>
      <c r="C43" s="144" t="s">
        <v>908</v>
      </c>
      <c r="D43" s="144" t="s">
        <v>889</v>
      </c>
      <c r="E43" s="144" t="s">
        <v>486</v>
      </c>
      <c r="F43" s="144" t="s">
        <v>888</v>
      </c>
      <c r="G43" s="144" t="s">
        <v>484</v>
      </c>
      <c r="H43" s="459">
        <v>2019</v>
      </c>
      <c r="I43" s="459">
        <v>8</v>
      </c>
      <c r="J43" s="459">
        <v>50</v>
      </c>
      <c r="K43" s="459">
        <f t="shared" si="4"/>
        <v>6.666666666666667</v>
      </c>
      <c r="L43" s="459">
        <f>I43</f>
        <v>8</v>
      </c>
      <c r="M43" s="144" t="s">
        <v>887</v>
      </c>
      <c r="N43" s="144" t="s">
        <v>511</v>
      </c>
      <c r="O43" s="305">
        <v>44743</v>
      </c>
      <c r="P43" s="305">
        <v>46568</v>
      </c>
      <c r="Q43" s="305">
        <v>44802</v>
      </c>
      <c r="R43" s="305" t="s">
        <v>584</v>
      </c>
      <c r="S43" s="144" t="s">
        <v>886</v>
      </c>
      <c r="T43" s="144" t="s">
        <v>20</v>
      </c>
      <c r="U43" s="144" t="s">
        <v>18</v>
      </c>
      <c r="V43" s="144" t="s">
        <v>18</v>
      </c>
      <c r="W43" s="144" t="s">
        <v>18</v>
      </c>
      <c r="X43" s="144" t="s">
        <v>18</v>
      </c>
      <c r="Y43" s="144" t="s">
        <v>18</v>
      </c>
      <c r="Z43" s="144" t="s">
        <v>18</v>
      </c>
      <c r="AA43" s="144" t="s">
        <v>18</v>
      </c>
      <c r="AB43" s="144" t="s">
        <v>18</v>
      </c>
      <c r="AC43" s="305">
        <v>44743</v>
      </c>
      <c r="AD43" s="305">
        <v>46568</v>
      </c>
      <c r="AE43" s="144" t="s">
        <v>218</v>
      </c>
      <c r="AF43" s="460">
        <v>11</v>
      </c>
      <c r="AG43" s="461">
        <v>45513</v>
      </c>
      <c r="AH43" s="144" t="s">
        <v>218</v>
      </c>
      <c r="AI43" s="171" t="s">
        <v>18</v>
      </c>
      <c r="AJ43" s="171" t="s">
        <v>18</v>
      </c>
      <c r="AK43" s="462"/>
      <c r="AL43" s="144" t="s">
        <v>17</v>
      </c>
      <c r="AM43" s="196" t="s">
        <v>908</v>
      </c>
      <c r="AN43" s="193"/>
      <c r="AO43" s="194">
        <f>SUMIF('TK 15661.Bản quyền phim '!F:F,'KK2. Series'!C43,'TK 15661.Bản quyền phim '!K:K)</f>
        <v>211555555.55555555</v>
      </c>
      <c r="AP43" s="194">
        <f>COUNTIF('242.BQ Phim VOD'!$C$5:$C$8,'KK2. Series'!AM43)</f>
        <v>0</v>
      </c>
      <c r="AQ43" s="194">
        <f>COUNTIF('TK 15666. Phim SX'!$C$6:$C$13,'KK2. Series'!AM43)</f>
        <v>0</v>
      </c>
      <c r="AR43" s="193">
        <f>COUNTIF('TK 15661.Bản quyền phim '!F:F,'KK2. Series'!AM43)</f>
        <v>1</v>
      </c>
      <c r="AS43" s="193"/>
      <c r="AT43" s="197">
        <f t="shared" si="2"/>
        <v>1</v>
      </c>
      <c r="AU43" s="193"/>
      <c r="AV43" s="193"/>
      <c r="AW43" s="193"/>
      <c r="AX43" s="193"/>
      <c r="AY43" s="193"/>
    </row>
    <row r="44" spans="1:51" ht="409.6" x14ac:dyDescent="0.25">
      <c r="A44" s="141">
        <v>38</v>
      </c>
      <c r="B44" s="142" t="s">
        <v>907</v>
      </c>
      <c r="C44" s="164" t="s">
        <v>906</v>
      </c>
      <c r="D44" s="164" t="s">
        <v>905</v>
      </c>
      <c r="E44" s="164" t="s">
        <v>405</v>
      </c>
      <c r="F44" s="144" t="s">
        <v>869</v>
      </c>
      <c r="G44" s="164" t="s">
        <v>133</v>
      </c>
      <c r="H44" s="164">
        <v>2024</v>
      </c>
      <c r="I44" s="164">
        <v>12</v>
      </c>
      <c r="J44" s="164">
        <v>70</v>
      </c>
      <c r="K44" s="459">
        <f t="shared" si="4"/>
        <v>14</v>
      </c>
      <c r="L44" s="459">
        <v>18</v>
      </c>
      <c r="M44" s="164" t="s">
        <v>904</v>
      </c>
      <c r="N44" s="167" t="s">
        <v>394</v>
      </c>
      <c r="O44" s="464">
        <v>45518</v>
      </c>
      <c r="P44" s="464">
        <v>46978</v>
      </c>
      <c r="Q44" s="144">
        <v>45518</v>
      </c>
      <c r="R44" s="144" t="s">
        <v>584</v>
      </c>
      <c r="S44" s="144"/>
      <c r="T44" s="164" t="s">
        <v>18</v>
      </c>
      <c r="U44" s="144" t="s">
        <v>18</v>
      </c>
      <c r="V44" s="144" t="s">
        <v>20</v>
      </c>
      <c r="W44" s="164" t="s">
        <v>18</v>
      </c>
      <c r="X44" s="164" t="s">
        <v>18</v>
      </c>
      <c r="Y44" s="164" t="s">
        <v>18</v>
      </c>
      <c r="Z44" s="164" t="s">
        <v>18</v>
      </c>
      <c r="AA44" s="164" t="s">
        <v>18</v>
      </c>
      <c r="AB44" s="164" t="s">
        <v>18</v>
      </c>
      <c r="AC44" s="464">
        <v>45518</v>
      </c>
      <c r="AD44" s="464">
        <v>46978</v>
      </c>
      <c r="AE44" s="164" t="s">
        <v>130</v>
      </c>
      <c r="AF44" s="460"/>
      <c r="AG44" s="461">
        <v>45519</v>
      </c>
      <c r="AH44" s="465"/>
      <c r="AI44" s="171" t="s">
        <v>18</v>
      </c>
      <c r="AJ44" s="171" t="s">
        <v>18</v>
      </c>
      <c r="AK44" s="462" t="s">
        <v>402</v>
      </c>
      <c r="AL44" s="144" t="s">
        <v>17</v>
      </c>
      <c r="AM44" s="193" t="s">
        <v>903</v>
      </c>
      <c r="AN44" s="193"/>
      <c r="AO44" s="194">
        <f>SUMIF('TK 15661.Bản quyền phim '!F:F,'KK2. Series'!C44,'TK 15661.Bản quyền phim '!K:K)</f>
        <v>0</v>
      </c>
      <c r="AP44" s="194">
        <f>COUNTIF('242.BQ Phim VOD'!$C$5:$C$8,'KK2. Series'!AM44)</f>
        <v>0</v>
      </c>
      <c r="AQ44" s="194">
        <f>COUNTIF('TK 15666. Phim SX'!$C$6:$C$13,'KK2. Series'!AM44)</f>
        <v>0</v>
      </c>
      <c r="AR44" s="193">
        <f>COUNTIF('TK 15661.Bản quyền phim '!F:F,'KK2. Series'!AM44)</f>
        <v>1</v>
      </c>
      <c r="AS44" s="193"/>
      <c r="AT44" s="197">
        <f t="shared" si="2"/>
        <v>1</v>
      </c>
      <c r="AU44" s="193"/>
      <c r="AV44" s="193"/>
      <c r="AW44" s="193"/>
      <c r="AX44" s="193"/>
      <c r="AY44" s="193"/>
    </row>
    <row r="45" spans="1:51" ht="409.6" x14ac:dyDescent="0.25">
      <c r="A45" s="141">
        <v>39</v>
      </c>
      <c r="B45" s="142" t="s">
        <v>902</v>
      </c>
      <c r="C45" s="164" t="s">
        <v>901</v>
      </c>
      <c r="D45" s="164" t="s">
        <v>900</v>
      </c>
      <c r="E45" s="164" t="s">
        <v>352</v>
      </c>
      <c r="F45" s="144" t="s">
        <v>899</v>
      </c>
      <c r="G45" s="164" t="s">
        <v>178</v>
      </c>
      <c r="H45" s="164">
        <v>2023</v>
      </c>
      <c r="I45" s="164">
        <v>25</v>
      </c>
      <c r="J45" s="164">
        <v>45</v>
      </c>
      <c r="K45" s="459">
        <f t="shared" si="4"/>
        <v>18.75</v>
      </c>
      <c r="L45" s="459">
        <f>I45</f>
        <v>25</v>
      </c>
      <c r="M45" s="164" t="s">
        <v>898</v>
      </c>
      <c r="N45" s="144" t="s">
        <v>511</v>
      </c>
      <c r="O45" s="464">
        <v>45187</v>
      </c>
      <c r="P45" s="464">
        <v>46282</v>
      </c>
      <c r="Q45" s="144">
        <v>45188</v>
      </c>
      <c r="R45" s="144" t="s">
        <v>553</v>
      </c>
      <c r="S45" s="164" t="s">
        <v>897</v>
      </c>
      <c r="T45" s="164" t="s">
        <v>20</v>
      </c>
      <c r="U45" s="144" t="s">
        <v>18</v>
      </c>
      <c r="V45" s="164" t="s">
        <v>20</v>
      </c>
      <c r="W45" s="164" t="s">
        <v>18</v>
      </c>
      <c r="X45" s="164" t="s">
        <v>18</v>
      </c>
      <c r="Y45" s="164" t="s">
        <v>18</v>
      </c>
      <c r="Z45" s="164" t="s">
        <v>18</v>
      </c>
      <c r="AA45" s="164" t="s">
        <v>18</v>
      </c>
      <c r="AB45" s="164" t="s">
        <v>18</v>
      </c>
      <c r="AC45" s="464">
        <v>45187</v>
      </c>
      <c r="AD45" s="464">
        <v>46282</v>
      </c>
      <c r="AE45" s="164">
        <v>6</v>
      </c>
      <c r="AF45" s="460">
        <v>2</v>
      </c>
      <c r="AG45" s="461">
        <v>45532</v>
      </c>
      <c r="AH45" s="465"/>
      <c r="AI45" s="171" t="s">
        <v>18</v>
      </c>
      <c r="AJ45" s="171" t="s">
        <v>18</v>
      </c>
      <c r="AK45" s="462" t="s">
        <v>402</v>
      </c>
      <c r="AL45" s="144" t="s">
        <v>17</v>
      </c>
      <c r="AM45" s="193"/>
      <c r="AN45" s="193"/>
      <c r="AO45" s="194">
        <f>SUMIF('TK 15661.Bản quyền phim '!F:F,'KK2. Series'!C45,'TK 15661.Bản quyền phim '!K:K)</f>
        <v>0</v>
      </c>
      <c r="AP45" s="194">
        <f>COUNTIF('242.BQ Phim VOD'!$C$5:$C$8,'KK2. Series'!AM45)</f>
        <v>0</v>
      </c>
      <c r="AQ45" s="194">
        <f>COUNTIF('TK 15666. Phim SX'!$C$6:$C$13,'KK2. Series'!AM45)</f>
        <v>0</v>
      </c>
      <c r="AR45" s="193">
        <f>COUNTIF('TK 15661.Bản quyền phim '!F:F,'KK2. Series'!AM45)</f>
        <v>0</v>
      </c>
      <c r="AS45" s="193">
        <v>1</v>
      </c>
      <c r="AT45" s="197">
        <f t="shared" si="2"/>
        <v>1</v>
      </c>
      <c r="AU45" s="193"/>
      <c r="AV45" s="193"/>
      <c r="AW45" s="193"/>
      <c r="AX45" s="193"/>
      <c r="AY45" s="193"/>
    </row>
    <row r="46" spans="1:51" ht="396" x14ac:dyDescent="0.25">
      <c r="A46" s="141">
        <v>40</v>
      </c>
      <c r="B46" s="142" t="s">
        <v>896</v>
      </c>
      <c r="C46" s="144" t="s">
        <v>891</v>
      </c>
      <c r="D46" s="144" t="s">
        <v>895</v>
      </c>
      <c r="E46" s="164" t="s">
        <v>894</v>
      </c>
      <c r="F46" s="144" t="s">
        <v>893</v>
      </c>
      <c r="G46" s="164" t="s">
        <v>133</v>
      </c>
      <c r="H46" s="164">
        <v>2021</v>
      </c>
      <c r="I46" s="164">
        <v>10</v>
      </c>
      <c r="J46" s="164">
        <v>70</v>
      </c>
      <c r="K46" s="463">
        <f t="shared" si="4"/>
        <v>11.666666666666666</v>
      </c>
      <c r="L46" s="459">
        <v>14</v>
      </c>
      <c r="M46" s="164" t="s">
        <v>892</v>
      </c>
      <c r="N46" s="144" t="s">
        <v>511</v>
      </c>
      <c r="O46" s="464">
        <v>45107</v>
      </c>
      <c r="P46" s="464">
        <v>46933</v>
      </c>
      <c r="Q46" s="144">
        <v>45215</v>
      </c>
      <c r="R46" s="144" t="s">
        <v>553</v>
      </c>
      <c r="S46" s="164" t="s">
        <v>867</v>
      </c>
      <c r="T46" s="164" t="s">
        <v>20</v>
      </c>
      <c r="U46" s="144" t="s">
        <v>18</v>
      </c>
      <c r="V46" s="144" t="s">
        <v>18</v>
      </c>
      <c r="W46" s="144" t="s">
        <v>18</v>
      </c>
      <c r="X46" s="144" t="s">
        <v>18</v>
      </c>
      <c r="Y46" s="144" t="s">
        <v>18</v>
      </c>
      <c r="Z46" s="144" t="s">
        <v>18</v>
      </c>
      <c r="AA46" s="144" t="s">
        <v>18</v>
      </c>
      <c r="AB46" s="144" t="s">
        <v>18</v>
      </c>
      <c r="AC46" s="464">
        <v>45107</v>
      </c>
      <c r="AD46" s="464">
        <v>46933</v>
      </c>
      <c r="AE46" s="164" t="s">
        <v>218</v>
      </c>
      <c r="AF46" s="460">
        <v>8</v>
      </c>
      <c r="AG46" s="461">
        <v>45533</v>
      </c>
      <c r="AH46" s="164" t="s">
        <v>218</v>
      </c>
      <c r="AI46" s="171" t="s">
        <v>18</v>
      </c>
      <c r="AJ46" s="171" t="s">
        <v>18</v>
      </c>
      <c r="AK46" s="462"/>
      <c r="AL46" s="144" t="s">
        <v>17</v>
      </c>
      <c r="AM46" s="196" t="s">
        <v>891</v>
      </c>
      <c r="AN46" s="193"/>
      <c r="AO46" s="194">
        <f>SUMIF('TK 15661.Bản quyền phim '!F:F,'KK2. Series'!C46,'TK 15661.Bản quyền phim '!K:K)</f>
        <v>476000000</v>
      </c>
      <c r="AP46" s="194">
        <f>COUNTIF('242.BQ Phim VOD'!$C$5:$C$8,'KK2. Series'!AM46)</f>
        <v>0</v>
      </c>
      <c r="AQ46" s="194">
        <f>COUNTIF('TK 15666. Phim SX'!$C$6:$C$13,'KK2. Series'!AM46)</f>
        <v>0</v>
      </c>
      <c r="AR46" s="193">
        <f>COUNTIF('TK 15661.Bản quyền phim '!F:F,'KK2. Series'!AM46)</f>
        <v>1</v>
      </c>
      <c r="AS46" s="193"/>
      <c r="AT46" s="197">
        <f t="shared" si="2"/>
        <v>1</v>
      </c>
      <c r="AU46" s="193"/>
      <c r="AV46" s="193"/>
      <c r="AW46" s="193"/>
      <c r="AX46" s="193"/>
      <c r="AY46" s="193"/>
    </row>
    <row r="47" spans="1:51" ht="211.2" x14ac:dyDescent="0.25">
      <c r="A47" s="141">
        <v>41</v>
      </c>
      <c r="B47" s="142" t="s">
        <v>890</v>
      </c>
      <c r="C47" s="144" t="s">
        <v>885</v>
      </c>
      <c r="D47" s="144" t="s">
        <v>889</v>
      </c>
      <c r="E47" s="144" t="s">
        <v>486</v>
      </c>
      <c r="F47" s="144" t="s">
        <v>888</v>
      </c>
      <c r="G47" s="144" t="s">
        <v>484</v>
      </c>
      <c r="H47" s="459">
        <v>2019</v>
      </c>
      <c r="I47" s="459">
        <v>8</v>
      </c>
      <c r="J47" s="459">
        <v>50</v>
      </c>
      <c r="K47" s="459">
        <f t="shared" si="4"/>
        <v>6.666666666666667</v>
      </c>
      <c r="L47" s="459">
        <f>I47</f>
        <v>8</v>
      </c>
      <c r="M47" s="144" t="s">
        <v>887</v>
      </c>
      <c r="N47" s="144" t="s">
        <v>511</v>
      </c>
      <c r="O47" s="305">
        <v>44743</v>
      </c>
      <c r="P47" s="305">
        <v>46568</v>
      </c>
      <c r="Q47" s="305">
        <v>44830</v>
      </c>
      <c r="R47" s="305" t="s">
        <v>584</v>
      </c>
      <c r="S47" s="144" t="s">
        <v>886</v>
      </c>
      <c r="T47" s="144" t="s">
        <v>20</v>
      </c>
      <c r="U47" s="144" t="s">
        <v>18</v>
      </c>
      <c r="V47" s="144" t="s">
        <v>18</v>
      </c>
      <c r="W47" s="144" t="s">
        <v>18</v>
      </c>
      <c r="X47" s="144" t="s">
        <v>18</v>
      </c>
      <c r="Y47" s="144" t="s">
        <v>18</v>
      </c>
      <c r="Z47" s="144" t="s">
        <v>18</v>
      </c>
      <c r="AA47" s="144" t="s">
        <v>18</v>
      </c>
      <c r="AB47" s="144" t="s">
        <v>18</v>
      </c>
      <c r="AC47" s="305">
        <v>44743</v>
      </c>
      <c r="AD47" s="305">
        <v>46568</v>
      </c>
      <c r="AE47" s="144" t="s">
        <v>218</v>
      </c>
      <c r="AF47" s="460">
        <v>10</v>
      </c>
      <c r="AG47" s="461">
        <v>45545</v>
      </c>
      <c r="AH47" s="144" t="s">
        <v>218</v>
      </c>
      <c r="AI47" s="171" t="s">
        <v>18</v>
      </c>
      <c r="AJ47" s="171" t="s">
        <v>18</v>
      </c>
      <c r="AK47" s="462"/>
      <c r="AL47" s="144" t="s">
        <v>17</v>
      </c>
      <c r="AM47" s="196" t="s">
        <v>885</v>
      </c>
      <c r="AN47" s="193"/>
      <c r="AO47" s="194">
        <f>SUMIF('TK 15661.Bản quyền phim '!F:F,'KK2. Series'!C47,'TK 15661.Bản quyền phim '!K:K)</f>
        <v>211555555.55555555</v>
      </c>
      <c r="AP47" s="194">
        <f>COUNTIF('242.BQ Phim VOD'!$C$5:$C$8,'KK2. Series'!AM47)</f>
        <v>0</v>
      </c>
      <c r="AQ47" s="194">
        <f>COUNTIF('TK 15666. Phim SX'!$C$6:$C$13,'KK2. Series'!AM47)</f>
        <v>0</v>
      </c>
      <c r="AR47" s="193">
        <f>COUNTIF('TK 15661.Bản quyền phim '!F:F,'KK2. Series'!AM47)</f>
        <v>1</v>
      </c>
      <c r="AS47" s="193"/>
      <c r="AT47" s="197">
        <f t="shared" si="2"/>
        <v>1</v>
      </c>
      <c r="AU47" s="193"/>
      <c r="AV47" s="193"/>
      <c r="AW47" s="193"/>
      <c r="AX47" s="193"/>
      <c r="AY47" s="193"/>
    </row>
    <row r="48" spans="1:51" ht="409.6" x14ac:dyDescent="0.25">
      <c r="A48" s="141">
        <v>42</v>
      </c>
      <c r="B48" s="142" t="s">
        <v>884</v>
      </c>
      <c r="C48" s="164" t="s">
        <v>883</v>
      </c>
      <c r="D48" s="144" t="s">
        <v>882</v>
      </c>
      <c r="E48" s="164" t="s">
        <v>881</v>
      </c>
      <c r="F48" s="144" t="s">
        <v>880</v>
      </c>
      <c r="G48" s="164" t="s">
        <v>178</v>
      </c>
      <c r="H48" s="164">
        <v>2021</v>
      </c>
      <c r="I48" s="164">
        <v>31</v>
      </c>
      <c r="J48" s="164">
        <v>45</v>
      </c>
      <c r="K48" s="459">
        <f t="shared" si="4"/>
        <v>23.25</v>
      </c>
      <c r="L48" s="459">
        <f>I48</f>
        <v>31</v>
      </c>
      <c r="M48" s="164" t="s">
        <v>879</v>
      </c>
      <c r="N48" s="144" t="s">
        <v>708</v>
      </c>
      <c r="O48" s="464">
        <v>45322</v>
      </c>
      <c r="P48" s="464">
        <v>46417</v>
      </c>
      <c r="Q48" s="144">
        <v>45422</v>
      </c>
      <c r="R48" s="144" t="s">
        <v>553</v>
      </c>
      <c r="S48" s="164" t="s">
        <v>878</v>
      </c>
      <c r="T48" s="164" t="s">
        <v>20</v>
      </c>
      <c r="U48" s="144" t="s">
        <v>18</v>
      </c>
      <c r="V48" s="164" t="s">
        <v>18</v>
      </c>
      <c r="W48" s="164" t="s">
        <v>18</v>
      </c>
      <c r="X48" s="164" t="s">
        <v>18</v>
      </c>
      <c r="Y48" s="164" t="s">
        <v>18</v>
      </c>
      <c r="Z48" s="164" t="s">
        <v>18</v>
      </c>
      <c r="AA48" s="144" t="s">
        <v>20</v>
      </c>
      <c r="AB48" s="144" t="s">
        <v>20</v>
      </c>
      <c r="AC48" s="464">
        <v>45322</v>
      </c>
      <c r="AD48" s="464">
        <v>46417</v>
      </c>
      <c r="AE48" s="164" t="s">
        <v>130</v>
      </c>
      <c r="AF48" s="460">
        <v>10</v>
      </c>
      <c r="AG48" s="461">
        <v>45741</v>
      </c>
      <c r="AH48" s="465"/>
      <c r="AI48" s="171" t="s">
        <v>18</v>
      </c>
      <c r="AJ48" s="171" t="s">
        <v>18</v>
      </c>
      <c r="AK48" s="462"/>
      <c r="AL48" s="144" t="s">
        <v>17</v>
      </c>
      <c r="AM48" s="193" t="s">
        <v>877</v>
      </c>
      <c r="AN48" s="193"/>
      <c r="AO48" s="194">
        <f>SUMIF('TK 15661.Bản quyền phim '!F:F,'KK2. Series'!C48,'TK 15661.Bản quyền phim '!K:K)</f>
        <v>0</v>
      </c>
      <c r="AP48" s="194">
        <f>COUNTIF('242.BQ Phim VOD'!$C$5:$C$8,'KK2. Series'!AM48)</f>
        <v>0</v>
      </c>
      <c r="AQ48" s="194">
        <f>COUNTIF('TK 15666. Phim SX'!$C$6:$C$13,'KK2. Series'!AM48)</f>
        <v>0</v>
      </c>
      <c r="AR48" s="193">
        <f>COUNTIF('TK 15661.Bản quyền phim '!F:F,'KK2. Series'!AM48)</f>
        <v>1</v>
      </c>
      <c r="AS48" s="193"/>
      <c r="AT48" s="197">
        <f t="shared" si="2"/>
        <v>1</v>
      </c>
      <c r="AU48" s="193"/>
      <c r="AV48" s="193"/>
      <c r="AW48" s="193"/>
      <c r="AX48" s="193"/>
      <c r="AY48" s="193"/>
    </row>
    <row r="49" spans="1:51" ht="316.8" x14ac:dyDescent="0.25">
      <c r="A49" s="141">
        <v>43</v>
      </c>
      <c r="B49" s="142" t="s">
        <v>876</v>
      </c>
      <c r="C49" s="164" t="s">
        <v>874</v>
      </c>
      <c r="D49" s="144" t="s">
        <v>875</v>
      </c>
      <c r="E49" s="164" t="s">
        <v>693</v>
      </c>
      <c r="F49" s="144" t="s">
        <v>692</v>
      </c>
      <c r="G49" s="164" t="s">
        <v>133</v>
      </c>
      <c r="H49" s="164">
        <v>2021</v>
      </c>
      <c r="I49" s="164">
        <v>16</v>
      </c>
      <c r="J49" s="164">
        <v>60</v>
      </c>
      <c r="K49" s="459">
        <f t="shared" si="4"/>
        <v>16</v>
      </c>
      <c r="L49" s="459">
        <v>24</v>
      </c>
      <c r="M49" s="164" t="s">
        <v>394</v>
      </c>
      <c r="N49" s="164" t="s">
        <v>394</v>
      </c>
      <c r="O49" s="464">
        <v>45412</v>
      </c>
      <c r="P49" s="464">
        <v>46506</v>
      </c>
      <c r="Q49" s="144">
        <v>45545</v>
      </c>
      <c r="R49" s="144" t="s">
        <v>553</v>
      </c>
      <c r="S49" s="164" t="s">
        <v>211</v>
      </c>
      <c r="T49" s="164" t="s">
        <v>20</v>
      </c>
      <c r="U49" s="144" t="s">
        <v>18</v>
      </c>
      <c r="V49" s="164" t="s">
        <v>18</v>
      </c>
      <c r="W49" s="164" t="s">
        <v>18</v>
      </c>
      <c r="X49" s="164" t="s">
        <v>18</v>
      </c>
      <c r="Y49" s="164" t="s">
        <v>18</v>
      </c>
      <c r="Z49" s="164" t="s">
        <v>18</v>
      </c>
      <c r="AA49" s="164" t="s">
        <v>18</v>
      </c>
      <c r="AB49" s="164" t="s">
        <v>20</v>
      </c>
      <c r="AC49" s="464">
        <v>45412</v>
      </c>
      <c r="AD49" s="464">
        <v>46506</v>
      </c>
      <c r="AE49" s="164" t="s">
        <v>130</v>
      </c>
      <c r="AF49" s="460">
        <v>4</v>
      </c>
      <c r="AG49" s="461">
        <v>45551</v>
      </c>
      <c r="AH49" s="465"/>
      <c r="AI49" s="171" t="s">
        <v>18</v>
      </c>
      <c r="AJ49" s="171" t="s">
        <v>18</v>
      </c>
      <c r="AK49" s="462"/>
      <c r="AL49" s="144" t="s">
        <v>17</v>
      </c>
      <c r="AM49" s="196" t="s">
        <v>874</v>
      </c>
      <c r="AN49" s="193"/>
      <c r="AO49" s="194">
        <f>SUMIF('TK 15661.Bản quyền phim '!F:F,'KK2. Series'!C49,'TK 15661.Bản quyền phim '!K:K)</f>
        <v>628736000</v>
      </c>
      <c r="AP49" s="194">
        <f>COUNTIF('242.BQ Phim VOD'!$C$5:$C$8,'KK2. Series'!AM49)</f>
        <v>0</v>
      </c>
      <c r="AQ49" s="194">
        <f>COUNTIF('TK 15666. Phim SX'!$C$6:$C$13,'KK2. Series'!AM49)</f>
        <v>0</v>
      </c>
      <c r="AR49" s="193">
        <f>COUNTIF('TK 15661.Bản quyền phim '!F:F,'KK2. Series'!AM49)</f>
        <v>1</v>
      </c>
      <c r="AS49" s="193"/>
      <c r="AT49" s="197">
        <f t="shared" si="2"/>
        <v>1</v>
      </c>
      <c r="AU49" s="193"/>
      <c r="AV49" s="193"/>
      <c r="AW49" s="193"/>
      <c r="AX49" s="193"/>
      <c r="AY49" s="193"/>
    </row>
    <row r="50" spans="1:51" ht="409.6" x14ac:dyDescent="0.25">
      <c r="A50" s="141">
        <v>44</v>
      </c>
      <c r="B50" s="142" t="s">
        <v>873</v>
      </c>
      <c r="C50" s="164" t="s">
        <v>872</v>
      </c>
      <c r="D50" s="144" t="s">
        <v>871</v>
      </c>
      <c r="E50" s="164" t="s">
        <v>870</v>
      </c>
      <c r="F50" s="144" t="s">
        <v>869</v>
      </c>
      <c r="G50" s="164" t="s">
        <v>133</v>
      </c>
      <c r="H50" s="164">
        <v>2023</v>
      </c>
      <c r="I50" s="164">
        <v>16</v>
      </c>
      <c r="J50" s="164">
        <v>70</v>
      </c>
      <c r="K50" s="463">
        <f t="shared" si="4"/>
        <v>18.666666666666668</v>
      </c>
      <c r="L50" s="459">
        <v>24</v>
      </c>
      <c r="M50" s="164" t="s">
        <v>868</v>
      </c>
      <c r="N50" s="144" t="s">
        <v>436</v>
      </c>
      <c r="O50" s="464">
        <v>45229</v>
      </c>
      <c r="P50" s="464">
        <v>46689</v>
      </c>
      <c r="Q50" s="144">
        <v>45229</v>
      </c>
      <c r="R50" s="144" t="s">
        <v>584</v>
      </c>
      <c r="S50" s="164" t="s">
        <v>867</v>
      </c>
      <c r="T50" s="164" t="s">
        <v>18</v>
      </c>
      <c r="U50" s="144" t="s">
        <v>18</v>
      </c>
      <c r="V50" s="164" t="s">
        <v>18</v>
      </c>
      <c r="W50" s="164" t="s">
        <v>18</v>
      </c>
      <c r="X50" s="164" t="s">
        <v>18</v>
      </c>
      <c r="Y50" s="164" t="s">
        <v>18</v>
      </c>
      <c r="Z50" s="164" t="s">
        <v>18</v>
      </c>
      <c r="AA50" s="164" t="s">
        <v>18</v>
      </c>
      <c r="AB50" s="164" t="s">
        <v>18</v>
      </c>
      <c r="AC50" s="464">
        <v>45229</v>
      </c>
      <c r="AD50" s="464">
        <v>46689</v>
      </c>
      <c r="AE50" s="164" t="s">
        <v>866</v>
      </c>
      <c r="AF50" s="460"/>
      <c r="AG50" s="461"/>
      <c r="AH50" s="465"/>
      <c r="AI50" s="171" t="s">
        <v>18</v>
      </c>
      <c r="AJ50" s="171" t="s">
        <v>18</v>
      </c>
      <c r="AK50" s="462" t="s">
        <v>402</v>
      </c>
      <c r="AL50" s="144" t="s">
        <v>17</v>
      </c>
      <c r="AM50" s="193" t="s">
        <v>865</v>
      </c>
      <c r="AN50" s="193"/>
      <c r="AO50" s="194">
        <f>SUMIF('TK 15661.Bản quyền phim '!F:F,'KK2. Series'!C50,'TK 15661.Bản quyền phim '!K:K)</f>
        <v>0</v>
      </c>
      <c r="AP50" s="194">
        <f>COUNTIF('242.BQ Phim VOD'!$C$5:$C$8,'KK2. Series'!AM50)</f>
        <v>0</v>
      </c>
      <c r="AQ50" s="194">
        <f>COUNTIF('TK 15666. Phim SX'!$C$6:$C$13,'KK2. Series'!AM50)</f>
        <v>0</v>
      </c>
      <c r="AR50" s="193">
        <f>COUNTIF('TK 15661.Bản quyền phim '!F:F,'KK2. Series'!AM50)</f>
        <v>1</v>
      </c>
      <c r="AS50" s="193"/>
      <c r="AT50" s="197">
        <f t="shared" si="2"/>
        <v>1</v>
      </c>
      <c r="AU50" s="193"/>
      <c r="AV50" s="193"/>
      <c r="AW50" s="193"/>
      <c r="AX50" s="193"/>
      <c r="AY50" s="193"/>
    </row>
    <row r="51" spans="1:51" ht="409.6" x14ac:dyDescent="0.25">
      <c r="A51" s="141">
        <v>45</v>
      </c>
      <c r="B51" s="142" t="s">
        <v>864</v>
      </c>
      <c r="C51" s="164" t="s">
        <v>863</v>
      </c>
      <c r="D51" s="144" t="s">
        <v>862</v>
      </c>
      <c r="E51" s="164" t="s">
        <v>405</v>
      </c>
      <c r="F51" s="144" t="s">
        <v>586</v>
      </c>
      <c r="G51" s="164" t="s">
        <v>133</v>
      </c>
      <c r="H51" s="431">
        <v>2021</v>
      </c>
      <c r="I51" s="164">
        <v>16</v>
      </c>
      <c r="J51" s="164">
        <v>70</v>
      </c>
      <c r="K51" s="463">
        <f t="shared" si="4"/>
        <v>18.666666666666668</v>
      </c>
      <c r="L51" s="459">
        <v>16</v>
      </c>
      <c r="M51" s="164" t="s">
        <v>403</v>
      </c>
      <c r="N51" s="164" t="s">
        <v>403</v>
      </c>
      <c r="O51" s="144"/>
      <c r="P51" s="144" t="s">
        <v>349</v>
      </c>
      <c r="Q51" s="144">
        <v>45474</v>
      </c>
      <c r="R51" s="144"/>
      <c r="S51" s="144"/>
      <c r="T51" s="164" t="s">
        <v>20</v>
      </c>
      <c r="U51" s="144" t="s">
        <v>18</v>
      </c>
      <c r="V51" s="144" t="s">
        <v>20</v>
      </c>
      <c r="W51" s="432" t="s">
        <v>18</v>
      </c>
      <c r="X51" s="432" t="s">
        <v>18</v>
      </c>
      <c r="Y51" s="432" t="s">
        <v>18</v>
      </c>
      <c r="Z51" s="432" t="s">
        <v>18</v>
      </c>
      <c r="AA51" s="432" t="s">
        <v>18</v>
      </c>
      <c r="AB51" s="432" t="s">
        <v>18</v>
      </c>
      <c r="AC51" s="464">
        <v>45474</v>
      </c>
      <c r="AD51" s="468">
        <v>46934</v>
      </c>
      <c r="AE51" s="144"/>
      <c r="AF51" s="460"/>
      <c r="AG51" s="461"/>
      <c r="AH51" s="465"/>
      <c r="AI51" s="171" t="s">
        <v>18</v>
      </c>
      <c r="AJ51" s="171" t="s">
        <v>18</v>
      </c>
      <c r="AK51" s="462"/>
      <c r="AL51" s="144" t="s">
        <v>17</v>
      </c>
      <c r="AM51" s="90" t="s">
        <v>3193</v>
      </c>
      <c r="AN51" s="193"/>
      <c r="AO51" s="194">
        <f>SUMIF('TK 15661.Bản quyền phim '!F:F,'KK2. Series'!C51,'TK 15661.Bản quyền phim '!K:K)</f>
        <v>0</v>
      </c>
      <c r="AP51" s="194">
        <f>COUNTIF('242.BQ Phim VOD'!$C$5:$C$8,'KK2. Series'!AM51)</f>
        <v>1</v>
      </c>
      <c r="AQ51" s="194">
        <f>COUNTIF('TK 15666. Phim SX'!$C$6:$C$13,'KK2. Series'!AM51)</f>
        <v>0</v>
      </c>
      <c r="AR51" s="193">
        <f>COUNTIF('TK 15661.Bản quyền phim '!F:F,'KK2. Series'!AM51)</f>
        <v>0</v>
      </c>
      <c r="AS51" s="193"/>
      <c r="AT51" s="197">
        <f t="shared" si="2"/>
        <v>1</v>
      </c>
      <c r="AU51" s="193"/>
      <c r="AV51" s="193"/>
      <c r="AW51" s="193"/>
      <c r="AX51" s="193"/>
      <c r="AY51" s="193"/>
    </row>
    <row r="52" spans="1:51" ht="409.6" x14ac:dyDescent="0.25">
      <c r="A52" s="141">
        <v>46</v>
      </c>
      <c r="B52" s="142" t="s">
        <v>861</v>
      </c>
      <c r="C52" s="164" t="s">
        <v>860</v>
      </c>
      <c r="D52" s="144" t="s">
        <v>859</v>
      </c>
      <c r="E52" s="164" t="s">
        <v>405</v>
      </c>
      <c r="F52" s="144" t="s">
        <v>586</v>
      </c>
      <c r="G52" s="164" t="s">
        <v>133</v>
      </c>
      <c r="H52" s="431">
        <v>2022</v>
      </c>
      <c r="I52" s="164">
        <v>16</v>
      </c>
      <c r="J52" s="164">
        <v>70</v>
      </c>
      <c r="K52" s="463">
        <f t="shared" si="4"/>
        <v>18.666666666666668</v>
      </c>
      <c r="L52" s="459">
        <v>16</v>
      </c>
      <c r="M52" s="164" t="s">
        <v>858</v>
      </c>
      <c r="N52" s="164" t="s">
        <v>858</v>
      </c>
      <c r="O52" s="144"/>
      <c r="P52" s="144" t="s">
        <v>349</v>
      </c>
      <c r="Q52" s="144">
        <v>45474</v>
      </c>
      <c r="R52" s="144"/>
      <c r="S52" s="144"/>
      <c r="T52" s="164" t="s">
        <v>20</v>
      </c>
      <c r="U52" s="144" t="s">
        <v>18</v>
      </c>
      <c r="V52" s="144" t="s">
        <v>20</v>
      </c>
      <c r="W52" s="432" t="s">
        <v>18</v>
      </c>
      <c r="X52" s="432" t="s">
        <v>18</v>
      </c>
      <c r="Y52" s="432" t="s">
        <v>18</v>
      </c>
      <c r="Z52" s="432" t="s">
        <v>18</v>
      </c>
      <c r="AA52" s="432" t="s">
        <v>18</v>
      </c>
      <c r="AB52" s="432" t="s">
        <v>18</v>
      </c>
      <c r="AC52" s="464">
        <v>45474</v>
      </c>
      <c r="AD52" s="464">
        <v>46934</v>
      </c>
      <c r="AE52" s="144"/>
      <c r="AF52" s="460"/>
      <c r="AG52" s="461"/>
      <c r="AH52" s="465"/>
      <c r="AI52" s="171" t="s">
        <v>18</v>
      </c>
      <c r="AJ52" s="171" t="s">
        <v>18</v>
      </c>
      <c r="AK52" s="462"/>
      <c r="AL52" s="144" t="s">
        <v>17</v>
      </c>
      <c r="AM52" s="90" t="s">
        <v>3193</v>
      </c>
      <c r="AN52" s="193"/>
      <c r="AO52" s="194">
        <f>SUMIF('TK 15661.Bản quyền phim '!F:F,'KK2. Series'!C52,'TK 15661.Bản quyền phim '!K:K)</f>
        <v>0</v>
      </c>
      <c r="AP52" s="194">
        <f>COUNTIF('242.BQ Phim VOD'!$C$5:$C$8,'KK2. Series'!AM52)</f>
        <v>1</v>
      </c>
      <c r="AQ52" s="194">
        <f>COUNTIF('TK 15666. Phim SX'!$C$6:$C$13,'KK2. Series'!AM52)</f>
        <v>0</v>
      </c>
      <c r="AR52" s="193">
        <f>COUNTIF('TK 15661.Bản quyền phim '!F:F,'KK2. Series'!AM52)</f>
        <v>0</v>
      </c>
      <c r="AS52" s="193"/>
      <c r="AT52" s="197">
        <f t="shared" si="2"/>
        <v>1</v>
      </c>
      <c r="AU52" s="193"/>
      <c r="AV52" s="193"/>
      <c r="AW52" s="193"/>
      <c r="AX52" s="193"/>
      <c r="AY52" s="193"/>
    </row>
    <row r="53" spans="1:51" ht="409.6" x14ac:dyDescent="0.25">
      <c r="A53" s="141">
        <v>47</v>
      </c>
      <c r="B53" s="142" t="s">
        <v>857</v>
      </c>
      <c r="C53" s="164" t="s">
        <v>856</v>
      </c>
      <c r="D53" s="144" t="s">
        <v>855</v>
      </c>
      <c r="E53" s="164" t="s">
        <v>405</v>
      </c>
      <c r="F53" s="144" t="s">
        <v>586</v>
      </c>
      <c r="G53" s="164" t="s">
        <v>133</v>
      </c>
      <c r="H53" s="431">
        <v>2022</v>
      </c>
      <c r="I53" s="164">
        <v>16</v>
      </c>
      <c r="J53" s="164">
        <v>70</v>
      </c>
      <c r="K53" s="463">
        <f t="shared" si="4"/>
        <v>18.666666666666668</v>
      </c>
      <c r="L53" s="459">
        <v>16</v>
      </c>
      <c r="M53" s="164" t="s">
        <v>854</v>
      </c>
      <c r="N53" s="164" t="s">
        <v>854</v>
      </c>
      <c r="O53" s="144"/>
      <c r="P53" s="144" t="s">
        <v>349</v>
      </c>
      <c r="Q53" s="144">
        <v>45474</v>
      </c>
      <c r="R53" s="144"/>
      <c r="S53" s="144"/>
      <c r="T53" s="164" t="s">
        <v>20</v>
      </c>
      <c r="U53" s="144" t="s">
        <v>18</v>
      </c>
      <c r="V53" s="144" t="s">
        <v>20</v>
      </c>
      <c r="W53" s="432" t="s">
        <v>18</v>
      </c>
      <c r="X53" s="432" t="s">
        <v>18</v>
      </c>
      <c r="Y53" s="432" t="s">
        <v>18</v>
      </c>
      <c r="Z53" s="432" t="s">
        <v>18</v>
      </c>
      <c r="AA53" s="432" t="s">
        <v>18</v>
      </c>
      <c r="AB53" s="432" t="s">
        <v>18</v>
      </c>
      <c r="AC53" s="464">
        <v>45474</v>
      </c>
      <c r="AD53" s="464">
        <v>46934</v>
      </c>
      <c r="AE53" s="144"/>
      <c r="AF53" s="460"/>
      <c r="AG53" s="461"/>
      <c r="AH53" s="465"/>
      <c r="AI53" s="171" t="s">
        <v>18</v>
      </c>
      <c r="AJ53" s="171" t="s">
        <v>18</v>
      </c>
      <c r="AK53" s="462"/>
      <c r="AL53" s="144" t="s">
        <v>17</v>
      </c>
      <c r="AM53" s="90" t="s">
        <v>3193</v>
      </c>
      <c r="AN53" s="193"/>
      <c r="AO53" s="194">
        <f>SUMIF('TK 15661.Bản quyền phim '!F:F,'KK2. Series'!C53,'TK 15661.Bản quyền phim '!K:K)</f>
        <v>0</v>
      </c>
      <c r="AP53" s="194">
        <f>COUNTIF('242.BQ Phim VOD'!$C$5:$C$8,'KK2. Series'!AM53)</f>
        <v>1</v>
      </c>
      <c r="AQ53" s="194">
        <f>COUNTIF('TK 15666. Phim SX'!$C$6:$C$13,'KK2. Series'!AM53)</f>
        <v>0</v>
      </c>
      <c r="AR53" s="193">
        <f>COUNTIF('TK 15661.Bản quyền phim '!F:F,'KK2. Series'!AM53)</f>
        <v>0</v>
      </c>
      <c r="AS53" s="193"/>
      <c r="AT53" s="197">
        <f t="shared" si="2"/>
        <v>1</v>
      </c>
      <c r="AU53" s="193"/>
      <c r="AV53" s="193"/>
      <c r="AW53" s="193"/>
      <c r="AX53" s="193"/>
      <c r="AY53" s="193"/>
    </row>
    <row r="54" spans="1:51" ht="409.6" x14ac:dyDescent="0.25">
      <c r="A54" s="141">
        <v>48</v>
      </c>
      <c r="B54" s="142" t="s">
        <v>853</v>
      </c>
      <c r="C54" s="164" t="s">
        <v>852</v>
      </c>
      <c r="D54" s="144" t="s">
        <v>851</v>
      </c>
      <c r="E54" s="164" t="s">
        <v>405</v>
      </c>
      <c r="F54" s="144" t="s">
        <v>586</v>
      </c>
      <c r="G54" s="164" t="s">
        <v>133</v>
      </c>
      <c r="H54" s="431">
        <v>2022</v>
      </c>
      <c r="I54" s="164">
        <v>16</v>
      </c>
      <c r="J54" s="164">
        <v>70</v>
      </c>
      <c r="K54" s="463">
        <f t="shared" si="4"/>
        <v>18.666666666666668</v>
      </c>
      <c r="L54" s="459">
        <v>14</v>
      </c>
      <c r="M54" s="164" t="s">
        <v>850</v>
      </c>
      <c r="N54" s="164" t="s">
        <v>850</v>
      </c>
      <c r="O54" s="144"/>
      <c r="P54" s="144" t="s">
        <v>349</v>
      </c>
      <c r="Q54" s="144">
        <v>45474</v>
      </c>
      <c r="R54" s="144"/>
      <c r="S54" s="144"/>
      <c r="T54" s="164" t="s">
        <v>20</v>
      </c>
      <c r="U54" s="144" t="s">
        <v>18</v>
      </c>
      <c r="V54" s="144" t="s">
        <v>20</v>
      </c>
      <c r="W54" s="432" t="s">
        <v>18</v>
      </c>
      <c r="X54" s="432" t="s">
        <v>18</v>
      </c>
      <c r="Y54" s="432" t="s">
        <v>18</v>
      </c>
      <c r="Z54" s="432" t="s">
        <v>18</v>
      </c>
      <c r="AA54" s="432" t="s">
        <v>18</v>
      </c>
      <c r="AB54" s="432" t="s">
        <v>18</v>
      </c>
      <c r="AC54" s="464">
        <v>45474</v>
      </c>
      <c r="AD54" s="464">
        <v>46934</v>
      </c>
      <c r="AE54" s="144"/>
      <c r="AF54" s="460"/>
      <c r="AG54" s="461"/>
      <c r="AH54" s="465"/>
      <c r="AI54" s="171" t="s">
        <v>18</v>
      </c>
      <c r="AJ54" s="171" t="s">
        <v>18</v>
      </c>
      <c r="AK54" s="462"/>
      <c r="AL54" s="144" t="s">
        <v>17</v>
      </c>
      <c r="AM54" s="90" t="s">
        <v>3193</v>
      </c>
      <c r="AN54" s="193"/>
      <c r="AO54" s="194">
        <f>SUMIF('TK 15661.Bản quyền phim '!F:F,'KK2. Series'!C54,'TK 15661.Bản quyền phim '!K:K)</f>
        <v>0</v>
      </c>
      <c r="AP54" s="194">
        <f>COUNTIF('242.BQ Phim VOD'!$C$5:$C$8,'KK2. Series'!AM54)</f>
        <v>1</v>
      </c>
      <c r="AQ54" s="194">
        <f>COUNTIF('TK 15666. Phim SX'!$C$6:$C$13,'KK2. Series'!AM54)</f>
        <v>0</v>
      </c>
      <c r="AR54" s="193">
        <f>COUNTIF('TK 15661.Bản quyền phim '!F:F,'KK2. Series'!AM54)</f>
        <v>0</v>
      </c>
      <c r="AS54" s="193"/>
      <c r="AT54" s="197">
        <f t="shared" si="2"/>
        <v>1</v>
      </c>
      <c r="AU54" s="193"/>
      <c r="AV54" s="193"/>
      <c r="AW54" s="193"/>
      <c r="AX54" s="193"/>
      <c r="AY54" s="193"/>
    </row>
    <row r="55" spans="1:51" ht="369.6" x14ac:dyDescent="0.25">
      <c r="A55" s="141">
        <v>49</v>
      </c>
      <c r="B55" s="142" t="s">
        <v>849</v>
      </c>
      <c r="C55" s="164" t="s">
        <v>848</v>
      </c>
      <c r="D55" s="144" t="s">
        <v>847</v>
      </c>
      <c r="E55" s="164" t="s">
        <v>405</v>
      </c>
      <c r="F55" s="144" t="s">
        <v>586</v>
      </c>
      <c r="G55" s="164" t="s">
        <v>133</v>
      </c>
      <c r="H55" s="431">
        <v>2022</v>
      </c>
      <c r="I55" s="164">
        <v>14</v>
      </c>
      <c r="J55" s="164">
        <v>70</v>
      </c>
      <c r="K55" s="463">
        <f t="shared" si="4"/>
        <v>16.333333333333332</v>
      </c>
      <c r="L55" s="459">
        <v>14</v>
      </c>
      <c r="M55" s="164" t="s">
        <v>846</v>
      </c>
      <c r="N55" s="164" t="s">
        <v>846</v>
      </c>
      <c r="O55" s="144"/>
      <c r="P55" s="144" t="s">
        <v>349</v>
      </c>
      <c r="Q55" s="144">
        <v>45444</v>
      </c>
      <c r="R55" s="144"/>
      <c r="S55" s="144"/>
      <c r="T55" s="164" t="s">
        <v>20</v>
      </c>
      <c r="U55" s="144" t="s">
        <v>18</v>
      </c>
      <c r="V55" s="144" t="s">
        <v>20</v>
      </c>
      <c r="W55" s="432" t="s">
        <v>18</v>
      </c>
      <c r="X55" s="432" t="s">
        <v>18</v>
      </c>
      <c r="Y55" s="432" t="s">
        <v>18</v>
      </c>
      <c r="Z55" s="432" t="s">
        <v>18</v>
      </c>
      <c r="AA55" s="432" t="s">
        <v>18</v>
      </c>
      <c r="AB55" s="432" t="s">
        <v>18</v>
      </c>
      <c r="AC55" s="464">
        <v>45444</v>
      </c>
      <c r="AD55" s="464">
        <v>46507</v>
      </c>
      <c r="AE55" s="144"/>
      <c r="AF55" s="460"/>
      <c r="AG55" s="461"/>
      <c r="AH55" s="465"/>
      <c r="AI55" s="171" t="s">
        <v>18</v>
      </c>
      <c r="AJ55" s="171" t="s">
        <v>18</v>
      </c>
      <c r="AK55" s="462"/>
      <c r="AL55" s="144" t="s">
        <v>17</v>
      </c>
      <c r="AM55" s="90" t="s">
        <v>3193</v>
      </c>
      <c r="AN55" s="193"/>
      <c r="AO55" s="194">
        <f>SUMIF('TK 15661.Bản quyền phim '!F:F,'KK2. Series'!C55,'TK 15661.Bản quyền phim '!K:K)</f>
        <v>0</v>
      </c>
      <c r="AP55" s="194">
        <f>COUNTIF('242.BQ Phim VOD'!$C$5:$C$8,'KK2. Series'!AM55)</f>
        <v>1</v>
      </c>
      <c r="AQ55" s="194">
        <f>COUNTIF('TK 15666. Phim SX'!$C$6:$C$13,'KK2. Series'!AM55)</f>
        <v>0</v>
      </c>
      <c r="AR55" s="193">
        <f>COUNTIF('TK 15661.Bản quyền phim '!F:F,'KK2. Series'!AM55)</f>
        <v>0</v>
      </c>
      <c r="AS55" s="193"/>
      <c r="AT55" s="197">
        <f t="shared" si="2"/>
        <v>1</v>
      </c>
      <c r="AU55" s="193"/>
      <c r="AV55" s="193"/>
      <c r="AW55" s="193"/>
      <c r="AX55" s="193"/>
      <c r="AY55" s="193"/>
    </row>
    <row r="56" spans="1:51" ht="369.6" x14ac:dyDescent="0.25">
      <c r="A56" s="141">
        <v>50</v>
      </c>
      <c r="B56" s="142" t="s">
        <v>845</v>
      </c>
      <c r="C56" s="164" t="s">
        <v>844</v>
      </c>
      <c r="D56" s="144" t="s">
        <v>843</v>
      </c>
      <c r="E56" s="164" t="s">
        <v>405</v>
      </c>
      <c r="F56" s="144" t="s">
        <v>586</v>
      </c>
      <c r="G56" s="164" t="s">
        <v>133</v>
      </c>
      <c r="H56" s="431">
        <v>2022</v>
      </c>
      <c r="I56" s="164">
        <v>14</v>
      </c>
      <c r="J56" s="164">
        <v>40</v>
      </c>
      <c r="K56" s="463">
        <f t="shared" si="4"/>
        <v>9.3333333333333339</v>
      </c>
      <c r="L56" s="459">
        <v>14</v>
      </c>
      <c r="M56" s="164" t="s">
        <v>436</v>
      </c>
      <c r="N56" s="164" t="s">
        <v>436</v>
      </c>
      <c r="O56" s="144"/>
      <c r="P56" s="144" t="s">
        <v>349</v>
      </c>
      <c r="Q56" s="144">
        <v>45474</v>
      </c>
      <c r="R56" s="144"/>
      <c r="S56" s="144"/>
      <c r="T56" s="164" t="s">
        <v>20</v>
      </c>
      <c r="U56" s="144" t="s">
        <v>18</v>
      </c>
      <c r="V56" s="144" t="s">
        <v>20</v>
      </c>
      <c r="W56" s="432" t="s">
        <v>18</v>
      </c>
      <c r="X56" s="432" t="s">
        <v>18</v>
      </c>
      <c r="Y56" s="432" t="s">
        <v>18</v>
      </c>
      <c r="Z56" s="432" t="s">
        <v>18</v>
      </c>
      <c r="AA56" s="432" t="s">
        <v>18</v>
      </c>
      <c r="AB56" s="432" t="s">
        <v>18</v>
      </c>
      <c r="AC56" s="464">
        <v>45474</v>
      </c>
      <c r="AD56" s="464">
        <v>46996</v>
      </c>
      <c r="AE56" s="144"/>
      <c r="AF56" s="460"/>
      <c r="AG56" s="461"/>
      <c r="AH56" s="465"/>
      <c r="AI56" s="171" t="s">
        <v>18</v>
      </c>
      <c r="AJ56" s="171" t="s">
        <v>18</v>
      </c>
      <c r="AK56" s="462"/>
      <c r="AL56" s="144" t="s">
        <v>17</v>
      </c>
      <c r="AM56" s="90" t="s">
        <v>3193</v>
      </c>
      <c r="AN56" s="193"/>
      <c r="AO56" s="194">
        <f>SUMIF('TK 15661.Bản quyền phim '!F:F,'KK2. Series'!C56,'TK 15661.Bản quyền phim '!K:K)</f>
        <v>0</v>
      </c>
      <c r="AP56" s="194">
        <f>COUNTIF('242.BQ Phim VOD'!$C$5:$C$8,'KK2. Series'!AM56)</f>
        <v>1</v>
      </c>
      <c r="AQ56" s="194">
        <f>COUNTIF('TK 15666. Phim SX'!$C$6:$C$13,'KK2. Series'!AM56)</f>
        <v>0</v>
      </c>
      <c r="AR56" s="193">
        <f>COUNTIF('TK 15661.Bản quyền phim '!F:F,'KK2. Series'!AM56)</f>
        <v>0</v>
      </c>
      <c r="AS56" s="193"/>
      <c r="AT56" s="197">
        <f t="shared" si="2"/>
        <v>1</v>
      </c>
      <c r="AU56" s="193"/>
      <c r="AV56" s="193"/>
      <c r="AW56" s="193"/>
      <c r="AX56" s="193"/>
      <c r="AY56" s="193"/>
    </row>
    <row r="57" spans="1:51" ht="409.6" x14ac:dyDescent="0.25">
      <c r="A57" s="141">
        <v>51</v>
      </c>
      <c r="B57" s="142" t="s">
        <v>842</v>
      </c>
      <c r="C57" s="164" t="s">
        <v>841</v>
      </c>
      <c r="D57" s="144" t="s">
        <v>840</v>
      </c>
      <c r="E57" s="164" t="s">
        <v>405</v>
      </c>
      <c r="F57" s="144" t="s">
        <v>586</v>
      </c>
      <c r="G57" s="164" t="s">
        <v>133</v>
      </c>
      <c r="H57" s="431">
        <v>2022</v>
      </c>
      <c r="I57" s="164">
        <v>16</v>
      </c>
      <c r="J57" s="164">
        <v>70</v>
      </c>
      <c r="K57" s="463">
        <f t="shared" si="4"/>
        <v>18.666666666666668</v>
      </c>
      <c r="L57" s="459">
        <v>16</v>
      </c>
      <c r="M57" s="164" t="s">
        <v>839</v>
      </c>
      <c r="N57" s="164" t="s">
        <v>839</v>
      </c>
      <c r="O57" s="144"/>
      <c r="P57" s="144" t="s">
        <v>349</v>
      </c>
      <c r="Q57" s="144">
        <v>45474</v>
      </c>
      <c r="R57" s="144"/>
      <c r="S57" s="144"/>
      <c r="T57" s="164" t="s">
        <v>20</v>
      </c>
      <c r="U57" s="144" t="s">
        <v>18</v>
      </c>
      <c r="V57" s="144" t="s">
        <v>20</v>
      </c>
      <c r="W57" s="432" t="s">
        <v>18</v>
      </c>
      <c r="X57" s="432" t="s">
        <v>18</v>
      </c>
      <c r="Y57" s="432" t="s">
        <v>18</v>
      </c>
      <c r="Z57" s="432" t="s">
        <v>18</v>
      </c>
      <c r="AA57" s="432" t="s">
        <v>18</v>
      </c>
      <c r="AB57" s="432" t="s">
        <v>18</v>
      </c>
      <c r="AC57" s="464">
        <v>45474</v>
      </c>
      <c r="AD57" s="464">
        <v>47299</v>
      </c>
      <c r="AE57" s="144"/>
      <c r="AF57" s="460"/>
      <c r="AG57" s="461"/>
      <c r="AH57" s="465"/>
      <c r="AI57" s="171" t="s">
        <v>18</v>
      </c>
      <c r="AJ57" s="171" t="s">
        <v>18</v>
      </c>
      <c r="AK57" s="462"/>
      <c r="AL57" s="144" t="s">
        <v>17</v>
      </c>
      <c r="AM57" s="90" t="s">
        <v>3193</v>
      </c>
      <c r="AN57" s="193"/>
      <c r="AO57" s="194">
        <f>SUMIF('TK 15661.Bản quyền phim '!F:F,'KK2. Series'!C57,'TK 15661.Bản quyền phim '!K:K)</f>
        <v>0</v>
      </c>
      <c r="AP57" s="194">
        <f>COUNTIF('242.BQ Phim VOD'!$C$5:$C$8,'KK2. Series'!AM57)</f>
        <v>1</v>
      </c>
      <c r="AQ57" s="194">
        <f>COUNTIF('TK 15666. Phim SX'!$C$6:$C$13,'KK2. Series'!AM57)</f>
        <v>0</v>
      </c>
      <c r="AR57" s="193">
        <f>COUNTIF('TK 15661.Bản quyền phim '!F:F,'KK2. Series'!AM57)</f>
        <v>0</v>
      </c>
      <c r="AS57" s="193"/>
      <c r="AT57" s="197">
        <f t="shared" si="2"/>
        <v>1</v>
      </c>
      <c r="AU57" s="193"/>
      <c r="AV57" s="193"/>
      <c r="AW57" s="193"/>
      <c r="AX57" s="193"/>
      <c r="AY57" s="193"/>
    </row>
    <row r="58" spans="1:51" ht="409.6" x14ac:dyDescent="0.25">
      <c r="A58" s="141">
        <v>52</v>
      </c>
      <c r="B58" s="142" t="s">
        <v>838</v>
      </c>
      <c r="C58" s="164" t="s">
        <v>837</v>
      </c>
      <c r="D58" s="144" t="s">
        <v>836</v>
      </c>
      <c r="E58" s="164" t="s">
        <v>405</v>
      </c>
      <c r="F58" s="144" t="s">
        <v>586</v>
      </c>
      <c r="G58" s="164" t="s">
        <v>133</v>
      </c>
      <c r="H58" s="431">
        <v>2022</v>
      </c>
      <c r="I58" s="164">
        <v>16</v>
      </c>
      <c r="J58" s="164">
        <v>70</v>
      </c>
      <c r="K58" s="463">
        <f t="shared" si="4"/>
        <v>18.666666666666668</v>
      </c>
      <c r="L58" s="459">
        <v>16</v>
      </c>
      <c r="M58" s="164" t="s">
        <v>835</v>
      </c>
      <c r="N58" s="164" t="s">
        <v>835</v>
      </c>
      <c r="O58" s="144"/>
      <c r="P58" s="144" t="s">
        <v>349</v>
      </c>
      <c r="Q58" s="144">
        <v>45474</v>
      </c>
      <c r="R58" s="144"/>
      <c r="S58" s="144"/>
      <c r="T58" s="164" t="s">
        <v>20</v>
      </c>
      <c r="U58" s="144" t="s">
        <v>18</v>
      </c>
      <c r="V58" s="144" t="s">
        <v>20</v>
      </c>
      <c r="W58" s="432" t="s">
        <v>18</v>
      </c>
      <c r="X58" s="432" t="s">
        <v>18</v>
      </c>
      <c r="Y58" s="432" t="s">
        <v>18</v>
      </c>
      <c r="Z58" s="432" t="s">
        <v>18</v>
      </c>
      <c r="AA58" s="432" t="s">
        <v>18</v>
      </c>
      <c r="AB58" s="432" t="s">
        <v>18</v>
      </c>
      <c r="AC58" s="464">
        <v>45474</v>
      </c>
      <c r="AD58" s="464">
        <v>46934</v>
      </c>
      <c r="AE58" s="144"/>
      <c r="AF58" s="460"/>
      <c r="AG58" s="461"/>
      <c r="AH58" s="465"/>
      <c r="AI58" s="171" t="s">
        <v>18</v>
      </c>
      <c r="AJ58" s="171" t="s">
        <v>18</v>
      </c>
      <c r="AK58" s="462"/>
      <c r="AL58" s="144" t="s">
        <v>17</v>
      </c>
      <c r="AM58" s="90" t="s">
        <v>3193</v>
      </c>
      <c r="AN58" s="193"/>
      <c r="AO58" s="194">
        <f>SUMIF('TK 15661.Bản quyền phim '!F:F,'KK2. Series'!C58,'TK 15661.Bản quyền phim '!K:K)</f>
        <v>0</v>
      </c>
      <c r="AP58" s="194">
        <f>COUNTIF('242.BQ Phim VOD'!$C$5:$C$8,'KK2. Series'!AM58)</f>
        <v>1</v>
      </c>
      <c r="AQ58" s="194">
        <f>COUNTIF('TK 15666. Phim SX'!$C$6:$C$13,'KK2. Series'!AM58)</f>
        <v>0</v>
      </c>
      <c r="AR58" s="193">
        <f>COUNTIF('TK 15661.Bản quyền phim '!F:F,'KK2. Series'!AM58)</f>
        <v>0</v>
      </c>
      <c r="AS58" s="193"/>
      <c r="AT58" s="197">
        <f t="shared" si="2"/>
        <v>1</v>
      </c>
      <c r="AU58" s="193"/>
      <c r="AV58" s="193"/>
      <c r="AW58" s="193"/>
      <c r="AX58" s="193"/>
      <c r="AY58" s="193"/>
    </row>
    <row r="59" spans="1:51" ht="409.6" x14ac:dyDescent="0.25">
      <c r="A59" s="141">
        <v>53</v>
      </c>
      <c r="B59" s="142" t="s">
        <v>834</v>
      </c>
      <c r="C59" s="164" t="s">
        <v>833</v>
      </c>
      <c r="D59" s="144" t="s">
        <v>832</v>
      </c>
      <c r="E59" s="164" t="s">
        <v>405</v>
      </c>
      <c r="F59" s="144" t="s">
        <v>586</v>
      </c>
      <c r="G59" s="164" t="s">
        <v>133</v>
      </c>
      <c r="H59" s="431">
        <v>2022</v>
      </c>
      <c r="I59" s="164">
        <v>16</v>
      </c>
      <c r="J59" s="164">
        <v>70</v>
      </c>
      <c r="K59" s="463">
        <f t="shared" si="4"/>
        <v>18.666666666666668</v>
      </c>
      <c r="L59" s="459">
        <v>16</v>
      </c>
      <c r="M59" s="164" t="s">
        <v>722</v>
      </c>
      <c r="N59" s="164" t="s">
        <v>722</v>
      </c>
      <c r="O59" s="144"/>
      <c r="P59" s="144" t="s">
        <v>349</v>
      </c>
      <c r="Q59" s="144">
        <v>45474</v>
      </c>
      <c r="R59" s="144"/>
      <c r="S59" s="144"/>
      <c r="T59" s="164" t="s">
        <v>20</v>
      </c>
      <c r="U59" s="144" t="s">
        <v>18</v>
      </c>
      <c r="V59" s="144" t="s">
        <v>20</v>
      </c>
      <c r="W59" s="432" t="s">
        <v>18</v>
      </c>
      <c r="X59" s="432" t="s">
        <v>18</v>
      </c>
      <c r="Y59" s="432" t="s">
        <v>18</v>
      </c>
      <c r="Z59" s="432" t="s">
        <v>18</v>
      </c>
      <c r="AA59" s="432" t="s">
        <v>18</v>
      </c>
      <c r="AB59" s="432" t="s">
        <v>18</v>
      </c>
      <c r="AC59" s="464">
        <v>45474</v>
      </c>
      <c r="AD59" s="464">
        <v>46934</v>
      </c>
      <c r="AE59" s="144"/>
      <c r="AF59" s="460"/>
      <c r="AG59" s="461"/>
      <c r="AH59" s="465"/>
      <c r="AI59" s="171" t="s">
        <v>18</v>
      </c>
      <c r="AJ59" s="171" t="s">
        <v>18</v>
      </c>
      <c r="AK59" s="462"/>
      <c r="AL59" s="144" t="s">
        <v>17</v>
      </c>
      <c r="AM59" s="90" t="s">
        <v>3193</v>
      </c>
      <c r="AN59" s="193"/>
      <c r="AO59" s="194">
        <f>SUMIF('TK 15661.Bản quyền phim '!F:F,'KK2. Series'!C59,'TK 15661.Bản quyền phim '!K:K)</f>
        <v>0</v>
      </c>
      <c r="AP59" s="194">
        <f>COUNTIF('242.BQ Phim VOD'!$C$5:$C$8,'KK2. Series'!AM59)</f>
        <v>1</v>
      </c>
      <c r="AQ59" s="194">
        <f>COUNTIF('TK 15666. Phim SX'!$C$6:$C$13,'KK2. Series'!AM59)</f>
        <v>0</v>
      </c>
      <c r="AR59" s="193">
        <f>COUNTIF('TK 15661.Bản quyền phim '!F:F,'KK2. Series'!AM59)</f>
        <v>0</v>
      </c>
      <c r="AS59" s="193"/>
      <c r="AT59" s="197">
        <f t="shared" si="2"/>
        <v>1</v>
      </c>
      <c r="AU59" s="193"/>
      <c r="AV59" s="193"/>
      <c r="AW59" s="193"/>
      <c r="AX59" s="193"/>
      <c r="AY59" s="193"/>
    </row>
    <row r="60" spans="1:51" ht="409.6" x14ac:dyDescent="0.25">
      <c r="A60" s="141">
        <v>54</v>
      </c>
      <c r="B60" s="142" t="s">
        <v>831</v>
      </c>
      <c r="C60" s="164" t="s">
        <v>830</v>
      </c>
      <c r="D60" s="144" t="s">
        <v>829</v>
      </c>
      <c r="E60" s="164" t="s">
        <v>405</v>
      </c>
      <c r="F60" s="144" t="s">
        <v>586</v>
      </c>
      <c r="G60" s="164" t="s">
        <v>133</v>
      </c>
      <c r="H60" s="431">
        <v>2022</v>
      </c>
      <c r="I60" s="164">
        <v>16</v>
      </c>
      <c r="J60" s="164">
        <v>70</v>
      </c>
      <c r="K60" s="463">
        <f t="shared" si="4"/>
        <v>18.666666666666668</v>
      </c>
      <c r="L60" s="459">
        <v>16</v>
      </c>
      <c r="M60" s="164" t="s">
        <v>828</v>
      </c>
      <c r="N60" s="164" t="s">
        <v>828</v>
      </c>
      <c r="O60" s="144"/>
      <c r="P60" s="144" t="s">
        <v>349</v>
      </c>
      <c r="Q60" s="144">
        <v>45474</v>
      </c>
      <c r="R60" s="144"/>
      <c r="S60" s="144"/>
      <c r="T60" s="164" t="s">
        <v>20</v>
      </c>
      <c r="U60" s="144" t="s">
        <v>18</v>
      </c>
      <c r="V60" s="144" t="s">
        <v>20</v>
      </c>
      <c r="W60" s="432" t="s">
        <v>18</v>
      </c>
      <c r="X60" s="432" t="s">
        <v>18</v>
      </c>
      <c r="Y60" s="432" t="s">
        <v>18</v>
      </c>
      <c r="Z60" s="432" t="s">
        <v>18</v>
      </c>
      <c r="AA60" s="432" t="s">
        <v>18</v>
      </c>
      <c r="AB60" s="432" t="s">
        <v>18</v>
      </c>
      <c r="AC60" s="464">
        <v>45474</v>
      </c>
      <c r="AD60" s="464">
        <v>46934</v>
      </c>
      <c r="AE60" s="144"/>
      <c r="AF60" s="460"/>
      <c r="AG60" s="461"/>
      <c r="AH60" s="465"/>
      <c r="AI60" s="171" t="s">
        <v>18</v>
      </c>
      <c r="AJ60" s="171" t="s">
        <v>18</v>
      </c>
      <c r="AK60" s="462"/>
      <c r="AL60" s="144" t="s">
        <v>17</v>
      </c>
      <c r="AM60" s="90" t="s">
        <v>3193</v>
      </c>
      <c r="AN60" s="193"/>
      <c r="AO60" s="194">
        <f>SUMIF('TK 15661.Bản quyền phim '!F:F,'KK2. Series'!C60,'TK 15661.Bản quyền phim '!K:K)</f>
        <v>0</v>
      </c>
      <c r="AP60" s="194">
        <f>COUNTIF('242.BQ Phim VOD'!$C$5:$C$8,'KK2. Series'!AM60)</f>
        <v>1</v>
      </c>
      <c r="AQ60" s="194">
        <f>COUNTIF('TK 15666. Phim SX'!$C$6:$C$13,'KK2. Series'!AM60)</f>
        <v>0</v>
      </c>
      <c r="AR60" s="193">
        <f>COUNTIF('TK 15661.Bản quyền phim '!F:F,'KK2. Series'!AM60)</f>
        <v>0</v>
      </c>
      <c r="AS60" s="193"/>
      <c r="AT60" s="197">
        <f t="shared" si="2"/>
        <v>1</v>
      </c>
      <c r="AU60" s="193"/>
      <c r="AV60" s="193"/>
      <c r="AW60" s="193"/>
      <c r="AX60" s="193"/>
      <c r="AY60" s="193"/>
    </row>
    <row r="61" spans="1:51" ht="43.2" x14ac:dyDescent="0.25">
      <c r="A61" s="141">
        <v>55</v>
      </c>
      <c r="B61" s="170" t="s">
        <v>827</v>
      </c>
      <c r="C61" s="164" t="s">
        <v>826</v>
      </c>
      <c r="D61" s="144" t="s">
        <v>825</v>
      </c>
      <c r="E61" s="164" t="s">
        <v>405</v>
      </c>
      <c r="F61" s="144" t="s">
        <v>586</v>
      </c>
      <c r="G61" s="164" t="s">
        <v>133</v>
      </c>
      <c r="H61" s="431">
        <v>2023</v>
      </c>
      <c r="I61" s="164">
        <v>1</v>
      </c>
      <c r="J61" s="164">
        <v>120</v>
      </c>
      <c r="K61" s="463">
        <f t="shared" si="4"/>
        <v>2</v>
      </c>
      <c r="L61" s="459">
        <v>1</v>
      </c>
      <c r="M61" s="164" t="s">
        <v>824</v>
      </c>
      <c r="N61" s="164" t="s">
        <v>824</v>
      </c>
      <c r="O61" s="144"/>
      <c r="P61" s="144" t="s">
        <v>349</v>
      </c>
      <c r="Q61" s="144">
        <v>45474</v>
      </c>
      <c r="R61" s="144"/>
      <c r="S61" s="144"/>
      <c r="T61" s="164" t="s">
        <v>20</v>
      </c>
      <c r="U61" s="144" t="s">
        <v>18</v>
      </c>
      <c r="V61" s="144" t="s">
        <v>20</v>
      </c>
      <c r="W61" s="432" t="s">
        <v>18</v>
      </c>
      <c r="X61" s="432" t="s">
        <v>18</v>
      </c>
      <c r="Y61" s="432" t="s">
        <v>18</v>
      </c>
      <c r="Z61" s="432" t="s">
        <v>18</v>
      </c>
      <c r="AA61" s="432" t="s">
        <v>18</v>
      </c>
      <c r="AB61" s="432" t="s">
        <v>18</v>
      </c>
      <c r="AC61" s="464">
        <v>45474</v>
      </c>
      <c r="AD61" s="464">
        <v>46934</v>
      </c>
      <c r="AE61" s="144"/>
      <c r="AF61" s="460"/>
      <c r="AG61" s="461"/>
      <c r="AH61" s="465"/>
      <c r="AI61" s="171" t="s">
        <v>18</v>
      </c>
      <c r="AJ61" s="171" t="s">
        <v>18</v>
      </c>
      <c r="AK61" s="462"/>
      <c r="AL61" s="144" t="s">
        <v>17</v>
      </c>
      <c r="AM61" s="90" t="s">
        <v>3193</v>
      </c>
      <c r="AN61" s="193"/>
      <c r="AO61" s="194">
        <f>SUMIF('TK 15661.Bản quyền phim '!F:F,'KK2. Series'!C61,'TK 15661.Bản quyền phim '!K:K)</f>
        <v>0</v>
      </c>
      <c r="AP61" s="194">
        <f>COUNTIF('242.BQ Phim VOD'!$C$5:$C$8,'KK2. Series'!AM61)</f>
        <v>1</v>
      </c>
      <c r="AQ61" s="194">
        <f>COUNTIF('TK 15666. Phim SX'!$C$6:$C$13,'KK2. Series'!AM61)</f>
        <v>0</v>
      </c>
      <c r="AR61" s="193">
        <f>COUNTIF('TK 15661.Bản quyền phim '!F:F,'KK2. Series'!AM61)</f>
        <v>0</v>
      </c>
      <c r="AS61" s="193"/>
      <c r="AT61" s="197">
        <f t="shared" si="2"/>
        <v>1</v>
      </c>
      <c r="AU61" s="193"/>
      <c r="AV61" s="193"/>
      <c r="AW61" s="193"/>
      <c r="AX61" s="193"/>
      <c r="AY61" s="193"/>
    </row>
    <row r="62" spans="1:51" ht="43.2" x14ac:dyDescent="0.25">
      <c r="A62" s="141">
        <v>56</v>
      </c>
      <c r="B62" s="170" t="s">
        <v>823</v>
      </c>
      <c r="C62" s="164" t="s">
        <v>822</v>
      </c>
      <c r="D62" s="144" t="s">
        <v>821</v>
      </c>
      <c r="E62" s="164" t="s">
        <v>405</v>
      </c>
      <c r="F62" s="144" t="s">
        <v>586</v>
      </c>
      <c r="G62" s="164" t="s">
        <v>133</v>
      </c>
      <c r="H62" s="431">
        <v>2023</v>
      </c>
      <c r="I62" s="164">
        <v>1</v>
      </c>
      <c r="J62" s="164">
        <v>90</v>
      </c>
      <c r="K62" s="463">
        <f t="shared" si="4"/>
        <v>1.5</v>
      </c>
      <c r="L62" s="459">
        <v>1</v>
      </c>
      <c r="M62" s="164" t="s">
        <v>820</v>
      </c>
      <c r="N62" s="164" t="s">
        <v>820</v>
      </c>
      <c r="O62" s="144"/>
      <c r="P62" s="144" t="s">
        <v>349</v>
      </c>
      <c r="Q62" s="144">
        <v>45474</v>
      </c>
      <c r="R62" s="144"/>
      <c r="S62" s="144"/>
      <c r="T62" s="164" t="s">
        <v>20</v>
      </c>
      <c r="U62" s="144" t="s">
        <v>18</v>
      </c>
      <c r="V62" s="144" t="s">
        <v>20</v>
      </c>
      <c r="W62" s="432" t="s">
        <v>18</v>
      </c>
      <c r="X62" s="432" t="s">
        <v>18</v>
      </c>
      <c r="Y62" s="432" t="s">
        <v>18</v>
      </c>
      <c r="Z62" s="432" t="s">
        <v>18</v>
      </c>
      <c r="AA62" s="432" t="s">
        <v>18</v>
      </c>
      <c r="AB62" s="432" t="s">
        <v>18</v>
      </c>
      <c r="AC62" s="464">
        <v>45474</v>
      </c>
      <c r="AD62" s="464">
        <v>46934</v>
      </c>
      <c r="AE62" s="144"/>
      <c r="AF62" s="460"/>
      <c r="AG62" s="461"/>
      <c r="AH62" s="465"/>
      <c r="AI62" s="171" t="s">
        <v>18</v>
      </c>
      <c r="AJ62" s="171" t="s">
        <v>18</v>
      </c>
      <c r="AK62" s="462"/>
      <c r="AL62" s="144" t="s">
        <v>17</v>
      </c>
      <c r="AM62" s="90" t="s">
        <v>3193</v>
      </c>
      <c r="AN62" s="193"/>
      <c r="AO62" s="194">
        <f>SUMIF('TK 15661.Bản quyền phim '!F:F,'KK2. Series'!C62,'TK 15661.Bản quyền phim '!K:K)</f>
        <v>0</v>
      </c>
      <c r="AP62" s="194">
        <f>COUNTIF('242.BQ Phim VOD'!$C$5:$C$8,'KK2. Series'!AM62)</f>
        <v>1</v>
      </c>
      <c r="AQ62" s="194">
        <f>COUNTIF('TK 15666. Phim SX'!$C$6:$C$13,'KK2. Series'!AM62)</f>
        <v>0</v>
      </c>
      <c r="AR62" s="193">
        <f>COUNTIF('TK 15661.Bản quyền phim '!F:F,'KK2. Series'!AM62)</f>
        <v>0</v>
      </c>
      <c r="AS62" s="193"/>
      <c r="AT62" s="197">
        <f t="shared" si="2"/>
        <v>1</v>
      </c>
      <c r="AU62" s="193"/>
      <c r="AV62" s="193"/>
      <c r="AW62" s="193"/>
      <c r="AX62" s="193"/>
      <c r="AY62" s="193"/>
    </row>
    <row r="63" spans="1:51" ht="409.6" x14ac:dyDescent="0.25">
      <c r="A63" s="141">
        <v>57</v>
      </c>
      <c r="B63" s="142" t="s">
        <v>819</v>
      </c>
      <c r="C63" s="164" t="s">
        <v>818</v>
      </c>
      <c r="D63" s="144" t="s">
        <v>817</v>
      </c>
      <c r="E63" s="164" t="s">
        <v>405</v>
      </c>
      <c r="F63" s="144" t="s">
        <v>586</v>
      </c>
      <c r="G63" s="164" t="s">
        <v>133</v>
      </c>
      <c r="H63" s="431">
        <v>2023</v>
      </c>
      <c r="I63" s="164">
        <v>16</v>
      </c>
      <c r="J63" s="164">
        <v>70</v>
      </c>
      <c r="K63" s="463">
        <f t="shared" si="4"/>
        <v>18.666666666666668</v>
      </c>
      <c r="L63" s="459">
        <v>16</v>
      </c>
      <c r="M63" s="164" t="s">
        <v>816</v>
      </c>
      <c r="N63" s="164" t="s">
        <v>816</v>
      </c>
      <c r="O63" s="144"/>
      <c r="P63" s="144" t="s">
        <v>349</v>
      </c>
      <c r="Q63" s="144">
        <v>45474</v>
      </c>
      <c r="R63" s="144"/>
      <c r="S63" s="144"/>
      <c r="T63" s="164" t="s">
        <v>20</v>
      </c>
      <c r="U63" s="144" t="s">
        <v>18</v>
      </c>
      <c r="V63" s="144" t="s">
        <v>20</v>
      </c>
      <c r="W63" s="432" t="s">
        <v>18</v>
      </c>
      <c r="X63" s="432" t="s">
        <v>18</v>
      </c>
      <c r="Y63" s="432" t="s">
        <v>18</v>
      </c>
      <c r="Z63" s="432" t="s">
        <v>18</v>
      </c>
      <c r="AA63" s="432" t="s">
        <v>18</v>
      </c>
      <c r="AB63" s="432" t="s">
        <v>18</v>
      </c>
      <c r="AC63" s="464">
        <v>45474</v>
      </c>
      <c r="AD63" s="464">
        <v>46934</v>
      </c>
      <c r="AE63" s="144"/>
      <c r="AF63" s="460"/>
      <c r="AG63" s="461"/>
      <c r="AH63" s="465"/>
      <c r="AI63" s="171" t="s">
        <v>18</v>
      </c>
      <c r="AJ63" s="171" t="s">
        <v>18</v>
      </c>
      <c r="AK63" s="462"/>
      <c r="AL63" s="144" t="s">
        <v>17</v>
      </c>
      <c r="AM63" s="90" t="s">
        <v>3193</v>
      </c>
      <c r="AN63" s="193"/>
      <c r="AO63" s="194">
        <f>SUMIF('TK 15661.Bản quyền phim '!F:F,'KK2. Series'!C63,'TK 15661.Bản quyền phim '!K:K)</f>
        <v>0</v>
      </c>
      <c r="AP63" s="194">
        <f>COUNTIF('242.BQ Phim VOD'!$C$5:$C$8,'KK2. Series'!AM63)</f>
        <v>1</v>
      </c>
      <c r="AQ63" s="194">
        <f>COUNTIF('TK 15666. Phim SX'!$C$6:$C$13,'KK2. Series'!AM63)</f>
        <v>0</v>
      </c>
      <c r="AR63" s="193">
        <f>COUNTIF('TK 15661.Bản quyền phim '!F:F,'KK2. Series'!AM63)</f>
        <v>0</v>
      </c>
      <c r="AS63" s="193"/>
      <c r="AT63" s="197">
        <f t="shared" si="2"/>
        <v>1</v>
      </c>
      <c r="AU63" s="193"/>
      <c r="AV63" s="193"/>
      <c r="AW63" s="193"/>
      <c r="AX63" s="193"/>
      <c r="AY63" s="193"/>
    </row>
    <row r="64" spans="1:51" ht="369.6" x14ac:dyDescent="0.25">
      <c r="A64" s="141">
        <v>58</v>
      </c>
      <c r="B64" s="142" t="s">
        <v>815</v>
      </c>
      <c r="C64" s="164" t="s">
        <v>814</v>
      </c>
      <c r="D64" s="144" t="s">
        <v>813</v>
      </c>
      <c r="E64" s="164" t="s">
        <v>405</v>
      </c>
      <c r="F64" s="144" t="s">
        <v>586</v>
      </c>
      <c r="G64" s="164" t="s">
        <v>133</v>
      </c>
      <c r="H64" s="431">
        <v>2023</v>
      </c>
      <c r="I64" s="164">
        <v>14</v>
      </c>
      <c r="J64" s="164">
        <v>70</v>
      </c>
      <c r="K64" s="463">
        <f t="shared" si="4"/>
        <v>16.333333333333332</v>
      </c>
      <c r="L64" s="459">
        <v>14</v>
      </c>
      <c r="M64" s="164" t="s">
        <v>809</v>
      </c>
      <c r="N64" s="164" t="s">
        <v>809</v>
      </c>
      <c r="O64" s="144"/>
      <c r="P64" s="144" t="s">
        <v>349</v>
      </c>
      <c r="Q64" s="144">
        <v>45474</v>
      </c>
      <c r="R64" s="144"/>
      <c r="S64" s="144"/>
      <c r="T64" s="164" t="s">
        <v>20</v>
      </c>
      <c r="U64" s="144" t="s">
        <v>18</v>
      </c>
      <c r="V64" s="144" t="s">
        <v>20</v>
      </c>
      <c r="W64" s="432" t="s">
        <v>18</v>
      </c>
      <c r="X64" s="432" t="s">
        <v>18</v>
      </c>
      <c r="Y64" s="432" t="s">
        <v>18</v>
      </c>
      <c r="Z64" s="432" t="s">
        <v>18</v>
      </c>
      <c r="AA64" s="432" t="s">
        <v>18</v>
      </c>
      <c r="AB64" s="432" t="s">
        <v>18</v>
      </c>
      <c r="AC64" s="464">
        <v>45474</v>
      </c>
      <c r="AD64" s="464">
        <v>46934</v>
      </c>
      <c r="AE64" s="144"/>
      <c r="AF64" s="460"/>
      <c r="AG64" s="461"/>
      <c r="AH64" s="465"/>
      <c r="AI64" s="171" t="s">
        <v>18</v>
      </c>
      <c r="AJ64" s="171" t="s">
        <v>18</v>
      </c>
      <c r="AK64" s="462"/>
      <c r="AL64" s="144" t="s">
        <v>17</v>
      </c>
      <c r="AM64" s="90" t="s">
        <v>3193</v>
      </c>
      <c r="AN64" s="193"/>
      <c r="AO64" s="194">
        <f>SUMIF('TK 15661.Bản quyền phim '!F:F,'KK2. Series'!C64,'TK 15661.Bản quyền phim '!K:K)</f>
        <v>0</v>
      </c>
      <c r="AP64" s="194">
        <f>COUNTIF('242.BQ Phim VOD'!$C$5:$C$8,'KK2. Series'!AM64)</f>
        <v>1</v>
      </c>
      <c r="AQ64" s="194">
        <f>COUNTIF('TK 15666. Phim SX'!$C$6:$C$13,'KK2. Series'!AM64)</f>
        <v>0</v>
      </c>
      <c r="AR64" s="193">
        <f>COUNTIF('TK 15661.Bản quyền phim '!F:F,'KK2. Series'!AM64)</f>
        <v>0</v>
      </c>
      <c r="AS64" s="193"/>
      <c r="AT64" s="197">
        <f t="shared" si="2"/>
        <v>1</v>
      </c>
      <c r="AU64" s="193"/>
      <c r="AV64" s="193"/>
      <c r="AW64" s="193"/>
      <c r="AX64" s="193"/>
      <c r="AY64" s="193"/>
    </row>
    <row r="65" spans="1:51" ht="52.8" x14ac:dyDescent="0.25">
      <c r="A65" s="141">
        <v>59</v>
      </c>
      <c r="B65" s="170" t="s">
        <v>812</v>
      </c>
      <c r="C65" s="164" t="s">
        <v>811</v>
      </c>
      <c r="D65" s="144" t="s">
        <v>810</v>
      </c>
      <c r="E65" s="164" t="s">
        <v>405</v>
      </c>
      <c r="F65" s="144" t="s">
        <v>586</v>
      </c>
      <c r="G65" s="164" t="s">
        <v>133</v>
      </c>
      <c r="H65" s="431">
        <v>2023</v>
      </c>
      <c r="I65" s="164">
        <v>1</v>
      </c>
      <c r="J65" s="164">
        <v>80</v>
      </c>
      <c r="K65" s="463">
        <f t="shared" si="4"/>
        <v>1.3333333333333333</v>
      </c>
      <c r="L65" s="459">
        <v>1</v>
      </c>
      <c r="M65" s="164" t="s">
        <v>809</v>
      </c>
      <c r="N65" s="164" t="s">
        <v>809</v>
      </c>
      <c r="O65" s="144"/>
      <c r="P65" s="144" t="s">
        <v>349</v>
      </c>
      <c r="Q65" s="144">
        <v>45474</v>
      </c>
      <c r="R65" s="144"/>
      <c r="S65" s="144"/>
      <c r="T65" s="164" t="s">
        <v>20</v>
      </c>
      <c r="U65" s="144" t="s">
        <v>18</v>
      </c>
      <c r="V65" s="144" t="s">
        <v>20</v>
      </c>
      <c r="W65" s="432" t="s">
        <v>18</v>
      </c>
      <c r="X65" s="432" t="s">
        <v>18</v>
      </c>
      <c r="Y65" s="432" t="s">
        <v>18</v>
      </c>
      <c r="Z65" s="432" t="s">
        <v>18</v>
      </c>
      <c r="AA65" s="432" t="s">
        <v>18</v>
      </c>
      <c r="AB65" s="432" t="s">
        <v>18</v>
      </c>
      <c r="AC65" s="464">
        <v>45474</v>
      </c>
      <c r="AD65" s="464">
        <v>46934</v>
      </c>
      <c r="AE65" s="144"/>
      <c r="AF65" s="460"/>
      <c r="AG65" s="461"/>
      <c r="AH65" s="465"/>
      <c r="AI65" s="171" t="s">
        <v>18</v>
      </c>
      <c r="AJ65" s="171" t="s">
        <v>18</v>
      </c>
      <c r="AK65" s="462"/>
      <c r="AL65" s="144" t="s">
        <v>17</v>
      </c>
      <c r="AM65" s="90" t="s">
        <v>3193</v>
      </c>
      <c r="AN65" s="193"/>
      <c r="AO65" s="194">
        <f>SUMIF('TK 15661.Bản quyền phim '!F:F,'KK2. Series'!C65,'TK 15661.Bản quyền phim '!K:K)</f>
        <v>0</v>
      </c>
      <c r="AP65" s="194">
        <f>COUNTIF('242.BQ Phim VOD'!$C$5:$C$8,'KK2. Series'!AM65)</f>
        <v>1</v>
      </c>
      <c r="AQ65" s="194">
        <f>COUNTIF('TK 15666. Phim SX'!$C$6:$C$13,'KK2. Series'!AM65)</f>
        <v>0</v>
      </c>
      <c r="AR65" s="193">
        <f>COUNTIF('TK 15661.Bản quyền phim '!F:F,'KK2. Series'!AM65)</f>
        <v>0</v>
      </c>
      <c r="AS65" s="193"/>
      <c r="AT65" s="197">
        <f t="shared" si="2"/>
        <v>1</v>
      </c>
      <c r="AU65" s="193"/>
      <c r="AV65" s="193"/>
      <c r="AW65" s="193"/>
      <c r="AX65" s="193"/>
      <c r="AY65" s="193"/>
    </row>
    <row r="66" spans="1:51" ht="369.6" x14ac:dyDescent="0.25">
      <c r="A66" s="141">
        <v>60</v>
      </c>
      <c r="B66" s="142" t="s">
        <v>808</v>
      </c>
      <c r="C66" s="164" t="s">
        <v>807</v>
      </c>
      <c r="D66" s="144" t="s">
        <v>806</v>
      </c>
      <c r="E66" s="164" t="s">
        <v>405</v>
      </c>
      <c r="F66" s="144" t="s">
        <v>586</v>
      </c>
      <c r="G66" s="164" t="s">
        <v>133</v>
      </c>
      <c r="H66" s="431">
        <v>2023</v>
      </c>
      <c r="I66" s="164">
        <v>14</v>
      </c>
      <c r="J66" s="164">
        <v>70</v>
      </c>
      <c r="K66" s="463">
        <f t="shared" si="4"/>
        <v>16.333333333333332</v>
      </c>
      <c r="L66" s="459">
        <v>14</v>
      </c>
      <c r="M66" s="164" t="s">
        <v>805</v>
      </c>
      <c r="N66" s="164" t="s">
        <v>805</v>
      </c>
      <c r="O66" s="144"/>
      <c r="P66" s="144" t="s">
        <v>349</v>
      </c>
      <c r="Q66" s="144">
        <v>45474</v>
      </c>
      <c r="R66" s="144"/>
      <c r="S66" s="144"/>
      <c r="T66" s="164" t="s">
        <v>20</v>
      </c>
      <c r="U66" s="144" t="s">
        <v>18</v>
      </c>
      <c r="V66" s="144" t="s">
        <v>20</v>
      </c>
      <c r="W66" s="432" t="s">
        <v>18</v>
      </c>
      <c r="X66" s="432" t="s">
        <v>18</v>
      </c>
      <c r="Y66" s="432" t="s">
        <v>18</v>
      </c>
      <c r="Z66" s="432" t="s">
        <v>18</v>
      </c>
      <c r="AA66" s="432" t="s">
        <v>18</v>
      </c>
      <c r="AB66" s="432" t="s">
        <v>18</v>
      </c>
      <c r="AC66" s="464">
        <v>45474</v>
      </c>
      <c r="AD66" s="464">
        <v>46934</v>
      </c>
      <c r="AE66" s="144"/>
      <c r="AF66" s="460"/>
      <c r="AG66" s="461"/>
      <c r="AH66" s="465"/>
      <c r="AI66" s="171" t="s">
        <v>18</v>
      </c>
      <c r="AJ66" s="171" t="s">
        <v>18</v>
      </c>
      <c r="AK66" s="462"/>
      <c r="AL66" s="144" t="s">
        <v>17</v>
      </c>
      <c r="AM66" s="90" t="s">
        <v>3193</v>
      </c>
      <c r="AN66" s="193"/>
      <c r="AO66" s="194">
        <f>SUMIF('TK 15661.Bản quyền phim '!F:F,'KK2. Series'!C66,'TK 15661.Bản quyền phim '!K:K)</f>
        <v>0</v>
      </c>
      <c r="AP66" s="194">
        <f>COUNTIF('242.BQ Phim VOD'!$C$5:$C$8,'KK2. Series'!AM66)</f>
        <v>1</v>
      </c>
      <c r="AQ66" s="194">
        <f>COUNTIF('TK 15666. Phim SX'!$C$6:$C$13,'KK2. Series'!AM66)</f>
        <v>0</v>
      </c>
      <c r="AR66" s="193">
        <f>COUNTIF('TK 15661.Bản quyền phim '!F:F,'KK2. Series'!AM66)</f>
        <v>0</v>
      </c>
      <c r="AS66" s="193"/>
      <c r="AT66" s="197">
        <f t="shared" si="2"/>
        <v>1</v>
      </c>
      <c r="AU66" s="193"/>
      <c r="AV66" s="193"/>
      <c r="AW66" s="193"/>
      <c r="AX66" s="193"/>
      <c r="AY66" s="193"/>
    </row>
    <row r="67" spans="1:51" ht="316.8" x14ac:dyDescent="0.25">
      <c r="A67" s="141">
        <v>61</v>
      </c>
      <c r="B67" s="142" t="s">
        <v>804</v>
      </c>
      <c r="C67" s="164" t="s">
        <v>803</v>
      </c>
      <c r="D67" s="144" t="s">
        <v>802</v>
      </c>
      <c r="E67" s="164" t="s">
        <v>405</v>
      </c>
      <c r="F67" s="144" t="s">
        <v>586</v>
      </c>
      <c r="G67" s="164" t="s">
        <v>133</v>
      </c>
      <c r="H67" s="431">
        <v>2023</v>
      </c>
      <c r="I67" s="164">
        <v>12</v>
      </c>
      <c r="J67" s="164">
        <v>70</v>
      </c>
      <c r="K67" s="463">
        <f t="shared" si="4"/>
        <v>14</v>
      </c>
      <c r="L67" s="459">
        <v>12</v>
      </c>
      <c r="M67" s="164" t="s">
        <v>801</v>
      </c>
      <c r="N67" s="164" t="s">
        <v>801</v>
      </c>
      <c r="O67" s="144"/>
      <c r="P67" s="144" t="s">
        <v>349</v>
      </c>
      <c r="Q67" s="144">
        <v>45474</v>
      </c>
      <c r="R67" s="144"/>
      <c r="S67" s="144"/>
      <c r="T67" s="164" t="s">
        <v>20</v>
      </c>
      <c r="U67" s="144" t="s">
        <v>18</v>
      </c>
      <c r="V67" s="144" t="s">
        <v>20</v>
      </c>
      <c r="W67" s="432" t="s">
        <v>18</v>
      </c>
      <c r="X67" s="432" t="s">
        <v>18</v>
      </c>
      <c r="Y67" s="432" t="s">
        <v>18</v>
      </c>
      <c r="Z67" s="432" t="s">
        <v>18</v>
      </c>
      <c r="AA67" s="432" t="s">
        <v>18</v>
      </c>
      <c r="AB67" s="432" t="s">
        <v>18</v>
      </c>
      <c r="AC67" s="464">
        <v>45474</v>
      </c>
      <c r="AD67" s="464">
        <v>46934</v>
      </c>
      <c r="AE67" s="144"/>
      <c r="AF67" s="460"/>
      <c r="AG67" s="461"/>
      <c r="AH67" s="465"/>
      <c r="AI67" s="171" t="s">
        <v>18</v>
      </c>
      <c r="AJ67" s="171" t="s">
        <v>18</v>
      </c>
      <c r="AK67" s="462"/>
      <c r="AL67" s="144" t="s">
        <v>17</v>
      </c>
      <c r="AM67" s="90" t="s">
        <v>3193</v>
      </c>
      <c r="AN67" s="193"/>
      <c r="AO67" s="194">
        <f>SUMIF('TK 15661.Bản quyền phim '!F:F,'KK2. Series'!C67,'TK 15661.Bản quyền phim '!K:K)</f>
        <v>0</v>
      </c>
      <c r="AP67" s="194">
        <f>COUNTIF('242.BQ Phim VOD'!$C$5:$C$8,'KK2. Series'!AM67)</f>
        <v>1</v>
      </c>
      <c r="AQ67" s="194">
        <f>COUNTIF('TK 15666. Phim SX'!$C$6:$C$13,'KK2. Series'!AM67)</f>
        <v>0</v>
      </c>
      <c r="AR67" s="193">
        <f>COUNTIF('TK 15661.Bản quyền phim '!F:F,'KK2. Series'!AM67)</f>
        <v>0</v>
      </c>
      <c r="AS67" s="193"/>
      <c r="AT67" s="197">
        <f t="shared" si="2"/>
        <v>1</v>
      </c>
      <c r="AU67" s="193"/>
      <c r="AV67" s="193"/>
      <c r="AW67" s="193"/>
      <c r="AX67" s="193"/>
      <c r="AY67" s="193"/>
    </row>
    <row r="68" spans="1:51" ht="409.6" x14ac:dyDescent="0.25">
      <c r="A68" s="141">
        <v>62</v>
      </c>
      <c r="B68" s="142" t="s">
        <v>800</v>
      </c>
      <c r="C68" s="164" t="s">
        <v>799</v>
      </c>
      <c r="D68" s="144" t="s">
        <v>798</v>
      </c>
      <c r="E68" s="164" t="s">
        <v>405</v>
      </c>
      <c r="F68" s="144" t="s">
        <v>586</v>
      </c>
      <c r="G68" s="164" t="s">
        <v>703</v>
      </c>
      <c r="H68" s="431">
        <v>2022</v>
      </c>
      <c r="I68" s="164">
        <v>16</v>
      </c>
      <c r="J68" s="164">
        <v>45</v>
      </c>
      <c r="K68" s="459">
        <f t="shared" si="4"/>
        <v>12</v>
      </c>
      <c r="L68" s="459">
        <v>16</v>
      </c>
      <c r="M68" s="164" t="s">
        <v>797</v>
      </c>
      <c r="N68" s="164" t="s">
        <v>797</v>
      </c>
      <c r="O68" s="144"/>
      <c r="P68" s="144" t="s">
        <v>349</v>
      </c>
      <c r="Q68" s="144">
        <v>45474</v>
      </c>
      <c r="R68" s="144"/>
      <c r="S68" s="144"/>
      <c r="T68" s="164" t="s">
        <v>20</v>
      </c>
      <c r="U68" s="144" t="s">
        <v>18</v>
      </c>
      <c r="V68" s="144" t="s">
        <v>20</v>
      </c>
      <c r="W68" s="432" t="s">
        <v>18</v>
      </c>
      <c r="X68" s="432" t="s">
        <v>18</v>
      </c>
      <c r="Y68" s="432" t="s">
        <v>18</v>
      </c>
      <c r="Z68" s="432" t="s">
        <v>18</v>
      </c>
      <c r="AA68" s="432" t="s">
        <v>18</v>
      </c>
      <c r="AB68" s="432" t="s">
        <v>18</v>
      </c>
      <c r="AC68" s="464">
        <v>45474</v>
      </c>
      <c r="AD68" s="464">
        <v>46934</v>
      </c>
      <c r="AE68" s="144"/>
      <c r="AF68" s="460"/>
      <c r="AG68" s="461"/>
      <c r="AH68" s="465"/>
      <c r="AI68" s="171" t="s">
        <v>18</v>
      </c>
      <c r="AJ68" s="171" t="s">
        <v>18</v>
      </c>
      <c r="AK68" s="462"/>
      <c r="AL68" s="144" t="s">
        <v>17</v>
      </c>
      <c r="AM68" s="90" t="s">
        <v>3193</v>
      </c>
      <c r="AN68" s="193"/>
      <c r="AO68" s="194">
        <f>SUMIF('TK 15661.Bản quyền phim '!F:F,'KK2. Series'!C68,'TK 15661.Bản quyền phim '!K:K)</f>
        <v>0</v>
      </c>
      <c r="AP68" s="194">
        <f>COUNTIF('242.BQ Phim VOD'!$C$5:$C$8,'KK2. Series'!AM68)</f>
        <v>1</v>
      </c>
      <c r="AQ68" s="194">
        <f>COUNTIF('TK 15666. Phim SX'!$C$6:$C$13,'KK2. Series'!AM68)</f>
        <v>0</v>
      </c>
      <c r="AR68" s="193">
        <f>COUNTIF('TK 15661.Bản quyền phim '!F:F,'KK2. Series'!AM68)</f>
        <v>0</v>
      </c>
      <c r="AS68" s="193"/>
      <c r="AT68" s="197">
        <f t="shared" si="2"/>
        <v>1</v>
      </c>
      <c r="AU68" s="193"/>
      <c r="AV68" s="193"/>
      <c r="AW68" s="193"/>
      <c r="AX68" s="193"/>
      <c r="AY68" s="193"/>
    </row>
    <row r="69" spans="1:51" ht="316.8" x14ac:dyDescent="0.25">
      <c r="A69" s="141">
        <v>63</v>
      </c>
      <c r="B69" s="142" t="s">
        <v>796</v>
      </c>
      <c r="C69" s="164" t="s">
        <v>795</v>
      </c>
      <c r="D69" s="144" t="s">
        <v>794</v>
      </c>
      <c r="E69" s="164" t="s">
        <v>405</v>
      </c>
      <c r="F69" s="144" t="s">
        <v>586</v>
      </c>
      <c r="G69" s="164" t="s">
        <v>703</v>
      </c>
      <c r="H69" s="431">
        <v>2022</v>
      </c>
      <c r="I69" s="164">
        <v>12</v>
      </c>
      <c r="J69" s="164">
        <v>45</v>
      </c>
      <c r="K69" s="459">
        <f t="shared" si="4"/>
        <v>9</v>
      </c>
      <c r="L69" s="459">
        <v>12</v>
      </c>
      <c r="M69" s="164" t="s">
        <v>793</v>
      </c>
      <c r="N69" s="164" t="s">
        <v>793</v>
      </c>
      <c r="O69" s="144"/>
      <c r="P69" s="144" t="s">
        <v>349</v>
      </c>
      <c r="Q69" s="144">
        <v>45474</v>
      </c>
      <c r="R69" s="144"/>
      <c r="S69" s="144"/>
      <c r="T69" s="164" t="s">
        <v>20</v>
      </c>
      <c r="U69" s="144" t="s">
        <v>18</v>
      </c>
      <c r="V69" s="144" t="s">
        <v>20</v>
      </c>
      <c r="W69" s="432" t="s">
        <v>18</v>
      </c>
      <c r="X69" s="432" t="s">
        <v>18</v>
      </c>
      <c r="Y69" s="432" t="s">
        <v>18</v>
      </c>
      <c r="Z69" s="432" t="s">
        <v>18</v>
      </c>
      <c r="AA69" s="432" t="s">
        <v>18</v>
      </c>
      <c r="AB69" s="432" t="s">
        <v>18</v>
      </c>
      <c r="AC69" s="464">
        <v>45474</v>
      </c>
      <c r="AD69" s="464">
        <v>46934</v>
      </c>
      <c r="AE69" s="144"/>
      <c r="AF69" s="460"/>
      <c r="AG69" s="461"/>
      <c r="AH69" s="465"/>
      <c r="AI69" s="171" t="s">
        <v>18</v>
      </c>
      <c r="AJ69" s="171" t="s">
        <v>18</v>
      </c>
      <c r="AK69" s="462"/>
      <c r="AL69" s="144" t="s">
        <v>17</v>
      </c>
      <c r="AM69" s="90" t="s">
        <v>3193</v>
      </c>
      <c r="AN69" s="193"/>
      <c r="AO69" s="194">
        <f>SUMIF('TK 15661.Bản quyền phim '!F:F,'KK2. Series'!C69,'TK 15661.Bản quyền phim '!K:K)</f>
        <v>0</v>
      </c>
      <c r="AP69" s="194">
        <f>COUNTIF('242.BQ Phim VOD'!$C$5:$C$8,'KK2. Series'!AM69)</f>
        <v>1</v>
      </c>
      <c r="AQ69" s="194">
        <f>COUNTIF('TK 15666. Phim SX'!$C$6:$C$13,'KK2. Series'!AM69)</f>
        <v>0</v>
      </c>
      <c r="AR69" s="193">
        <f>COUNTIF('TK 15661.Bản quyền phim '!F:F,'KK2. Series'!AM69)</f>
        <v>0</v>
      </c>
      <c r="AS69" s="193"/>
      <c r="AT69" s="197">
        <f t="shared" si="2"/>
        <v>1</v>
      </c>
      <c r="AU69" s="193"/>
      <c r="AV69" s="193"/>
      <c r="AW69" s="193"/>
      <c r="AX69" s="193"/>
      <c r="AY69" s="193"/>
    </row>
    <row r="70" spans="1:51" ht="409.6" x14ac:dyDescent="0.25">
      <c r="A70" s="141">
        <v>64</v>
      </c>
      <c r="B70" s="142" t="s">
        <v>792</v>
      </c>
      <c r="C70" s="164" t="s">
        <v>791</v>
      </c>
      <c r="D70" s="144" t="s">
        <v>790</v>
      </c>
      <c r="E70" s="164" t="s">
        <v>405</v>
      </c>
      <c r="F70" s="144" t="s">
        <v>586</v>
      </c>
      <c r="G70" s="164" t="s">
        <v>703</v>
      </c>
      <c r="H70" s="431">
        <v>2022</v>
      </c>
      <c r="I70" s="164">
        <v>16</v>
      </c>
      <c r="J70" s="164">
        <v>45</v>
      </c>
      <c r="K70" s="459">
        <f t="shared" si="4"/>
        <v>12</v>
      </c>
      <c r="L70" s="459">
        <v>16</v>
      </c>
      <c r="M70" s="164" t="s">
        <v>789</v>
      </c>
      <c r="N70" s="164" t="s">
        <v>789</v>
      </c>
      <c r="O70" s="144"/>
      <c r="P70" s="144" t="s">
        <v>349</v>
      </c>
      <c r="Q70" s="144">
        <v>45474</v>
      </c>
      <c r="R70" s="144"/>
      <c r="S70" s="144"/>
      <c r="T70" s="164" t="s">
        <v>20</v>
      </c>
      <c r="U70" s="144" t="s">
        <v>18</v>
      </c>
      <c r="V70" s="144" t="s">
        <v>20</v>
      </c>
      <c r="W70" s="432" t="s">
        <v>18</v>
      </c>
      <c r="X70" s="432" t="s">
        <v>18</v>
      </c>
      <c r="Y70" s="432" t="s">
        <v>18</v>
      </c>
      <c r="Z70" s="432" t="s">
        <v>18</v>
      </c>
      <c r="AA70" s="432" t="s">
        <v>18</v>
      </c>
      <c r="AB70" s="432" t="s">
        <v>18</v>
      </c>
      <c r="AC70" s="464">
        <v>45474</v>
      </c>
      <c r="AD70" s="464">
        <v>46934</v>
      </c>
      <c r="AE70" s="144"/>
      <c r="AF70" s="460"/>
      <c r="AG70" s="461"/>
      <c r="AH70" s="465"/>
      <c r="AI70" s="171" t="s">
        <v>18</v>
      </c>
      <c r="AJ70" s="171" t="s">
        <v>18</v>
      </c>
      <c r="AK70" s="462"/>
      <c r="AL70" s="144" t="s">
        <v>17</v>
      </c>
      <c r="AM70" s="90" t="s">
        <v>3193</v>
      </c>
      <c r="AN70" s="193"/>
      <c r="AO70" s="194">
        <f>SUMIF('TK 15661.Bản quyền phim '!F:F,'KK2. Series'!C70,'TK 15661.Bản quyền phim '!K:K)</f>
        <v>0</v>
      </c>
      <c r="AP70" s="194">
        <f>COUNTIF('242.BQ Phim VOD'!$C$5:$C$8,'KK2. Series'!AM70)</f>
        <v>1</v>
      </c>
      <c r="AQ70" s="194">
        <f>COUNTIF('TK 15666. Phim SX'!$C$6:$C$13,'KK2. Series'!AM70)</f>
        <v>0</v>
      </c>
      <c r="AR70" s="193">
        <f>COUNTIF('TK 15661.Bản quyền phim '!F:F,'KK2. Series'!AM70)</f>
        <v>0</v>
      </c>
      <c r="AS70" s="193"/>
      <c r="AT70" s="197">
        <f t="shared" si="2"/>
        <v>1</v>
      </c>
      <c r="AU70" s="193"/>
      <c r="AV70" s="193"/>
      <c r="AW70" s="193"/>
      <c r="AX70" s="193"/>
      <c r="AY70" s="193"/>
    </row>
    <row r="71" spans="1:51" ht="158.4" x14ac:dyDescent="0.25">
      <c r="A71" s="141">
        <v>65</v>
      </c>
      <c r="B71" s="142" t="s">
        <v>788</v>
      </c>
      <c r="C71" s="164" t="s">
        <v>787</v>
      </c>
      <c r="D71" s="144" t="s">
        <v>786</v>
      </c>
      <c r="E71" s="164" t="s">
        <v>405</v>
      </c>
      <c r="F71" s="144" t="s">
        <v>586</v>
      </c>
      <c r="G71" s="164" t="s">
        <v>703</v>
      </c>
      <c r="H71" s="431">
        <v>2023</v>
      </c>
      <c r="I71" s="164">
        <v>12</v>
      </c>
      <c r="J71" s="164">
        <v>45</v>
      </c>
      <c r="K71" s="459">
        <f t="shared" ref="K71:K102" si="5">(I71*J71)/60</f>
        <v>9</v>
      </c>
      <c r="L71" s="459">
        <v>12</v>
      </c>
      <c r="M71" s="164" t="s">
        <v>785</v>
      </c>
      <c r="N71" s="164" t="s">
        <v>785</v>
      </c>
      <c r="O71" s="144"/>
      <c r="P71" s="144" t="s">
        <v>349</v>
      </c>
      <c r="Q71" s="144">
        <v>45474</v>
      </c>
      <c r="R71" s="144"/>
      <c r="S71" s="144"/>
      <c r="T71" s="164" t="s">
        <v>20</v>
      </c>
      <c r="U71" s="144" t="s">
        <v>18</v>
      </c>
      <c r="V71" s="144" t="s">
        <v>20</v>
      </c>
      <c r="W71" s="432" t="s">
        <v>18</v>
      </c>
      <c r="X71" s="432" t="s">
        <v>18</v>
      </c>
      <c r="Y71" s="432" t="s">
        <v>18</v>
      </c>
      <c r="Z71" s="432" t="s">
        <v>18</v>
      </c>
      <c r="AA71" s="432" t="s">
        <v>18</v>
      </c>
      <c r="AB71" s="432" t="s">
        <v>18</v>
      </c>
      <c r="AC71" s="464">
        <v>45474</v>
      </c>
      <c r="AD71" s="464">
        <v>46934</v>
      </c>
      <c r="AE71" s="144"/>
      <c r="AF71" s="460"/>
      <c r="AG71" s="461"/>
      <c r="AH71" s="465"/>
      <c r="AI71" s="171" t="s">
        <v>18</v>
      </c>
      <c r="AJ71" s="171" t="s">
        <v>18</v>
      </c>
      <c r="AK71" s="462"/>
      <c r="AL71" s="144" t="s">
        <v>17</v>
      </c>
      <c r="AM71" s="90" t="s">
        <v>3193</v>
      </c>
      <c r="AN71" s="193"/>
      <c r="AO71" s="194">
        <f>SUMIF('TK 15661.Bản quyền phim '!F:F,'KK2. Series'!C71,'TK 15661.Bản quyền phim '!K:K)</f>
        <v>0</v>
      </c>
      <c r="AP71" s="194">
        <f>COUNTIF('242.BQ Phim VOD'!$C$5:$C$8,'KK2. Series'!AM71)</f>
        <v>1</v>
      </c>
      <c r="AQ71" s="194">
        <f>COUNTIF('TK 15666. Phim SX'!$C$6:$C$13,'KK2. Series'!AM71)</f>
        <v>0</v>
      </c>
      <c r="AR71" s="193">
        <f>COUNTIF('TK 15661.Bản quyền phim '!F:F,'KK2. Series'!AM71)</f>
        <v>0</v>
      </c>
      <c r="AS71" s="193"/>
      <c r="AT71" s="197">
        <f t="shared" si="2"/>
        <v>1</v>
      </c>
      <c r="AU71" s="193"/>
      <c r="AV71" s="193"/>
      <c r="AW71" s="193"/>
      <c r="AX71" s="193"/>
      <c r="AY71" s="193"/>
    </row>
    <row r="72" spans="1:51" ht="409.6" x14ac:dyDescent="0.25">
      <c r="A72" s="141">
        <v>66</v>
      </c>
      <c r="B72" s="142" t="s">
        <v>784</v>
      </c>
      <c r="C72" s="164" t="s">
        <v>783</v>
      </c>
      <c r="D72" s="144" t="s">
        <v>782</v>
      </c>
      <c r="E72" s="164" t="s">
        <v>405</v>
      </c>
      <c r="F72" s="144" t="s">
        <v>586</v>
      </c>
      <c r="G72" s="164" t="s">
        <v>703</v>
      </c>
      <c r="H72" s="431">
        <v>2023</v>
      </c>
      <c r="I72" s="164">
        <v>16</v>
      </c>
      <c r="J72" s="164">
        <v>45</v>
      </c>
      <c r="K72" s="459">
        <f t="shared" si="5"/>
        <v>12</v>
      </c>
      <c r="L72" s="459">
        <v>16</v>
      </c>
      <c r="M72" s="164" t="s">
        <v>781</v>
      </c>
      <c r="N72" s="164" t="s">
        <v>781</v>
      </c>
      <c r="O72" s="144"/>
      <c r="P72" s="144" t="s">
        <v>349</v>
      </c>
      <c r="Q72" s="144">
        <v>45474</v>
      </c>
      <c r="R72" s="144"/>
      <c r="S72" s="144"/>
      <c r="T72" s="164" t="s">
        <v>20</v>
      </c>
      <c r="U72" s="144" t="s">
        <v>18</v>
      </c>
      <c r="V72" s="144" t="s">
        <v>20</v>
      </c>
      <c r="W72" s="432" t="s">
        <v>18</v>
      </c>
      <c r="X72" s="432" t="s">
        <v>18</v>
      </c>
      <c r="Y72" s="432" t="s">
        <v>18</v>
      </c>
      <c r="Z72" s="432" t="s">
        <v>18</v>
      </c>
      <c r="AA72" s="432" t="s">
        <v>18</v>
      </c>
      <c r="AB72" s="432" t="s">
        <v>18</v>
      </c>
      <c r="AC72" s="464">
        <v>45474</v>
      </c>
      <c r="AD72" s="464">
        <v>46934</v>
      </c>
      <c r="AE72" s="144"/>
      <c r="AF72" s="460"/>
      <c r="AG72" s="461"/>
      <c r="AH72" s="465"/>
      <c r="AI72" s="171" t="s">
        <v>18</v>
      </c>
      <c r="AJ72" s="171" t="s">
        <v>18</v>
      </c>
      <c r="AK72" s="462"/>
      <c r="AL72" s="144" t="s">
        <v>17</v>
      </c>
      <c r="AM72" s="90" t="s">
        <v>3193</v>
      </c>
      <c r="AN72" s="193"/>
      <c r="AO72" s="194">
        <f>SUMIF('TK 15661.Bản quyền phim '!F:F,'KK2. Series'!C72,'TK 15661.Bản quyền phim '!K:K)</f>
        <v>0</v>
      </c>
      <c r="AP72" s="194">
        <f>COUNTIF('242.BQ Phim VOD'!$C$5:$C$8,'KK2. Series'!AM72)</f>
        <v>1</v>
      </c>
      <c r="AQ72" s="194">
        <f>COUNTIF('TK 15666. Phim SX'!$C$6:$C$13,'KK2. Series'!AM72)</f>
        <v>0</v>
      </c>
      <c r="AR72" s="193">
        <f>COUNTIF('TK 15661.Bản quyền phim '!F:F,'KK2. Series'!AM72)</f>
        <v>0</v>
      </c>
      <c r="AS72" s="193"/>
      <c r="AT72" s="197">
        <f t="shared" ref="AT72:AT135" si="6">SUM(AP72:AS72)</f>
        <v>1</v>
      </c>
      <c r="AU72" s="193"/>
      <c r="AV72" s="193"/>
      <c r="AW72" s="193"/>
      <c r="AX72" s="193"/>
      <c r="AY72" s="193"/>
    </row>
    <row r="73" spans="1:51" ht="184.8" x14ac:dyDescent="0.25">
      <c r="A73" s="141">
        <v>67</v>
      </c>
      <c r="B73" s="142" t="s">
        <v>780</v>
      </c>
      <c r="C73" s="164" t="s">
        <v>779</v>
      </c>
      <c r="D73" s="144" t="s">
        <v>778</v>
      </c>
      <c r="E73" s="164" t="s">
        <v>405</v>
      </c>
      <c r="F73" s="144" t="s">
        <v>586</v>
      </c>
      <c r="G73" s="164" t="s">
        <v>703</v>
      </c>
      <c r="H73" s="431">
        <v>2023</v>
      </c>
      <c r="I73" s="164">
        <v>14</v>
      </c>
      <c r="J73" s="164">
        <v>45</v>
      </c>
      <c r="K73" s="459">
        <f t="shared" si="5"/>
        <v>10.5</v>
      </c>
      <c r="L73" s="459">
        <v>14</v>
      </c>
      <c r="M73" s="164" t="s">
        <v>777</v>
      </c>
      <c r="N73" s="164" t="s">
        <v>777</v>
      </c>
      <c r="O73" s="144"/>
      <c r="P73" s="144" t="s">
        <v>349</v>
      </c>
      <c r="Q73" s="144">
        <v>45474</v>
      </c>
      <c r="R73" s="144"/>
      <c r="S73" s="144"/>
      <c r="T73" s="164" t="s">
        <v>20</v>
      </c>
      <c r="U73" s="144" t="s">
        <v>18</v>
      </c>
      <c r="V73" s="144" t="s">
        <v>20</v>
      </c>
      <c r="W73" s="432" t="s">
        <v>18</v>
      </c>
      <c r="X73" s="432" t="s">
        <v>18</v>
      </c>
      <c r="Y73" s="432" t="s">
        <v>18</v>
      </c>
      <c r="Z73" s="432" t="s">
        <v>18</v>
      </c>
      <c r="AA73" s="432" t="s">
        <v>18</v>
      </c>
      <c r="AB73" s="432" t="s">
        <v>18</v>
      </c>
      <c r="AC73" s="464">
        <v>45474</v>
      </c>
      <c r="AD73" s="464">
        <v>46934</v>
      </c>
      <c r="AE73" s="144"/>
      <c r="AF73" s="460"/>
      <c r="AG73" s="461"/>
      <c r="AH73" s="465"/>
      <c r="AI73" s="171" t="s">
        <v>18</v>
      </c>
      <c r="AJ73" s="171" t="s">
        <v>18</v>
      </c>
      <c r="AK73" s="462"/>
      <c r="AL73" s="144" t="s">
        <v>17</v>
      </c>
      <c r="AM73" s="90" t="s">
        <v>3193</v>
      </c>
      <c r="AN73" s="193"/>
      <c r="AO73" s="194">
        <f>SUMIF('TK 15661.Bản quyền phim '!F:F,'KK2. Series'!C73,'TK 15661.Bản quyền phim '!K:K)</f>
        <v>0</v>
      </c>
      <c r="AP73" s="194">
        <f>COUNTIF('242.BQ Phim VOD'!$C$5:$C$8,'KK2. Series'!AM73)</f>
        <v>1</v>
      </c>
      <c r="AQ73" s="194">
        <f>COUNTIF('TK 15666. Phim SX'!$C$6:$C$13,'KK2. Series'!AM73)</f>
        <v>0</v>
      </c>
      <c r="AR73" s="193">
        <f>COUNTIF('TK 15661.Bản quyền phim '!F:F,'KK2. Series'!AM73)</f>
        <v>0</v>
      </c>
      <c r="AS73" s="193"/>
      <c r="AT73" s="197">
        <f t="shared" si="6"/>
        <v>1</v>
      </c>
      <c r="AU73" s="193"/>
      <c r="AV73" s="193"/>
      <c r="AW73" s="193"/>
      <c r="AX73" s="193"/>
      <c r="AY73" s="193"/>
    </row>
    <row r="74" spans="1:51" ht="79.2" x14ac:dyDescent="0.25">
      <c r="A74" s="141">
        <v>68</v>
      </c>
      <c r="B74" s="142" t="s">
        <v>776</v>
      </c>
      <c r="C74" s="164" t="s">
        <v>775</v>
      </c>
      <c r="D74" s="144" t="s">
        <v>774</v>
      </c>
      <c r="E74" s="164" t="s">
        <v>405</v>
      </c>
      <c r="F74" s="144" t="s">
        <v>586</v>
      </c>
      <c r="G74" s="164" t="s">
        <v>703</v>
      </c>
      <c r="H74" s="431">
        <v>2023</v>
      </c>
      <c r="I74" s="164">
        <v>6</v>
      </c>
      <c r="J74" s="164">
        <v>45</v>
      </c>
      <c r="K74" s="459">
        <f t="shared" si="5"/>
        <v>4.5</v>
      </c>
      <c r="L74" s="459">
        <v>6</v>
      </c>
      <c r="M74" s="164" t="s">
        <v>773</v>
      </c>
      <c r="N74" s="164" t="s">
        <v>773</v>
      </c>
      <c r="O74" s="144"/>
      <c r="P74" s="144" t="s">
        <v>349</v>
      </c>
      <c r="Q74" s="144">
        <v>45474</v>
      </c>
      <c r="R74" s="144"/>
      <c r="S74" s="144"/>
      <c r="T74" s="164" t="s">
        <v>20</v>
      </c>
      <c r="U74" s="144" t="s">
        <v>18</v>
      </c>
      <c r="V74" s="144" t="s">
        <v>20</v>
      </c>
      <c r="W74" s="432" t="s">
        <v>18</v>
      </c>
      <c r="X74" s="432" t="s">
        <v>18</v>
      </c>
      <c r="Y74" s="432" t="s">
        <v>18</v>
      </c>
      <c r="Z74" s="432" t="s">
        <v>18</v>
      </c>
      <c r="AA74" s="432" t="s">
        <v>18</v>
      </c>
      <c r="AB74" s="432" t="s">
        <v>18</v>
      </c>
      <c r="AC74" s="464">
        <v>45474</v>
      </c>
      <c r="AD74" s="464">
        <v>46934</v>
      </c>
      <c r="AE74" s="144"/>
      <c r="AF74" s="460"/>
      <c r="AG74" s="461"/>
      <c r="AH74" s="465"/>
      <c r="AI74" s="171" t="s">
        <v>18</v>
      </c>
      <c r="AJ74" s="171" t="s">
        <v>18</v>
      </c>
      <c r="AK74" s="462"/>
      <c r="AL74" s="144" t="s">
        <v>17</v>
      </c>
      <c r="AM74" s="90" t="s">
        <v>3193</v>
      </c>
      <c r="AN74" s="193"/>
      <c r="AO74" s="194">
        <f>SUMIF('TK 15661.Bản quyền phim '!F:F,'KK2. Series'!C74,'TK 15661.Bản quyền phim '!K:K)</f>
        <v>0</v>
      </c>
      <c r="AP74" s="194">
        <f>COUNTIF('242.BQ Phim VOD'!$C$5:$C$8,'KK2. Series'!AM74)</f>
        <v>1</v>
      </c>
      <c r="AQ74" s="194">
        <f>COUNTIF('TK 15666. Phim SX'!$C$6:$C$13,'KK2. Series'!AM74)</f>
        <v>0</v>
      </c>
      <c r="AR74" s="193">
        <f>COUNTIF('TK 15661.Bản quyền phim '!F:F,'KK2. Series'!AM74)</f>
        <v>0</v>
      </c>
      <c r="AS74" s="193"/>
      <c r="AT74" s="197">
        <f t="shared" si="6"/>
        <v>1</v>
      </c>
      <c r="AU74" s="193"/>
      <c r="AV74" s="193"/>
      <c r="AW74" s="193"/>
      <c r="AX74" s="193"/>
      <c r="AY74" s="193"/>
    </row>
    <row r="75" spans="1:51" ht="171.6" x14ac:dyDescent="0.25">
      <c r="A75" s="141">
        <v>69</v>
      </c>
      <c r="B75" s="142" t="s">
        <v>772</v>
      </c>
      <c r="C75" s="164" t="s">
        <v>771</v>
      </c>
      <c r="D75" s="144" t="s">
        <v>770</v>
      </c>
      <c r="E75" s="164" t="s">
        <v>405</v>
      </c>
      <c r="F75" s="144" t="s">
        <v>586</v>
      </c>
      <c r="G75" s="164" t="s">
        <v>755</v>
      </c>
      <c r="H75" s="431">
        <v>2019</v>
      </c>
      <c r="I75" s="164">
        <v>13</v>
      </c>
      <c r="J75" s="164">
        <v>45</v>
      </c>
      <c r="K75" s="459">
        <f t="shared" si="5"/>
        <v>9.75</v>
      </c>
      <c r="L75" s="459">
        <v>13</v>
      </c>
      <c r="M75" s="164" t="s">
        <v>754</v>
      </c>
      <c r="N75" s="164" t="s">
        <v>754</v>
      </c>
      <c r="O75" s="144"/>
      <c r="P75" s="144" t="s">
        <v>349</v>
      </c>
      <c r="Q75" s="144">
        <v>45474</v>
      </c>
      <c r="R75" s="144"/>
      <c r="S75" s="144"/>
      <c r="T75" s="164" t="s">
        <v>20</v>
      </c>
      <c r="U75" s="144" t="s">
        <v>18</v>
      </c>
      <c r="V75" s="144" t="s">
        <v>20</v>
      </c>
      <c r="W75" s="432" t="s">
        <v>18</v>
      </c>
      <c r="X75" s="432" t="s">
        <v>18</v>
      </c>
      <c r="Y75" s="432" t="s">
        <v>18</v>
      </c>
      <c r="Z75" s="432" t="s">
        <v>18</v>
      </c>
      <c r="AA75" s="432" t="s">
        <v>18</v>
      </c>
      <c r="AB75" s="432" t="s">
        <v>18</v>
      </c>
      <c r="AC75" s="464">
        <v>45474</v>
      </c>
      <c r="AD75" s="464">
        <v>46934</v>
      </c>
      <c r="AE75" s="144"/>
      <c r="AF75" s="460"/>
      <c r="AG75" s="461"/>
      <c r="AH75" s="465"/>
      <c r="AI75" s="171" t="s">
        <v>18</v>
      </c>
      <c r="AJ75" s="171" t="s">
        <v>18</v>
      </c>
      <c r="AK75" s="462"/>
      <c r="AL75" s="144" t="s">
        <v>17</v>
      </c>
      <c r="AM75" s="90" t="s">
        <v>3193</v>
      </c>
      <c r="AN75" s="193"/>
      <c r="AO75" s="194">
        <f>SUMIF('TK 15661.Bản quyền phim '!F:F,'KK2. Series'!C75,'TK 15661.Bản quyền phim '!K:K)</f>
        <v>0</v>
      </c>
      <c r="AP75" s="194">
        <f>COUNTIF('242.BQ Phim VOD'!$C$5:$C$8,'KK2. Series'!AM75)</f>
        <v>1</v>
      </c>
      <c r="AQ75" s="194">
        <f>COUNTIF('TK 15666. Phim SX'!$C$6:$C$13,'KK2. Series'!AM75)</f>
        <v>0</v>
      </c>
      <c r="AR75" s="193">
        <f>COUNTIF('TK 15661.Bản quyền phim '!F:F,'KK2. Series'!AM75)</f>
        <v>0</v>
      </c>
      <c r="AS75" s="193"/>
      <c r="AT75" s="197">
        <f t="shared" si="6"/>
        <v>1</v>
      </c>
      <c r="AU75" s="193"/>
      <c r="AV75" s="193"/>
      <c r="AW75" s="193"/>
      <c r="AX75" s="193"/>
      <c r="AY75" s="193"/>
    </row>
    <row r="76" spans="1:51" ht="132" x14ac:dyDescent="0.25">
      <c r="A76" s="141">
        <v>70</v>
      </c>
      <c r="B76" s="142" t="s">
        <v>769</v>
      </c>
      <c r="C76" s="164" t="s">
        <v>768</v>
      </c>
      <c r="D76" s="144" t="s">
        <v>767</v>
      </c>
      <c r="E76" s="164" t="s">
        <v>405</v>
      </c>
      <c r="F76" s="144" t="s">
        <v>586</v>
      </c>
      <c r="G76" s="164" t="s">
        <v>755</v>
      </c>
      <c r="H76" s="431">
        <v>2022</v>
      </c>
      <c r="I76" s="164">
        <v>10</v>
      </c>
      <c r="J76" s="164">
        <v>45</v>
      </c>
      <c r="K76" s="459">
        <f t="shared" si="5"/>
        <v>7.5</v>
      </c>
      <c r="L76" s="459">
        <v>10</v>
      </c>
      <c r="M76" s="164" t="s">
        <v>754</v>
      </c>
      <c r="N76" s="164" t="s">
        <v>754</v>
      </c>
      <c r="O76" s="144"/>
      <c r="P76" s="144" t="s">
        <v>349</v>
      </c>
      <c r="Q76" s="144">
        <v>45474</v>
      </c>
      <c r="R76" s="144"/>
      <c r="S76" s="144"/>
      <c r="T76" s="164" t="s">
        <v>20</v>
      </c>
      <c r="U76" s="144" t="s">
        <v>18</v>
      </c>
      <c r="V76" s="144" t="s">
        <v>20</v>
      </c>
      <c r="W76" s="432" t="s">
        <v>18</v>
      </c>
      <c r="X76" s="432" t="s">
        <v>18</v>
      </c>
      <c r="Y76" s="432" t="s">
        <v>18</v>
      </c>
      <c r="Z76" s="432" t="s">
        <v>18</v>
      </c>
      <c r="AA76" s="432" t="s">
        <v>18</v>
      </c>
      <c r="AB76" s="432" t="s">
        <v>18</v>
      </c>
      <c r="AC76" s="464">
        <v>45474</v>
      </c>
      <c r="AD76" s="464">
        <v>46934</v>
      </c>
      <c r="AE76" s="144"/>
      <c r="AF76" s="460"/>
      <c r="AG76" s="461"/>
      <c r="AH76" s="465"/>
      <c r="AI76" s="171" t="s">
        <v>18</v>
      </c>
      <c r="AJ76" s="171" t="s">
        <v>18</v>
      </c>
      <c r="AK76" s="462"/>
      <c r="AL76" s="144" t="s">
        <v>17</v>
      </c>
      <c r="AM76" s="90" t="s">
        <v>3193</v>
      </c>
      <c r="AN76" s="193"/>
      <c r="AO76" s="194">
        <f>SUMIF('TK 15661.Bản quyền phim '!F:F,'KK2. Series'!C76,'TK 15661.Bản quyền phim '!K:K)</f>
        <v>0</v>
      </c>
      <c r="AP76" s="194">
        <f>COUNTIF('242.BQ Phim VOD'!$C$5:$C$8,'KK2. Series'!AM76)</f>
        <v>1</v>
      </c>
      <c r="AQ76" s="194">
        <f>COUNTIF('TK 15666. Phim SX'!$C$6:$C$13,'KK2. Series'!AM76)</f>
        <v>0</v>
      </c>
      <c r="AR76" s="193">
        <f>COUNTIF('TK 15661.Bản quyền phim '!F:F,'KK2. Series'!AM76)</f>
        <v>0</v>
      </c>
      <c r="AS76" s="193"/>
      <c r="AT76" s="197">
        <f t="shared" si="6"/>
        <v>1</v>
      </c>
      <c r="AU76" s="193"/>
      <c r="AV76" s="193"/>
      <c r="AW76" s="193"/>
      <c r="AX76" s="193"/>
      <c r="AY76" s="193"/>
    </row>
    <row r="77" spans="1:51" ht="132" x14ac:dyDescent="0.25">
      <c r="A77" s="141">
        <v>71</v>
      </c>
      <c r="B77" s="142" t="s">
        <v>766</v>
      </c>
      <c r="C77" s="164" t="s">
        <v>765</v>
      </c>
      <c r="D77" s="144" t="s">
        <v>764</v>
      </c>
      <c r="E77" s="164" t="s">
        <v>405</v>
      </c>
      <c r="F77" s="144" t="s">
        <v>586</v>
      </c>
      <c r="G77" s="164" t="s">
        <v>755</v>
      </c>
      <c r="H77" s="431">
        <v>2022</v>
      </c>
      <c r="I77" s="164">
        <v>10</v>
      </c>
      <c r="J77" s="164">
        <v>45</v>
      </c>
      <c r="K77" s="459">
        <f t="shared" si="5"/>
        <v>7.5</v>
      </c>
      <c r="L77" s="459">
        <v>10</v>
      </c>
      <c r="M77" s="164" t="s">
        <v>763</v>
      </c>
      <c r="N77" s="164" t="s">
        <v>763</v>
      </c>
      <c r="O77" s="144"/>
      <c r="P77" s="144" t="s">
        <v>349</v>
      </c>
      <c r="Q77" s="144">
        <v>45474</v>
      </c>
      <c r="R77" s="144"/>
      <c r="S77" s="144"/>
      <c r="T77" s="164" t="s">
        <v>20</v>
      </c>
      <c r="U77" s="144" t="s">
        <v>18</v>
      </c>
      <c r="V77" s="144" t="s">
        <v>20</v>
      </c>
      <c r="W77" s="432" t="s">
        <v>18</v>
      </c>
      <c r="X77" s="432" t="s">
        <v>18</v>
      </c>
      <c r="Y77" s="432" t="s">
        <v>18</v>
      </c>
      <c r="Z77" s="432" t="s">
        <v>18</v>
      </c>
      <c r="AA77" s="432" t="s">
        <v>18</v>
      </c>
      <c r="AB77" s="432" t="s">
        <v>18</v>
      </c>
      <c r="AC77" s="464">
        <v>45474</v>
      </c>
      <c r="AD77" s="464">
        <v>46934</v>
      </c>
      <c r="AE77" s="144"/>
      <c r="AF77" s="460"/>
      <c r="AG77" s="461"/>
      <c r="AH77" s="465"/>
      <c r="AI77" s="171" t="s">
        <v>18</v>
      </c>
      <c r="AJ77" s="171" t="s">
        <v>18</v>
      </c>
      <c r="AK77" s="462"/>
      <c r="AL77" s="144" t="s">
        <v>17</v>
      </c>
      <c r="AM77" s="90" t="s">
        <v>3193</v>
      </c>
      <c r="AN77" s="193"/>
      <c r="AO77" s="194">
        <f>SUMIF('TK 15661.Bản quyền phim '!F:F,'KK2. Series'!C77,'TK 15661.Bản quyền phim '!K:K)</f>
        <v>0</v>
      </c>
      <c r="AP77" s="194">
        <f>COUNTIF('242.BQ Phim VOD'!$C$5:$C$8,'KK2. Series'!AM77)</f>
        <v>1</v>
      </c>
      <c r="AQ77" s="194">
        <f>COUNTIF('TK 15666. Phim SX'!$C$6:$C$13,'KK2. Series'!AM77)</f>
        <v>0</v>
      </c>
      <c r="AR77" s="193">
        <f>COUNTIF('TK 15661.Bản quyền phim '!F:F,'KK2. Series'!AM77)</f>
        <v>0</v>
      </c>
      <c r="AS77" s="193"/>
      <c r="AT77" s="197">
        <f t="shared" si="6"/>
        <v>1</v>
      </c>
      <c r="AU77" s="193"/>
      <c r="AV77" s="193"/>
      <c r="AW77" s="193"/>
      <c r="AX77" s="193"/>
      <c r="AY77" s="193"/>
    </row>
    <row r="78" spans="1:51" ht="132" x14ac:dyDescent="0.25">
      <c r="A78" s="141">
        <v>72</v>
      </c>
      <c r="B78" s="142" t="s">
        <v>762</v>
      </c>
      <c r="C78" s="164" t="s">
        <v>761</v>
      </c>
      <c r="D78" s="144" t="s">
        <v>760</v>
      </c>
      <c r="E78" s="164" t="s">
        <v>405</v>
      </c>
      <c r="F78" s="144" t="s">
        <v>586</v>
      </c>
      <c r="G78" s="164" t="s">
        <v>755</v>
      </c>
      <c r="H78" s="431">
        <v>2020</v>
      </c>
      <c r="I78" s="164">
        <v>10</v>
      </c>
      <c r="J78" s="164">
        <v>30</v>
      </c>
      <c r="K78" s="459">
        <f t="shared" si="5"/>
        <v>5</v>
      </c>
      <c r="L78" s="459">
        <v>10</v>
      </c>
      <c r="M78" s="164" t="s">
        <v>759</v>
      </c>
      <c r="N78" s="164" t="s">
        <v>759</v>
      </c>
      <c r="O78" s="144"/>
      <c r="P78" s="144" t="s">
        <v>349</v>
      </c>
      <c r="Q78" s="144">
        <v>45474</v>
      </c>
      <c r="R78" s="144"/>
      <c r="S78" s="144"/>
      <c r="T78" s="164" t="s">
        <v>20</v>
      </c>
      <c r="U78" s="144" t="s">
        <v>18</v>
      </c>
      <c r="V78" s="144" t="s">
        <v>20</v>
      </c>
      <c r="W78" s="432" t="s">
        <v>18</v>
      </c>
      <c r="X78" s="432" t="s">
        <v>18</v>
      </c>
      <c r="Y78" s="432" t="s">
        <v>18</v>
      </c>
      <c r="Z78" s="432" t="s">
        <v>18</v>
      </c>
      <c r="AA78" s="432" t="s">
        <v>18</v>
      </c>
      <c r="AB78" s="432" t="s">
        <v>18</v>
      </c>
      <c r="AC78" s="464">
        <v>45474</v>
      </c>
      <c r="AD78" s="464">
        <v>46934</v>
      </c>
      <c r="AE78" s="144"/>
      <c r="AF78" s="460"/>
      <c r="AG78" s="461"/>
      <c r="AH78" s="465"/>
      <c r="AI78" s="171" t="s">
        <v>18</v>
      </c>
      <c r="AJ78" s="171" t="s">
        <v>18</v>
      </c>
      <c r="AK78" s="462"/>
      <c r="AL78" s="144" t="s">
        <v>17</v>
      </c>
      <c r="AM78" s="90" t="s">
        <v>3193</v>
      </c>
      <c r="AN78" s="193"/>
      <c r="AO78" s="194">
        <f>SUMIF('TK 15661.Bản quyền phim '!F:F,'KK2. Series'!C78,'TK 15661.Bản quyền phim '!K:K)</f>
        <v>0</v>
      </c>
      <c r="AP78" s="194">
        <f>COUNTIF('242.BQ Phim VOD'!$C$5:$C$8,'KK2. Series'!AM78)</f>
        <v>1</v>
      </c>
      <c r="AQ78" s="194">
        <f>COUNTIF('TK 15666. Phim SX'!$C$6:$C$13,'KK2. Series'!AM78)</f>
        <v>0</v>
      </c>
      <c r="AR78" s="193">
        <f>COUNTIF('TK 15661.Bản quyền phim '!F:F,'KK2. Series'!AM78)</f>
        <v>0</v>
      </c>
      <c r="AS78" s="193"/>
      <c r="AT78" s="197">
        <f t="shared" si="6"/>
        <v>1</v>
      </c>
      <c r="AU78" s="193"/>
      <c r="AV78" s="193"/>
      <c r="AW78" s="193"/>
      <c r="AX78" s="193"/>
      <c r="AY78" s="193"/>
    </row>
    <row r="79" spans="1:51" ht="171.6" x14ac:dyDescent="0.25">
      <c r="A79" s="141">
        <v>73</v>
      </c>
      <c r="B79" s="142" t="s">
        <v>758</v>
      </c>
      <c r="C79" s="164" t="s">
        <v>757</v>
      </c>
      <c r="D79" s="144" t="s">
        <v>756</v>
      </c>
      <c r="E79" s="164" t="s">
        <v>405</v>
      </c>
      <c r="F79" s="144" t="s">
        <v>586</v>
      </c>
      <c r="G79" s="164" t="s">
        <v>755</v>
      </c>
      <c r="H79" s="431">
        <v>2017</v>
      </c>
      <c r="I79" s="164">
        <v>13</v>
      </c>
      <c r="J79" s="164">
        <v>30</v>
      </c>
      <c r="K79" s="459">
        <f t="shared" si="5"/>
        <v>6.5</v>
      </c>
      <c r="L79" s="459">
        <v>13</v>
      </c>
      <c r="M79" s="164" t="s">
        <v>754</v>
      </c>
      <c r="N79" s="164" t="s">
        <v>754</v>
      </c>
      <c r="O79" s="144"/>
      <c r="P79" s="144" t="s">
        <v>349</v>
      </c>
      <c r="Q79" s="144">
        <v>45474</v>
      </c>
      <c r="R79" s="144"/>
      <c r="S79" s="144"/>
      <c r="T79" s="164" t="s">
        <v>20</v>
      </c>
      <c r="U79" s="144" t="s">
        <v>18</v>
      </c>
      <c r="V79" s="144" t="s">
        <v>20</v>
      </c>
      <c r="W79" s="432" t="s">
        <v>18</v>
      </c>
      <c r="X79" s="432" t="s">
        <v>18</v>
      </c>
      <c r="Y79" s="432" t="s">
        <v>18</v>
      </c>
      <c r="Z79" s="432" t="s">
        <v>18</v>
      </c>
      <c r="AA79" s="432" t="s">
        <v>18</v>
      </c>
      <c r="AB79" s="432" t="s">
        <v>18</v>
      </c>
      <c r="AC79" s="464">
        <v>45474</v>
      </c>
      <c r="AD79" s="464">
        <v>46934</v>
      </c>
      <c r="AE79" s="144"/>
      <c r="AF79" s="460"/>
      <c r="AG79" s="461"/>
      <c r="AH79" s="465"/>
      <c r="AI79" s="171" t="s">
        <v>18</v>
      </c>
      <c r="AJ79" s="171" t="s">
        <v>18</v>
      </c>
      <c r="AK79" s="462"/>
      <c r="AL79" s="144" t="s">
        <v>17</v>
      </c>
      <c r="AM79" s="90" t="s">
        <v>3193</v>
      </c>
      <c r="AN79" s="193"/>
      <c r="AO79" s="194">
        <f>SUMIF('TK 15661.Bản quyền phim '!F:F,'KK2. Series'!C79,'TK 15661.Bản quyền phim '!K:K)</f>
        <v>0</v>
      </c>
      <c r="AP79" s="194">
        <f>COUNTIF('242.BQ Phim VOD'!$C$5:$C$8,'KK2. Series'!AM79)</f>
        <v>1</v>
      </c>
      <c r="AQ79" s="194">
        <f>COUNTIF('TK 15666. Phim SX'!$C$6:$C$13,'KK2. Series'!AM79)</f>
        <v>0</v>
      </c>
      <c r="AR79" s="193">
        <f>COUNTIF('TK 15661.Bản quyền phim '!F:F,'KK2. Series'!AM79)</f>
        <v>0</v>
      </c>
      <c r="AS79" s="193"/>
      <c r="AT79" s="197">
        <f t="shared" si="6"/>
        <v>1</v>
      </c>
      <c r="AU79" s="193"/>
      <c r="AV79" s="193"/>
      <c r="AW79" s="193"/>
      <c r="AX79" s="193"/>
      <c r="AY79" s="193"/>
    </row>
    <row r="80" spans="1:51" ht="211.2" x14ac:dyDescent="0.25">
      <c r="A80" s="141">
        <v>74</v>
      </c>
      <c r="B80" s="142" t="s">
        <v>753</v>
      </c>
      <c r="C80" s="164" t="s">
        <v>752</v>
      </c>
      <c r="D80" s="144" t="s">
        <v>751</v>
      </c>
      <c r="E80" s="164" t="s">
        <v>198</v>
      </c>
      <c r="F80" s="142" t="s">
        <v>197</v>
      </c>
      <c r="G80" s="164" t="s">
        <v>196</v>
      </c>
      <c r="H80" s="164">
        <v>2020</v>
      </c>
      <c r="I80" s="164">
        <v>8</v>
      </c>
      <c r="J80" s="164">
        <v>60</v>
      </c>
      <c r="K80" s="459">
        <f t="shared" si="5"/>
        <v>8</v>
      </c>
      <c r="L80" s="459">
        <v>8</v>
      </c>
      <c r="M80" s="164" t="s">
        <v>750</v>
      </c>
      <c r="N80" s="164" t="s">
        <v>708</v>
      </c>
      <c r="O80" s="464">
        <v>45383</v>
      </c>
      <c r="P80" s="464">
        <v>46112</v>
      </c>
      <c r="Q80" s="144">
        <v>45397</v>
      </c>
      <c r="R80" s="144" t="s">
        <v>584</v>
      </c>
      <c r="S80" s="164" t="s">
        <v>749</v>
      </c>
      <c r="T80" s="432" t="s">
        <v>20</v>
      </c>
      <c r="U80" s="144" t="s">
        <v>18</v>
      </c>
      <c r="V80" s="432" t="s">
        <v>18</v>
      </c>
      <c r="W80" s="432" t="s">
        <v>18</v>
      </c>
      <c r="X80" s="144" t="s">
        <v>20</v>
      </c>
      <c r="Y80" s="144" t="s">
        <v>20</v>
      </c>
      <c r="Z80" s="144" t="s">
        <v>20</v>
      </c>
      <c r="AA80" s="144" t="s">
        <v>20</v>
      </c>
      <c r="AB80" s="144" t="s">
        <v>18</v>
      </c>
      <c r="AC80" s="464">
        <v>45383</v>
      </c>
      <c r="AD80" s="464">
        <v>46112</v>
      </c>
      <c r="AE80" s="164">
        <v>6</v>
      </c>
      <c r="AF80" s="460">
        <v>1</v>
      </c>
      <c r="AG80" s="461">
        <v>45402</v>
      </c>
      <c r="AH80" s="465"/>
      <c r="AI80" s="171" t="s">
        <v>18</v>
      </c>
      <c r="AJ80" s="171" t="s">
        <v>18</v>
      </c>
      <c r="AK80" s="462"/>
      <c r="AL80" s="144" t="s">
        <v>17</v>
      </c>
      <c r="AM80" s="193" t="s">
        <v>748</v>
      </c>
      <c r="AN80" s="193"/>
      <c r="AO80" s="194">
        <f>SUMIF('TK 15661.Bản quyền phim '!F:F,'KK2. Series'!C80,'TK 15661.Bản quyền phim '!K:K)</f>
        <v>0</v>
      </c>
      <c r="AP80" s="194">
        <f>COUNTIF('242.BQ Phim VOD'!$C$5:$C$8,'KK2. Series'!AM80)</f>
        <v>0</v>
      </c>
      <c r="AQ80" s="194">
        <f>COUNTIF('TK 15666. Phim SX'!$C$6:$C$13,'KK2. Series'!AM80)</f>
        <v>0</v>
      </c>
      <c r="AR80" s="193">
        <f>COUNTIF('TK 15661.Bản quyền phim '!F:F,'KK2. Series'!AM80)</f>
        <v>1</v>
      </c>
      <c r="AS80" s="193"/>
      <c r="AT80" s="197">
        <f t="shared" si="6"/>
        <v>1</v>
      </c>
      <c r="AU80" s="193"/>
      <c r="AV80" s="193"/>
      <c r="AW80" s="193"/>
      <c r="AX80" s="193"/>
      <c r="AY80" s="193"/>
    </row>
    <row r="81" spans="1:51" ht="409.6" x14ac:dyDescent="0.25">
      <c r="A81" s="141">
        <v>75</v>
      </c>
      <c r="B81" s="142" t="s">
        <v>747</v>
      </c>
      <c r="C81" s="164" t="s">
        <v>746</v>
      </c>
      <c r="D81" s="164" t="s">
        <v>745</v>
      </c>
      <c r="E81" s="164" t="s">
        <v>570</v>
      </c>
      <c r="F81" s="144" t="s">
        <v>744</v>
      </c>
      <c r="G81" s="164" t="s">
        <v>178</v>
      </c>
      <c r="H81" s="164">
        <v>2023</v>
      </c>
      <c r="I81" s="164">
        <v>33</v>
      </c>
      <c r="J81" s="164">
        <v>45</v>
      </c>
      <c r="K81" s="459">
        <f t="shared" si="5"/>
        <v>24.75</v>
      </c>
      <c r="L81" s="459">
        <f>I81</f>
        <v>33</v>
      </c>
      <c r="M81" s="164" t="s">
        <v>743</v>
      </c>
      <c r="N81" s="144" t="s">
        <v>436</v>
      </c>
      <c r="O81" s="174"/>
      <c r="P81" s="144" t="s">
        <v>349</v>
      </c>
      <c r="Q81" s="144">
        <v>45284</v>
      </c>
      <c r="R81" s="144" t="s">
        <v>349</v>
      </c>
      <c r="S81" s="144"/>
      <c r="T81" s="144" t="s">
        <v>20</v>
      </c>
      <c r="U81" s="144" t="s">
        <v>18</v>
      </c>
      <c r="V81" s="144" t="s">
        <v>20</v>
      </c>
      <c r="W81" s="144" t="s">
        <v>18</v>
      </c>
      <c r="X81" s="144" t="s">
        <v>18</v>
      </c>
      <c r="Y81" s="144" t="s">
        <v>18</v>
      </c>
      <c r="Z81" s="144" t="s">
        <v>18</v>
      </c>
      <c r="AA81" s="144" t="s">
        <v>18</v>
      </c>
      <c r="AB81" s="144" t="s">
        <v>18</v>
      </c>
      <c r="AC81" s="464">
        <v>45260</v>
      </c>
      <c r="AD81" s="464">
        <v>46355</v>
      </c>
      <c r="AE81" s="164"/>
      <c r="AF81" s="460"/>
      <c r="AG81" s="461"/>
      <c r="AH81" s="465"/>
      <c r="AI81" s="171" t="s">
        <v>18</v>
      </c>
      <c r="AJ81" s="171" t="s">
        <v>18</v>
      </c>
      <c r="AK81" s="462" t="s">
        <v>402</v>
      </c>
      <c r="AL81" s="144" t="s">
        <v>17</v>
      </c>
      <c r="AM81" s="90" t="s">
        <v>3140</v>
      </c>
      <c r="AN81" s="193"/>
      <c r="AO81" s="194">
        <f>SUMIF('TK 15661.Bản quyền phim '!F:F,'KK2. Series'!C81,'TK 15661.Bản quyền phim '!K:K)</f>
        <v>0</v>
      </c>
      <c r="AP81" s="194">
        <f>COUNTIF('242.BQ Phim VOD'!$C$5:$C$8,'KK2. Series'!AM81)</f>
        <v>1</v>
      </c>
      <c r="AQ81" s="194">
        <f>COUNTIF('TK 15666. Phim SX'!$C$6:$C$13,'KK2. Series'!AM81)</f>
        <v>0</v>
      </c>
      <c r="AR81" s="193">
        <f>COUNTIF('TK 15661.Bản quyền phim '!F:F,'KK2. Series'!AM81)</f>
        <v>0</v>
      </c>
      <c r="AS81" s="193"/>
      <c r="AT81" s="197">
        <f t="shared" si="6"/>
        <v>1</v>
      </c>
      <c r="AU81" s="193"/>
      <c r="AV81" s="193"/>
      <c r="AW81" s="193"/>
      <c r="AX81" s="193"/>
      <c r="AY81" s="193"/>
    </row>
    <row r="82" spans="1:51" ht="409.6" x14ac:dyDescent="0.25">
      <c r="A82" s="141">
        <v>76</v>
      </c>
      <c r="B82" s="142" t="s">
        <v>742</v>
      </c>
      <c r="C82" s="164" t="s">
        <v>741</v>
      </c>
      <c r="D82" s="144" t="s">
        <v>740</v>
      </c>
      <c r="E82" s="432" t="s">
        <v>405</v>
      </c>
      <c r="F82" s="144" t="s">
        <v>586</v>
      </c>
      <c r="G82" s="432" t="s">
        <v>133</v>
      </c>
      <c r="H82" s="432">
        <v>2024</v>
      </c>
      <c r="I82" s="432">
        <v>12</v>
      </c>
      <c r="J82" s="432">
        <v>70</v>
      </c>
      <c r="K82" s="463">
        <f t="shared" si="5"/>
        <v>14</v>
      </c>
      <c r="L82" s="459">
        <v>18</v>
      </c>
      <c r="M82" s="432" t="s">
        <v>739</v>
      </c>
      <c r="N82" s="144" t="s">
        <v>350</v>
      </c>
      <c r="O82" s="466">
        <v>45322</v>
      </c>
      <c r="P82" s="466">
        <v>46782</v>
      </c>
      <c r="Q82" s="466">
        <v>45322</v>
      </c>
      <c r="R82" s="144" t="s">
        <v>553</v>
      </c>
      <c r="S82" s="467">
        <v>48</v>
      </c>
      <c r="T82" s="432" t="s">
        <v>18</v>
      </c>
      <c r="U82" s="144" t="s">
        <v>18</v>
      </c>
      <c r="V82" s="432" t="s">
        <v>18</v>
      </c>
      <c r="W82" s="432" t="s">
        <v>18</v>
      </c>
      <c r="X82" s="432" t="s">
        <v>18</v>
      </c>
      <c r="Y82" s="432" t="s">
        <v>18</v>
      </c>
      <c r="Z82" s="432" t="s">
        <v>18</v>
      </c>
      <c r="AA82" s="432" t="s">
        <v>18</v>
      </c>
      <c r="AB82" s="432" t="s">
        <v>18</v>
      </c>
      <c r="AC82" s="466">
        <v>45322</v>
      </c>
      <c r="AD82" s="466">
        <v>46782</v>
      </c>
      <c r="AE82" s="432" t="s">
        <v>733</v>
      </c>
      <c r="AF82" s="460"/>
      <c r="AG82" s="461"/>
      <c r="AH82" s="465"/>
      <c r="AI82" s="171" t="s">
        <v>18</v>
      </c>
      <c r="AJ82" s="171" t="s">
        <v>18</v>
      </c>
      <c r="AK82" s="462" t="s">
        <v>402</v>
      </c>
      <c r="AL82" s="144" t="s">
        <v>17</v>
      </c>
      <c r="AM82" s="193" t="s">
        <v>738</v>
      </c>
      <c r="AN82" s="193"/>
      <c r="AO82" s="194">
        <f>SUMIF('TK 15661.Bản quyền phim '!F:F,'KK2. Series'!C82,'TK 15661.Bản quyền phim '!K:K)</f>
        <v>0</v>
      </c>
      <c r="AP82" s="194">
        <f>COUNTIF('242.BQ Phim VOD'!$C$5:$C$8,'KK2. Series'!AM82)</f>
        <v>0</v>
      </c>
      <c r="AQ82" s="194">
        <f>COUNTIF('TK 15666. Phim SX'!$C$6:$C$13,'KK2. Series'!AM82)</f>
        <v>0</v>
      </c>
      <c r="AR82" s="193">
        <f>COUNTIF('TK 15661.Bản quyền phim '!F:F,'KK2. Series'!AM82)</f>
        <v>1</v>
      </c>
      <c r="AS82" s="193"/>
      <c r="AT82" s="197">
        <f t="shared" si="6"/>
        <v>1</v>
      </c>
      <c r="AU82" s="193"/>
      <c r="AV82" s="193"/>
      <c r="AW82" s="193"/>
      <c r="AX82" s="193"/>
      <c r="AY82" s="193"/>
    </row>
    <row r="83" spans="1:51" ht="409.6" x14ac:dyDescent="0.25">
      <c r="A83" s="141">
        <v>77</v>
      </c>
      <c r="B83" s="142" t="s">
        <v>737</v>
      </c>
      <c r="C83" s="164" t="s">
        <v>736</v>
      </c>
      <c r="D83" s="144" t="s">
        <v>735</v>
      </c>
      <c r="E83" s="432" t="s">
        <v>405</v>
      </c>
      <c r="F83" s="144" t="s">
        <v>586</v>
      </c>
      <c r="G83" s="432" t="s">
        <v>133</v>
      </c>
      <c r="H83" s="432">
        <v>2024</v>
      </c>
      <c r="I83" s="432">
        <v>16</v>
      </c>
      <c r="J83" s="432">
        <v>70</v>
      </c>
      <c r="K83" s="463">
        <f t="shared" si="5"/>
        <v>18.666666666666668</v>
      </c>
      <c r="L83" s="459">
        <v>24</v>
      </c>
      <c r="M83" s="432" t="s">
        <v>734</v>
      </c>
      <c r="N83" s="144" t="s">
        <v>394</v>
      </c>
      <c r="O83" s="469">
        <v>45380</v>
      </c>
      <c r="P83" s="470">
        <v>46840</v>
      </c>
      <c r="Q83" s="466">
        <v>45380</v>
      </c>
      <c r="R83" s="144" t="s">
        <v>584</v>
      </c>
      <c r="S83" s="467">
        <v>48</v>
      </c>
      <c r="T83" s="432" t="s">
        <v>18</v>
      </c>
      <c r="U83" s="144" t="s">
        <v>18</v>
      </c>
      <c r="V83" s="432" t="s">
        <v>18</v>
      </c>
      <c r="W83" s="432" t="s">
        <v>18</v>
      </c>
      <c r="X83" s="432" t="s">
        <v>18</v>
      </c>
      <c r="Y83" s="432" t="s">
        <v>18</v>
      </c>
      <c r="Z83" s="432" t="s">
        <v>18</v>
      </c>
      <c r="AA83" s="432" t="s">
        <v>18</v>
      </c>
      <c r="AB83" s="432" t="s">
        <v>18</v>
      </c>
      <c r="AC83" s="469">
        <v>45380</v>
      </c>
      <c r="AD83" s="470">
        <v>46840</v>
      </c>
      <c r="AE83" s="471" t="s">
        <v>733</v>
      </c>
      <c r="AF83" s="460"/>
      <c r="AG83" s="461"/>
      <c r="AH83" s="465"/>
      <c r="AI83" s="171" t="s">
        <v>18</v>
      </c>
      <c r="AJ83" s="171" t="s">
        <v>18</v>
      </c>
      <c r="AK83" s="462" t="s">
        <v>402</v>
      </c>
      <c r="AL83" s="144" t="s">
        <v>17</v>
      </c>
      <c r="AM83" s="196" t="s">
        <v>732</v>
      </c>
      <c r="AN83" s="193"/>
      <c r="AO83" s="194">
        <f>SUMIF('TK 15661.Bản quyền phim '!F:F,'KK2. Series'!C83,'TK 15661.Bản quyền phim '!K:K)</f>
        <v>3524261160</v>
      </c>
      <c r="AP83" s="194">
        <f>COUNTIF('242.BQ Phim VOD'!$C$5:$C$8,'KK2. Series'!AM83)</f>
        <v>0</v>
      </c>
      <c r="AQ83" s="194">
        <f>COUNTIF('TK 15666. Phim SX'!$C$6:$C$13,'KK2. Series'!AM83)</f>
        <v>0</v>
      </c>
      <c r="AR83" s="193">
        <f>COUNTIF('TK 15661.Bản quyền phim '!F:F,'KK2. Series'!AM83)</f>
        <v>1</v>
      </c>
      <c r="AS83" s="193"/>
      <c r="AT83" s="197">
        <f t="shared" si="6"/>
        <v>1</v>
      </c>
      <c r="AU83" s="193"/>
      <c r="AV83" s="193"/>
      <c r="AW83" s="193"/>
      <c r="AX83" s="193"/>
      <c r="AY83" s="193"/>
    </row>
    <row r="84" spans="1:51" ht="409.6" x14ac:dyDescent="0.25">
      <c r="A84" s="141">
        <v>78</v>
      </c>
      <c r="B84" s="142" t="s">
        <v>731</v>
      </c>
      <c r="C84" s="164" t="s">
        <v>730</v>
      </c>
      <c r="D84" s="144" t="s">
        <v>729</v>
      </c>
      <c r="E84" s="164" t="s">
        <v>438</v>
      </c>
      <c r="F84" s="144" t="s">
        <v>728</v>
      </c>
      <c r="G84" s="164" t="s">
        <v>178</v>
      </c>
      <c r="H84" s="164">
        <v>2023</v>
      </c>
      <c r="I84" s="164">
        <v>40</v>
      </c>
      <c r="J84" s="164">
        <v>45</v>
      </c>
      <c r="K84" s="459">
        <f t="shared" si="5"/>
        <v>30</v>
      </c>
      <c r="L84" s="459">
        <v>40</v>
      </c>
      <c r="M84" s="164" t="s">
        <v>727</v>
      </c>
      <c r="N84" s="164" t="s">
        <v>727</v>
      </c>
      <c r="O84" s="144"/>
      <c r="P84" s="144" t="s">
        <v>349</v>
      </c>
      <c r="Q84" s="144">
        <v>45505</v>
      </c>
      <c r="R84" s="144"/>
      <c r="S84" s="144"/>
      <c r="T84" s="164" t="s">
        <v>20</v>
      </c>
      <c r="U84" s="144" t="s">
        <v>18</v>
      </c>
      <c r="V84" s="144" t="s">
        <v>20</v>
      </c>
      <c r="W84" s="432" t="s">
        <v>18</v>
      </c>
      <c r="X84" s="432" t="s">
        <v>18</v>
      </c>
      <c r="Y84" s="432" t="s">
        <v>18</v>
      </c>
      <c r="Z84" s="432" t="s">
        <v>18</v>
      </c>
      <c r="AA84" s="432" t="s">
        <v>18</v>
      </c>
      <c r="AB84" s="432" t="s">
        <v>18</v>
      </c>
      <c r="AC84" s="464">
        <v>45505</v>
      </c>
      <c r="AD84" s="464">
        <v>46965</v>
      </c>
      <c r="AE84" s="164" t="s">
        <v>218</v>
      </c>
      <c r="AF84" s="460"/>
      <c r="AG84" s="461"/>
      <c r="AH84" s="465"/>
      <c r="AI84" s="171" t="s">
        <v>18</v>
      </c>
      <c r="AJ84" s="171" t="s">
        <v>18</v>
      </c>
      <c r="AK84" s="462"/>
      <c r="AL84" s="144" t="s">
        <v>17</v>
      </c>
      <c r="AM84" s="90" t="s">
        <v>3195</v>
      </c>
      <c r="AN84" s="193"/>
      <c r="AO84" s="194">
        <f>SUMIF('TK 15661.Bản quyền phim '!F:F,'KK2. Series'!C84,'TK 15661.Bản quyền phim '!K:K)</f>
        <v>0</v>
      </c>
      <c r="AP84" s="194">
        <f>COUNTIF('242.BQ Phim VOD'!$C$5:$C$8,'KK2. Series'!AM84)</f>
        <v>1</v>
      </c>
      <c r="AQ84" s="194">
        <f>COUNTIF('TK 15666. Phim SX'!$C$6:$C$13,'KK2. Series'!AM84)</f>
        <v>0</v>
      </c>
      <c r="AR84" s="193">
        <f>COUNTIF('TK 15661.Bản quyền phim '!F:F,'KK2. Series'!AM84)</f>
        <v>0</v>
      </c>
      <c r="AS84" s="193"/>
      <c r="AT84" s="197">
        <f t="shared" si="6"/>
        <v>1</v>
      </c>
      <c r="AU84" s="193"/>
      <c r="AV84" s="193"/>
      <c r="AW84" s="193"/>
      <c r="AX84" s="193"/>
      <c r="AY84" s="193"/>
    </row>
    <row r="85" spans="1:51" ht="409.6" x14ac:dyDescent="0.25">
      <c r="A85" s="141">
        <v>79</v>
      </c>
      <c r="B85" s="142" t="s">
        <v>726</v>
      </c>
      <c r="C85" s="164" t="s">
        <v>720</v>
      </c>
      <c r="D85" s="144" t="s">
        <v>725</v>
      </c>
      <c r="E85" s="164" t="s">
        <v>724</v>
      </c>
      <c r="F85" s="144" t="s">
        <v>723</v>
      </c>
      <c r="G85" s="164" t="s">
        <v>178</v>
      </c>
      <c r="H85" s="164">
        <v>2016</v>
      </c>
      <c r="I85" s="164">
        <v>38</v>
      </c>
      <c r="J85" s="164">
        <v>45</v>
      </c>
      <c r="K85" s="459">
        <f t="shared" si="5"/>
        <v>28.5</v>
      </c>
      <c r="L85" s="459">
        <v>40</v>
      </c>
      <c r="M85" s="164" t="s">
        <v>722</v>
      </c>
      <c r="N85" s="164" t="s">
        <v>436</v>
      </c>
      <c r="O85" s="464">
        <v>45545</v>
      </c>
      <c r="P85" s="464">
        <v>47462</v>
      </c>
      <c r="Q85" s="144">
        <v>45570</v>
      </c>
      <c r="R85" s="144" t="s">
        <v>721</v>
      </c>
      <c r="S85" s="164">
        <v>60</v>
      </c>
      <c r="T85" s="164" t="s">
        <v>18</v>
      </c>
      <c r="U85" s="144" t="s">
        <v>18</v>
      </c>
      <c r="V85" s="144" t="s">
        <v>20</v>
      </c>
      <c r="W85" s="432" t="s">
        <v>18</v>
      </c>
      <c r="X85" s="432" t="s">
        <v>18</v>
      </c>
      <c r="Y85" s="432" t="s">
        <v>18</v>
      </c>
      <c r="Z85" s="432" t="s">
        <v>18</v>
      </c>
      <c r="AA85" s="432" t="s">
        <v>18</v>
      </c>
      <c r="AB85" s="432" t="s">
        <v>18</v>
      </c>
      <c r="AC85" s="464">
        <v>45545</v>
      </c>
      <c r="AD85" s="464">
        <v>47462</v>
      </c>
      <c r="AE85" s="164" t="s">
        <v>218</v>
      </c>
      <c r="AF85" s="460"/>
      <c r="AG85" s="461"/>
      <c r="AH85" s="465"/>
      <c r="AI85" s="171" t="s">
        <v>18</v>
      </c>
      <c r="AJ85" s="171" t="s">
        <v>18</v>
      </c>
      <c r="AK85" s="462"/>
      <c r="AL85" s="144" t="s">
        <v>17</v>
      </c>
      <c r="AM85" s="196" t="s">
        <v>720</v>
      </c>
      <c r="AN85" s="193"/>
      <c r="AO85" s="194">
        <f>SUMIF('TK 15661.Bản quyền phim '!F:F,'KK2. Series'!C85,'TK 15661.Bản quyền phim '!K:K)</f>
        <v>1044994500</v>
      </c>
      <c r="AP85" s="194">
        <f>COUNTIF('242.BQ Phim VOD'!$C$5:$C$8,'KK2. Series'!AM85)</f>
        <v>0</v>
      </c>
      <c r="AQ85" s="194">
        <f>COUNTIF('TK 15666. Phim SX'!$C$6:$C$13,'KK2. Series'!AM85)</f>
        <v>0</v>
      </c>
      <c r="AR85" s="193">
        <f>COUNTIF('TK 15661.Bản quyền phim '!F:F,'KK2. Series'!AM85)</f>
        <v>1</v>
      </c>
      <c r="AS85" s="193"/>
      <c r="AT85" s="197">
        <f t="shared" si="6"/>
        <v>1</v>
      </c>
      <c r="AU85" s="193"/>
      <c r="AV85" s="193"/>
      <c r="AW85" s="193"/>
      <c r="AX85" s="193"/>
      <c r="AY85" s="193"/>
    </row>
    <row r="86" spans="1:51" ht="409.6" x14ac:dyDescent="0.25">
      <c r="A86" s="141">
        <v>80</v>
      </c>
      <c r="B86" s="142" t="s">
        <v>719</v>
      </c>
      <c r="C86" s="164" t="s">
        <v>718</v>
      </c>
      <c r="D86" s="164" t="s">
        <v>717</v>
      </c>
      <c r="E86" s="167" t="s">
        <v>564</v>
      </c>
      <c r="F86" s="144" t="s">
        <v>716</v>
      </c>
      <c r="G86" s="164" t="s">
        <v>178</v>
      </c>
      <c r="H86" s="164">
        <v>2024</v>
      </c>
      <c r="I86" s="164">
        <v>38</v>
      </c>
      <c r="J86" s="164">
        <v>45</v>
      </c>
      <c r="K86" s="459">
        <f t="shared" si="5"/>
        <v>28.5</v>
      </c>
      <c r="L86" s="459">
        <v>38</v>
      </c>
      <c r="M86" s="164" t="s">
        <v>599</v>
      </c>
      <c r="N86" s="164" t="s">
        <v>436</v>
      </c>
      <c r="O86" s="464">
        <v>45451</v>
      </c>
      <c r="P86" s="464">
        <v>47276</v>
      </c>
      <c r="Q86" s="144">
        <v>45451</v>
      </c>
      <c r="R86" s="144" t="s">
        <v>553</v>
      </c>
      <c r="S86" s="432">
        <v>60</v>
      </c>
      <c r="T86" s="164" t="s">
        <v>18</v>
      </c>
      <c r="U86" s="144" t="s">
        <v>18</v>
      </c>
      <c r="V86" s="144" t="s">
        <v>20</v>
      </c>
      <c r="W86" s="164" t="s">
        <v>18</v>
      </c>
      <c r="X86" s="164" t="s">
        <v>18</v>
      </c>
      <c r="Y86" s="164" t="s">
        <v>18</v>
      </c>
      <c r="Z86" s="164" t="s">
        <v>18</v>
      </c>
      <c r="AA86" s="164" t="s">
        <v>18</v>
      </c>
      <c r="AB86" s="164" t="s">
        <v>18</v>
      </c>
      <c r="AC86" s="464">
        <v>45451</v>
      </c>
      <c r="AD86" s="464">
        <v>47276</v>
      </c>
      <c r="AE86" s="164" t="s">
        <v>218</v>
      </c>
      <c r="AF86" s="460"/>
      <c r="AG86" s="461"/>
      <c r="AH86" s="465"/>
      <c r="AI86" s="171" t="s">
        <v>18</v>
      </c>
      <c r="AJ86" s="171" t="s">
        <v>18</v>
      </c>
      <c r="AK86" s="462" t="s">
        <v>402</v>
      </c>
      <c r="AL86" s="144" t="s">
        <v>17</v>
      </c>
      <c r="AM86" s="193" t="s">
        <v>715</v>
      </c>
      <c r="AN86" s="193"/>
      <c r="AO86" s="194">
        <f>SUMIF('TK 15661.Bản quyền phim '!F:F,'KK2. Series'!C86,'TK 15661.Bản quyền phim '!K:K)</f>
        <v>0</v>
      </c>
      <c r="AP86" s="194">
        <f>COUNTIF('242.BQ Phim VOD'!$C$5:$C$8,'KK2. Series'!AM86)</f>
        <v>0</v>
      </c>
      <c r="AQ86" s="194">
        <f>COUNTIF('TK 15666. Phim SX'!$C$6:$C$13,'KK2. Series'!AM86)</f>
        <v>0</v>
      </c>
      <c r="AR86" s="193">
        <f>COUNTIF('TK 15661.Bản quyền phim '!F:F,'KK2. Series'!AM86)</f>
        <v>1</v>
      </c>
      <c r="AS86" s="193"/>
      <c r="AT86" s="197">
        <f t="shared" si="6"/>
        <v>1</v>
      </c>
      <c r="AU86" s="193"/>
      <c r="AV86" s="193"/>
      <c r="AW86" s="193"/>
      <c r="AX86" s="193"/>
      <c r="AY86" s="193"/>
    </row>
    <row r="87" spans="1:51" ht="409.6" x14ac:dyDescent="0.25">
      <c r="A87" s="141">
        <v>81</v>
      </c>
      <c r="B87" s="142" t="s">
        <v>714</v>
      </c>
      <c r="C87" s="164" t="s">
        <v>713</v>
      </c>
      <c r="D87" s="164" t="s">
        <v>712</v>
      </c>
      <c r="E87" s="144" t="s">
        <v>711</v>
      </c>
      <c r="F87" s="144" t="s">
        <v>710</v>
      </c>
      <c r="G87" s="164" t="s">
        <v>178</v>
      </c>
      <c r="H87" s="164">
        <v>2024</v>
      </c>
      <c r="I87" s="164">
        <v>30</v>
      </c>
      <c r="J87" s="164">
        <v>45</v>
      </c>
      <c r="K87" s="459">
        <f t="shared" si="5"/>
        <v>22.5</v>
      </c>
      <c r="L87" s="459">
        <v>38</v>
      </c>
      <c r="M87" s="144" t="s">
        <v>709</v>
      </c>
      <c r="N87" s="144" t="s">
        <v>708</v>
      </c>
      <c r="O87" s="464">
        <v>45460</v>
      </c>
      <c r="P87" s="464">
        <v>47285</v>
      </c>
      <c r="Q87" s="144">
        <v>45451</v>
      </c>
      <c r="R87" s="144" t="s">
        <v>553</v>
      </c>
      <c r="S87" s="432">
        <v>60</v>
      </c>
      <c r="T87" s="164" t="s">
        <v>18</v>
      </c>
      <c r="U87" s="144" t="s">
        <v>18</v>
      </c>
      <c r="V87" s="164" t="s">
        <v>18</v>
      </c>
      <c r="W87" s="164" t="s">
        <v>18</v>
      </c>
      <c r="X87" s="164" t="s">
        <v>18</v>
      </c>
      <c r="Y87" s="164" t="s">
        <v>18</v>
      </c>
      <c r="Z87" s="164" t="s">
        <v>18</v>
      </c>
      <c r="AA87" s="164" t="s">
        <v>18</v>
      </c>
      <c r="AB87" s="164" t="s">
        <v>18</v>
      </c>
      <c r="AC87" s="464">
        <v>45460</v>
      </c>
      <c r="AD87" s="464">
        <v>47285</v>
      </c>
      <c r="AE87" s="164" t="s">
        <v>218</v>
      </c>
      <c r="AF87" s="460">
        <v>10</v>
      </c>
      <c r="AG87" s="461">
        <v>45831</v>
      </c>
      <c r="AH87" s="465"/>
      <c r="AI87" s="171" t="s">
        <v>18</v>
      </c>
      <c r="AJ87" s="171" t="s">
        <v>18</v>
      </c>
      <c r="AK87" s="462" t="s">
        <v>402</v>
      </c>
      <c r="AL87" s="144" t="s">
        <v>17</v>
      </c>
      <c r="AM87" s="198" t="s">
        <v>707</v>
      </c>
      <c r="AN87" s="193"/>
      <c r="AO87" s="194">
        <f>SUMIF('TK 15661.Bản quyền phim '!F:F,'KK2. Series'!C87,'TK 15661.Bản quyền phim '!K:K)</f>
        <v>0</v>
      </c>
      <c r="AP87" s="194">
        <f>COUNTIF('242.BQ Phim VOD'!$C$5:$C$8,'KK2. Series'!AM87)</f>
        <v>0</v>
      </c>
      <c r="AQ87" s="194">
        <f>COUNTIF('TK 15666. Phim SX'!$C$6:$C$13,'KK2. Series'!AM87)</f>
        <v>0</v>
      </c>
      <c r="AR87" s="193">
        <f>COUNTIF('TK 15661.Bản quyền phim '!F:F,'KK2. Series'!AM87)</f>
        <v>1</v>
      </c>
      <c r="AS87" s="193"/>
      <c r="AT87" s="197">
        <f t="shared" si="6"/>
        <v>1</v>
      </c>
      <c r="AU87" s="193"/>
      <c r="AV87" s="193"/>
      <c r="AW87" s="193"/>
      <c r="AX87" s="193"/>
      <c r="AY87" s="193"/>
    </row>
    <row r="88" spans="1:51" ht="409.6" x14ac:dyDescent="0.25">
      <c r="A88" s="141">
        <v>82</v>
      </c>
      <c r="B88" s="142" t="s">
        <v>706</v>
      </c>
      <c r="C88" s="164" t="s">
        <v>705</v>
      </c>
      <c r="D88" s="167" t="s">
        <v>704</v>
      </c>
      <c r="E88" s="167" t="s">
        <v>443</v>
      </c>
      <c r="F88" s="144" t="s">
        <v>586</v>
      </c>
      <c r="G88" s="171" t="s">
        <v>703</v>
      </c>
      <c r="H88" s="167">
        <v>2024</v>
      </c>
      <c r="I88" s="167">
        <v>12</v>
      </c>
      <c r="J88" s="167">
        <v>45</v>
      </c>
      <c r="K88" s="472">
        <f t="shared" si="5"/>
        <v>9</v>
      </c>
      <c r="L88" s="459">
        <v>12</v>
      </c>
      <c r="M88" s="171" t="s">
        <v>702</v>
      </c>
      <c r="N88" s="171" t="s">
        <v>702</v>
      </c>
      <c r="O88" s="171"/>
      <c r="P88" s="144" t="s">
        <v>349</v>
      </c>
      <c r="Q88" s="144">
        <v>45469</v>
      </c>
      <c r="R88" s="171"/>
      <c r="S88" s="171"/>
      <c r="T88" s="167" t="s">
        <v>20</v>
      </c>
      <c r="U88" s="144" t="s">
        <v>18</v>
      </c>
      <c r="V88" s="171" t="s">
        <v>20</v>
      </c>
      <c r="W88" s="167" t="s">
        <v>18</v>
      </c>
      <c r="X88" s="167" t="s">
        <v>18</v>
      </c>
      <c r="Y88" s="167" t="s">
        <v>18</v>
      </c>
      <c r="Z88" s="167" t="s">
        <v>18</v>
      </c>
      <c r="AA88" s="167" t="s">
        <v>18</v>
      </c>
      <c r="AB88" s="167" t="s">
        <v>18</v>
      </c>
      <c r="AC88" s="473">
        <v>45469</v>
      </c>
      <c r="AD88" s="473">
        <v>46929</v>
      </c>
      <c r="AE88" s="167" t="s">
        <v>218</v>
      </c>
      <c r="AF88" s="462"/>
      <c r="AG88" s="474"/>
      <c r="AH88" s="475"/>
      <c r="AI88" s="171" t="s">
        <v>18</v>
      </c>
      <c r="AJ88" s="171" t="s">
        <v>18</v>
      </c>
      <c r="AK88" s="462" t="s">
        <v>402</v>
      </c>
      <c r="AL88" s="144" t="s">
        <v>17</v>
      </c>
      <c r="AM88" s="90" t="s">
        <v>3193</v>
      </c>
      <c r="AN88" s="193"/>
      <c r="AO88" s="194">
        <f>SUMIF('TK 15661.Bản quyền phim '!F:F,'KK2. Series'!C88,'TK 15661.Bản quyền phim '!K:K)</f>
        <v>0</v>
      </c>
      <c r="AP88" s="194">
        <f>COUNTIF('242.BQ Phim VOD'!$C$5:$C$8,'KK2. Series'!AM88)</f>
        <v>1</v>
      </c>
      <c r="AQ88" s="194">
        <f>COUNTIF('TK 15666. Phim SX'!$C$6:$C$13,'KK2. Series'!AM88)</f>
        <v>0</v>
      </c>
      <c r="AR88" s="193">
        <f>COUNTIF('TK 15661.Bản quyền phim '!F:F,'KK2. Series'!AM88)</f>
        <v>0</v>
      </c>
      <c r="AS88" s="193"/>
      <c r="AT88" s="197">
        <f t="shared" si="6"/>
        <v>1</v>
      </c>
      <c r="AU88" s="193"/>
      <c r="AV88" s="193"/>
      <c r="AW88" s="193"/>
      <c r="AX88" s="193"/>
      <c r="AY88" s="193"/>
    </row>
    <row r="89" spans="1:51" ht="409.6" x14ac:dyDescent="0.25">
      <c r="A89" s="141">
        <v>83</v>
      </c>
      <c r="B89" s="142" t="s">
        <v>701</v>
      </c>
      <c r="C89" s="164" t="s">
        <v>699</v>
      </c>
      <c r="D89" s="171" t="s">
        <v>700</v>
      </c>
      <c r="E89" s="167" t="s">
        <v>693</v>
      </c>
      <c r="F89" s="144" t="s">
        <v>692</v>
      </c>
      <c r="G89" s="167" t="s">
        <v>133</v>
      </c>
      <c r="H89" s="167">
        <v>2022</v>
      </c>
      <c r="I89" s="167">
        <v>16</v>
      </c>
      <c r="J89" s="167">
        <v>60</v>
      </c>
      <c r="K89" s="472">
        <f t="shared" si="5"/>
        <v>16</v>
      </c>
      <c r="L89" s="459">
        <v>24</v>
      </c>
      <c r="M89" s="167" t="s">
        <v>554</v>
      </c>
      <c r="N89" s="167" t="s">
        <v>394</v>
      </c>
      <c r="O89" s="476">
        <v>45499</v>
      </c>
      <c r="P89" s="476">
        <v>46593</v>
      </c>
      <c r="Q89" s="171">
        <v>45579</v>
      </c>
      <c r="R89" s="171" t="s">
        <v>553</v>
      </c>
      <c r="S89" s="167" t="s">
        <v>211</v>
      </c>
      <c r="T89" s="167" t="s">
        <v>20</v>
      </c>
      <c r="U89" s="144" t="s">
        <v>18</v>
      </c>
      <c r="V89" s="167" t="s">
        <v>18</v>
      </c>
      <c r="W89" s="167" t="s">
        <v>18</v>
      </c>
      <c r="X89" s="167" t="s">
        <v>18</v>
      </c>
      <c r="Y89" s="167" t="s">
        <v>18</v>
      </c>
      <c r="Z89" s="167" t="s">
        <v>18</v>
      </c>
      <c r="AA89" s="167" t="s">
        <v>18</v>
      </c>
      <c r="AB89" s="167" t="s">
        <v>20</v>
      </c>
      <c r="AC89" s="476">
        <v>45499</v>
      </c>
      <c r="AD89" s="476">
        <v>46593</v>
      </c>
      <c r="AE89" s="167" t="s">
        <v>130</v>
      </c>
      <c r="AF89" s="462">
        <v>4</v>
      </c>
      <c r="AG89" s="474">
        <v>45586</v>
      </c>
      <c r="AH89" s="475"/>
      <c r="AI89" s="171" t="s">
        <v>18</v>
      </c>
      <c r="AJ89" s="171" t="s">
        <v>18</v>
      </c>
      <c r="AK89" s="462"/>
      <c r="AL89" s="144" t="s">
        <v>17</v>
      </c>
      <c r="AM89" s="196" t="s">
        <v>699</v>
      </c>
      <c r="AN89" s="193"/>
      <c r="AO89" s="194">
        <f>SUMIF('TK 15661.Bản quyền phim '!F:F,'KK2. Series'!C89,'TK 15661.Bản quyền phim '!K:K)</f>
        <v>707328000</v>
      </c>
      <c r="AP89" s="194">
        <f>COUNTIF('242.BQ Phim VOD'!$C$5:$C$8,'KK2. Series'!AM89)</f>
        <v>0</v>
      </c>
      <c r="AQ89" s="194">
        <f>COUNTIF('TK 15666. Phim SX'!$C$6:$C$13,'KK2. Series'!AM89)</f>
        <v>0</v>
      </c>
      <c r="AR89" s="193">
        <f>COUNTIF('TK 15661.Bản quyền phim '!F:F,'KK2. Series'!AM89)</f>
        <v>1</v>
      </c>
      <c r="AS89" s="193"/>
      <c r="AT89" s="197">
        <f t="shared" si="6"/>
        <v>1</v>
      </c>
      <c r="AU89" s="193"/>
      <c r="AV89" s="193"/>
      <c r="AW89" s="193"/>
      <c r="AX89" s="193"/>
      <c r="AY89" s="193"/>
    </row>
    <row r="90" spans="1:51" ht="409.6" x14ac:dyDescent="0.25">
      <c r="A90" s="141">
        <v>84</v>
      </c>
      <c r="B90" s="142" t="s">
        <v>698</v>
      </c>
      <c r="C90" s="164" t="s">
        <v>696</v>
      </c>
      <c r="D90" s="171" t="s">
        <v>697</v>
      </c>
      <c r="E90" s="167" t="s">
        <v>693</v>
      </c>
      <c r="F90" s="144" t="s">
        <v>692</v>
      </c>
      <c r="G90" s="167" t="s">
        <v>133</v>
      </c>
      <c r="H90" s="167">
        <v>2021</v>
      </c>
      <c r="I90" s="167">
        <v>12</v>
      </c>
      <c r="J90" s="167">
        <v>60</v>
      </c>
      <c r="K90" s="472">
        <f t="shared" si="5"/>
        <v>12</v>
      </c>
      <c r="L90" s="459">
        <v>18</v>
      </c>
      <c r="M90" s="167" t="s">
        <v>394</v>
      </c>
      <c r="N90" s="167" t="s">
        <v>394</v>
      </c>
      <c r="O90" s="476">
        <v>45533</v>
      </c>
      <c r="P90" s="476">
        <v>46627</v>
      </c>
      <c r="Q90" s="171">
        <v>45614</v>
      </c>
      <c r="R90" s="144" t="s">
        <v>553</v>
      </c>
      <c r="S90" s="167" t="s">
        <v>211</v>
      </c>
      <c r="T90" s="167" t="s">
        <v>20</v>
      </c>
      <c r="U90" s="144" t="s">
        <v>18</v>
      </c>
      <c r="V90" s="167" t="s">
        <v>18</v>
      </c>
      <c r="W90" s="167" t="s">
        <v>18</v>
      </c>
      <c r="X90" s="167" t="s">
        <v>18</v>
      </c>
      <c r="Y90" s="167" t="s">
        <v>18</v>
      </c>
      <c r="Z90" s="167" t="s">
        <v>18</v>
      </c>
      <c r="AA90" s="167" t="s">
        <v>18</v>
      </c>
      <c r="AB90" s="167" t="s">
        <v>20</v>
      </c>
      <c r="AC90" s="476">
        <v>45533</v>
      </c>
      <c r="AD90" s="476">
        <v>46627</v>
      </c>
      <c r="AE90" s="167" t="s">
        <v>130</v>
      </c>
      <c r="AF90" s="462">
        <v>5</v>
      </c>
      <c r="AG90" s="474">
        <v>45620</v>
      </c>
      <c r="AH90" s="475"/>
      <c r="AI90" s="171" t="s">
        <v>18</v>
      </c>
      <c r="AJ90" s="171" t="s">
        <v>18</v>
      </c>
      <c r="AK90" s="462"/>
      <c r="AL90" s="144" t="s">
        <v>17</v>
      </c>
      <c r="AM90" s="196" t="s">
        <v>696</v>
      </c>
      <c r="AN90" s="193"/>
      <c r="AO90" s="194">
        <f>SUMIF('TK 15661.Bản quyền phim '!F:F,'KK2. Series'!C90,'TK 15661.Bản quyền phim '!K:K)</f>
        <v>530496000</v>
      </c>
      <c r="AP90" s="194">
        <f>COUNTIF('242.BQ Phim VOD'!$C$5:$C$8,'KK2. Series'!AM90)</f>
        <v>0</v>
      </c>
      <c r="AQ90" s="194">
        <f>COUNTIF('TK 15666. Phim SX'!$C$6:$C$13,'KK2. Series'!AM90)</f>
        <v>0</v>
      </c>
      <c r="AR90" s="193">
        <f>COUNTIF('TK 15661.Bản quyền phim '!F:F,'KK2. Series'!AM90)</f>
        <v>1</v>
      </c>
      <c r="AS90" s="193"/>
      <c r="AT90" s="197">
        <f t="shared" si="6"/>
        <v>1</v>
      </c>
      <c r="AU90" s="193"/>
      <c r="AV90" s="193"/>
      <c r="AW90" s="193"/>
      <c r="AX90" s="193"/>
      <c r="AY90" s="193"/>
    </row>
    <row r="91" spans="1:51" ht="409.6" x14ac:dyDescent="0.25">
      <c r="A91" s="141">
        <v>85</v>
      </c>
      <c r="B91" s="172" t="s">
        <v>695</v>
      </c>
      <c r="C91" s="445" t="s">
        <v>690</v>
      </c>
      <c r="D91" s="174" t="s">
        <v>694</v>
      </c>
      <c r="E91" s="175" t="s">
        <v>693</v>
      </c>
      <c r="F91" s="144" t="s">
        <v>692</v>
      </c>
      <c r="G91" s="175" t="s">
        <v>133</v>
      </c>
      <c r="H91" s="175">
        <v>2020</v>
      </c>
      <c r="I91" s="175">
        <v>12</v>
      </c>
      <c r="J91" s="175">
        <v>70</v>
      </c>
      <c r="K91" s="472">
        <f t="shared" si="5"/>
        <v>14</v>
      </c>
      <c r="L91" s="459">
        <v>18</v>
      </c>
      <c r="M91" s="175" t="s">
        <v>691</v>
      </c>
      <c r="N91" s="175" t="s">
        <v>691</v>
      </c>
      <c r="O91" s="477">
        <v>45593</v>
      </c>
      <c r="P91" s="477">
        <v>46687</v>
      </c>
      <c r="Q91" s="171">
        <v>45672</v>
      </c>
      <c r="R91" s="144" t="s">
        <v>553</v>
      </c>
      <c r="S91" s="175" t="s">
        <v>211</v>
      </c>
      <c r="T91" s="175" t="s">
        <v>20</v>
      </c>
      <c r="U91" s="144" t="s">
        <v>18</v>
      </c>
      <c r="V91" s="175" t="s">
        <v>18</v>
      </c>
      <c r="W91" s="175" t="s">
        <v>18</v>
      </c>
      <c r="X91" s="175" t="s">
        <v>18</v>
      </c>
      <c r="Y91" s="175" t="s">
        <v>18</v>
      </c>
      <c r="Z91" s="175" t="s">
        <v>18</v>
      </c>
      <c r="AA91" s="175" t="s">
        <v>18</v>
      </c>
      <c r="AB91" s="175" t="s">
        <v>20</v>
      </c>
      <c r="AC91" s="477">
        <v>45593</v>
      </c>
      <c r="AD91" s="477">
        <v>46687</v>
      </c>
      <c r="AE91" s="175" t="s">
        <v>130</v>
      </c>
      <c r="AF91" s="478"/>
      <c r="AG91" s="479"/>
      <c r="AH91" s="480"/>
      <c r="AI91" s="171" t="s">
        <v>18</v>
      </c>
      <c r="AJ91" s="171" t="s">
        <v>18</v>
      </c>
      <c r="AK91" s="462"/>
      <c r="AL91" s="144" t="s">
        <v>17</v>
      </c>
      <c r="AM91" s="196" t="s">
        <v>690</v>
      </c>
      <c r="AN91" s="193"/>
      <c r="AO91" s="194">
        <f>SUMIF('TK 15661.Bản quyền phim '!F:F,'KK2. Series'!C91,'TK 15661.Bản quyền phim '!K:K)</f>
        <v>412608000</v>
      </c>
      <c r="AP91" s="194">
        <f>COUNTIF('242.BQ Phim VOD'!$C$5:$C$8,'KK2. Series'!AM91)</f>
        <v>0</v>
      </c>
      <c r="AQ91" s="194">
        <f>COUNTIF('TK 15666. Phim SX'!$C$6:$C$13,'KK2. Series'!AM91)</f>
        <v>0</v>
      </c>
      <c r="AR91" s="193">
        <f>COUNTIF('TK 15661.Bản quyền phim '!F:F,'KK2. Series'!AM91)</f>
        <v>1</v>
      </c>
      <c r="AS91" s="193"/>
      <c r="AT91" s="197">
        <f t="shared" si="6"/>
        <v>1</v>
      </c>
      <c r="AU91" s="193"/>
      <c r="AV91" s="193"/>
      <c r="AW91" s="193"/>
      <c r="AX91" s="193"/>
      <c r="AY91" s="193"/>
    </row>
    <row r="92" spans="1:51" ht="409.6" x14ac:dyDescent="0.25">
      <c r="A92" s="141">
        <v>86</v>
      </c>
      <c r="B92" s="142" t="s">
        <v>689</v>
      </c>
      <c r="C92" s="164" t="s">
        <v>688</v>
      </c>
      <c r="D92" s="144" t="s">
        <v>687</v>
      </c>
      <c r="E92" s="164" t="s">
        <v>352</v>
      </c>
      <c r="F92" s="144" t="s">
        <v>682</v>
      </c>
      <c r="G92" s="164" t="s">
        <v>178</v>
      </c>
      <c r="H92" s="164">
        <v>2022</v>
      </c>
      <c r="I92" s="481">
        <v>56</v>
      </c>
      <c r="J92" s="164">
        <v>45</v>
      </c>
      <c r="K92" s="459">
        <f t="shared" si="5"/>
        <v>42</v>
      </c>
      <c r="L92" s="459">
        <v>56</v>
      </c>
      <c r="M92" s="164" t="s">
        <v>686</v>
      </c>
      <c r="N92" s="433" t="s">
        <v>436</v>
      </c>
      <c r="O92" s="171"/>
      <c r="P92" s="144" t="s">
        <v>349</v>
      </c>
      <c r="Q92" s="171">
        <v>45138</v>
      </c>
      <c r="R92" s="171"/>
      <c r="S92" s="171"/>
      <c r="T92" s="167" t="s">
        <v>20</v>
      </c>
      <c r="U92" s="144" t="s">
        <v>18</v>
      </c>
      <c r="V92" s="167" t="s">
        <v>18</v>
      </c>
      <c r="W92" s="167" t="s">
        <v>18</v>
      </c>
      <c r="X92" s="167" t="s">
        <v>18</v>
      </c>
      <c r="Y92" s="167" t="s">
        <v>18</v>
      </c>
      <c r="Z92" s="167" t="s">
        <v>18</v>
      </c>
      <c r="AA92" s="167" t="s">
        <v>18</v>
      </c>
      <c r="AB92" s="167" t="s">
        <v>18</v>
      </c>
      <c r="AC92" s="476">
        <v>45869</v>
      </c>
      <c r="AD92" s="476">
        <v>46585</v>
      </c>
      <c r="AE92" s="171"/>
      <c r="AF92" s="462"/>
      <c r="AG92" s="474"/>
      <c r="AH92" s="475"/>
      <c r="AI92" s="171" t="s">
        <v>18</v>
      </c>
      <c r="AJ92" s="171" t="s">
        <v>18</v>
      </c>
      <c r="AK92" s="462"/>
      <c r="AL92" s="144" t="s">
        <v>17</v>
      </c>
      <c r="AM92" s="193"/>
      <c r="AN92" s="193"/>
      <c r="AO92" s="194">
        <f>SUMIF('TK 15661.Bản quyền phim '!F:F,'KK2. Series'!C92,'TK 15661.Bản quyền phim '!K:K)</f>
        <v>0</v>
      </c>
      <c r="AP92" s="194">
        <f>COUNTIF('242.BQ Phim VOD'!$C$5:$C$8,'KK2. Series'!AM92)</f>
        <v>0</v>
      </c>
      <c r="AQ92" s="194">
        <f>COUNTIF('TK 15666. Phim SX'!$C$6:$C$13,'KK2. Series'!AM92)</f>
        <v>0</v>
      </c>
      <c r="AR92" s="193">
        <f>COUNTIF('TK 15661.Bản quyền phim '!F:F,'KK2. Series'!AM92)</f>
        <v>0</v>
      </c>
      <c r="AS92" s="193">
        <v>1</v>
      </c>
      <c r="AT92" s="197">
        <f t="shared" si="6"/>
        <v>1</v>
      </c>
      <c r="AU92" s="193"/>
      <c r="AV92" s="193"/>
      <c r="AW92" s="193"/>
      <c r="AX92" s="193"/>
      <c r="AY92" s="193"/>
    </row>
    <row r="93" spans="1:51" ht="409.6" x14ac:dyDescent="0.25">
      <c r="A93" s="141">
        <v>87</v>
      </c>
      <c r="B93" s="142" t="s">
        <v>685</v>
      </c>
      <c r="C93" s="164" t="s">
        <v>684</v>
      </c>
      <c r="D93" s="144" t="s">
        <v>683</v>
      </c>
      <c r="E93" s="164" t="s">
        <v>352</v>
      </c>
      <c r="F93" s="144" t="s">
        <v>682</v>
      </c>
      <c r="G93" s="164" t="s">
        <v>178</v>
      </c>
      <c r="H93" s="164">
        <v>2022</v>
      </c>
      <c r="I93" s="481">
        <v>40</v>
      </c>
      <c r="J93" s="164">
        <v>45</v>
      </c>
      <c r="K93" s="459">
        <f t="shared" si="5"/>
        <v>30</v>
      </c>
      <c r="L93" s="459">
        <f>I93</f>
        <v>40</v>
      </c>
      <c r="M93" s="164" t="s">
        <v>681</v>
      </c>
      <c r="N93" s="434" t="s">
        <v>436</v>
      </c>
      <c r="O93" s="174"/>
      <c r="P93" s="144" t="s">
        <v>349</v>
      </c>
      <c r="Q93" s="171">
        <v>45260</v>
      </c>
      <c r="R93" s="174"/>
      <c r="S93" s="174"/>
      <c r="T93" s="175" t="s">
        <v>20</v>
      </c>
      <c r="U93" s="144" t="s">
        <v>18</v>
      </c>
      <c r="V93" s="175" t="s">
        <v>18</v>
      </c>
      <c r="W93" s="175" t="s">
        <v>18</v>
      </c>
      <c r="X93" s="175" t="s">
        <v>18</v>
      </c>
      <c r="Y93" s="175" t="s">
        <v>18</v>
      </c>
      <c r="Z93" s="175" t="s">
        <v>18</v>
      </c>
      <c r="AA93" s="175" t="s">
        <v>18</v>
      </c>
      <c r="AB93" s="175" t="s">
        <v>18</v>
      </c>
      <c r="AC93" s="477">
        <v>45991</v>
      </c>
      <c r="AD93" s="477">
        <v>46718</v>
      </c>
      <c r="AE93" s="174"/>
      <c r="AF93" s="478"/>
      <c r="AG93" s="479"/>
      <c r="AH93" s="480"/>
      <c r="AI93" s="171" t="s">
        <v>18</v>
      </c>
      <c r="AJ93" s="171" t="s">
        <v>18</v>
      </c>
      <c r="AK93" s="462"/>
      <c r="AL93" s="144" t="s">
        <v>17</v>
      </c>
      <c r="AM93" s="193"/>
      <c r="AN93" s="193"/>
      <c r="AO93" s="194">
        <f>SUMIF('TK 15661.Bản quyền phim '!F:F,'KK2. Series'!C93,'TK 15661.Bản quyền phim '!K:K)</f>
        <v>0</v>
      </c>
      <c r="AP93" s="194">
        <f>COUNTIF('242.BQ Phim VOD'!$C$5:$C$8,'KK2. Series'!AM93)</f>
        <v>0</v>
      </c>
      <c r="AQ93" s="194">
        <f>COUNTIF('TK 15666. Phim SX'!$C$6:$C$13,'KK2. Series'!AM93)</f>
        <v>0</v>
      </c>
      <c r="AR93" s="193">
        <f>COUNTIF('TK 15661.Bản quyền phim '!F:F,'KK2. Series'!AM93)</f>
        <v>0</v>
      </c>
      <c r="AS93" s="193">
        <v>1</v>
      </c>
      <c r="AT93" s="197">
        <f t="shared" si="6"/>
        <v>1</v>
      </c>
      <c r="AU93" s="193"/>
      <c r="AV93" s="193"/>
      <c r="AW93" s="193"/>
      <c r="AX93" s="193"/>
      <c r="AY93" s="193"/>
    </row>
    <row r="94" spans="1:51" ht="409.6" x14ac:dyDescent="0.25">
      <c r="A94" s="141">
        <v>88</v>
      </c>
      <c r="B94" s="142" t="s">
        <v>680</v>
      </c>
      <c r="C94" s="164" t="s">
        <v>677</v>
      </c>
      <c r="D94" s="144" t="s">
        <v>679</v>
      </c>
      <c r="E94" s="164" t="s">
        <v>405</v>
      </c>
      <c r="F94" s="144" t="s">
        <v>586</v>
      </c>
      <c r="G94" s="164" t="s">
        <v>133</v>
      </c>
      <c r="H94" s="164">
        <v>2024</v>
      </c>
      <c r="I94" s="164">
        <v>10</v>
      </c>
      <c r="J94" s="164">
        <v>70</v>
      </c>
      <c r="K94" s="459">
        <f t="shared" si="5"/>
        <v>11.666666666666666</v>
      </c>
      <c r="L94" s="459">
        <v>15</v>
      </c>
      <c r="M94" s="164" t="s">
        <v>678</v>
      </c>
      <c r="N94" s="435" t="s">
        <v>436</v>
      </c>
      <c r="O94" s="464">
        <v>45528</v>
      </c>
      <c r="P94" s="464">
        <v>46988</v>
      </c>
      <c r="Q94" s="144">
        <v>45528</v>
      </c>
      <c r="R94" s="144" t="s">
        <v>584</v>
      </c>
      <c r="S94" s="164">
        <v>48</v>
      </c>
      <c r="T94" s="164" t="s">
        <v>18</v>
      </c>
      <c r="U94" s="144" t="s">
        <v>18</v>
      </c>
      <c r="V94" s="164" t="s">
        <v>18</v>
      </c>
      <c r="W94" s="164" t="s">
        <v>18</v>
      </c>
      <c r="X94" s="164" t="s">
        <v>18</v>
      </c>
      <c r="Y94" s="164" t="s">
        <v>18</v>
      </c>
      <c r="Z94" s="164" t="s">
        <v>18</v>
      </c>
      <c r="AA94" s="164" t="s">
        <v>18</v>
      </c>
      <c r="AB94" s="164" t="s">
        <v>18</v>
      </c>
      <c r="AC94" s="464">
        <v>45528</v>
      </c>
      <c r="AD94" s="464">
        <v>46988</v>
      </c>
      <c r="AE94" s="164" t="s">
        <v>130</v>
      </c>
      <c r="AF94" s="460"/>
      <c r="AG94" s="461"/>
      <c r="AH94" s="465"/>
      <c r="AI94" s="171" t="s">
        <v>18</v>
      </c>
      <c r="AJ94" s="171" t="s">
        <v>18</v>
      </c>
      <c r="AK94" s="462" t="s">
        <v>402</v>
      </c>
      <c r="AL94" s="144" t="s">
        <v>17</v>
      </c>
      <c r="AM94" s="196" t="s">
        <v>677</v>
      </c>
      <c r="AN94" s="193"/>
      <c r="AO94" s="194">
        <f>SUMIF('TK 15661.Bản quyền phim '!F:F,'KK2. Series'!C94,'TK 15661.Bản quyền phim '!K:K)</f>
        <v>831091689</v>
      </c>
      <c r="AP94" s="194">
        <f>COUNTIF('242.BQ Phim VOD'!$C$5:$C$8,'KK2. Series'!AM94)</f>
        <v>0</v>
      </c>
      <c r="AQ94" s="194">
        <f>COUNTIF('TK 15666. Phim SX'!$C$6:$C$13,'KK2. Series'!AM94)</f>
        <v>0</v>
      </c>
      <c r="AR94" s="193">
        <f>COUNTIF('TK 15661.Bản quyền phim '!F:F,'KK2. Series'!AM94)</f>
        <v>1</v>
      </c>
      <c r="AS94" s="193"/>
      <c r="AT94" s="197">
        <f t="shared" si="6"/>
        <v>1</v>
      </c>
      <c r="AU94" s="193"/>
      <c r="AV94" s="193"/>
      <c r="AW94" s="193"/>
      <c r="AX94" s="193"/>
      <c r="AY94" s="193"/>
    </row>
    <row r="95" spans="1:51" ht="409.6" x14ac:dyDescent="0.25">
      <c r="A95" s="141">
        <v>89</v>
      </c>
      <c r="B95" s="142" t="s">
        <v>676</v>
      </c>
      <c r="C95" s="164" t="s">
        <v>672</v>
      </c>
      <c r="D95" s="144" t="s">
        <v>675</v>
      </c>
      <c r="E95" s="164" t="s">
        <v>674</v>
      </c>
      <c r="F95" s="144" t="s">
        <v>673</v>
      </c>
      <c r="G95" s="144" t="s">
        <v>496</v>
      </c>
      <c r="H95" s="164">
        <v>2024</v>
      </c>
      <c r="I95" s="164">
        <v>34</v>
      </c>
      <c r="J95" s="164">
        <v>10</v>
      </c>
      <c r="K95" s="459">
        <f t="shared" si="5"/>
        <v>5.666666666666667</v>
      </c>
      <c r="L95" s="459">
        <f t="shared" ref="L95:L110" si="7">I95</f>
        <v>34</v>
      </c>
      <c r="M95" s="164" t="s">
        <v>381</v>
      </c>
      <c r="N95" s="179" t="s">
        <v>381</v>
      </c>
      <c r="O95" s="477">
        <v>45585</v>
      </c>
      <c r="P95" s="482">
        <v>47410</v>
      </c>
      <c r="Q95" s="144">
        <v>45595</v>
      </c>
      <c r="R95" s="144" t="s">
        <v>553</v>
      </c>
      <c r="S95" s="164">
        <v>60</v>
      </c>
      <c r="T95" s="164" t="s">
        <v>18</v>
      </c>
      <c r="U95" s="144" t="s">
        <v>18</v>
      </c>
      <c r="V95" s="164" t="s">
        <v>18</v>
      </c>
      <c r="W95" s="164" t="s">
        <v>18</v>
      </c>
      <c r="X95" s="164" t="s">
        <v>18</v>
      </c>
      <c r="Y95" s="164" t="s">
        <v>18</v>
      </c>
      <c r="Z95" s="164" t="s">
        <v>18</v>
      </c>
      <c r="AA95" s="164" t="s">
        <v>18</v>
      </c>
      <c r="AB95" s="164" t="s">
        <v>18</v>
      </c>
      <c r="AC95" s="477">
        <v>45585</v>
      </c>
      <c r="AD95" s="482">
        <v>47410</v>
      </c>
      <c r="AE95" s="164" t="s">
        <v>130</v>
      </c>
      <c r="AF95" s="460"/>
      <c r="AG95" s="461"/>
      <c r="AH95" s="465"/>
      <c r="AI95" s="171" t="s">
        <v>18</v>
      </c>
      <c r="AJ95" s="171" t="s">
        <v>18</v>
      </c>
      <c r="AK95" s="462"/>
      <c r="AL95" s="144" t="s">
        <v>17</v>
      </c>
      <c r="AM95" s="196" t="s">
        <v>672</v>
      </c>
      <c r="AN95" s="193"/>
      <c r="AO95" s="194">
        <f>SUMIF('TK 15661.Bản quyền phim '!F:F,'KK2. Series'!C95,'TK 15661.Bản quyền phim '!K:K)</f>
        <v>178200000</v>
      </c>
      <c r="AP95" s="194">
        <f>COUNTIF('242.BQ Phim VOD'!$C$5:$C$8,'KK2. Series'!AM95)</f>
        <v>0</v>
      </c>
      <c r="AQ95" s="194">
        <f>COUNTIF('TK 15666. Phim SX'!$C$6:$C$13,'KK2. Series'!AM95)</f>
        <v>0</v>
      </c>
      <c r="AR95" s="193">
        <f>COUNTIF('TK 15661.Bản quyền phim '!F:F,'KK2. Series'!AM95)</f>
        <v>1</v>
      </c>
      <c r="AS95" s="193"/>
      <c r="AT95" s="197">
        <f t="shared" si="6"/>
        <v>1</v>
      </c>
      <c r="AU95" s="193"/>
      <c r="AV95" s="193"/>
      <c r="AW95" s="193"/>
      <c r="AX95" s="193"/>
      <c r="AY95" s="193"/>
    </row>
    <row r="96" spans="1:51" ht="211.2" x14ac:dyDescent="0.25">
      <c r="A96" s="141">
        <v>90</v>
      </c>
      <c r="B96" s="142" t="s">
        <v>671</v>
      </c>
      <c r="C96" s="164" t="s">
        <v>670</v>
      </c>
      <c r="D96" s="144" t="s">
        <v>669</v>
      </c>
      <c r="E96" s="164" t="s">
        <v>668</v>
      </c>
      <c r="F96" s="144" t="s">
        <v>667</v>
      </c>
      <c r="G96" s="164" t="s">
        <v>666</v>
      </c>
      <c r="H96" s="164">
        <v>2024</v>
      </c>
      <c r="I96" s="164">
        <v>8</v>
      </c>
      <c r="J96" s="164">
        <v>60</v>
      </c>
      <c r="K96" s="459">
        <f t="shared" si="5"/>
        <v>8</v>
      </c>
      <c r="L96" s="459">
        <f t="shared" si="7"/>
        <v>8</v>
      </c>
      <c r="M96" s="164" t="s">
        <v>665</v>
      </c>
      <c r="N96" s="436" t="s">
        <v>511</v>
      </c>
      <c r="O96" s="483">
        <v>45638</v>
      </c>
      <c r="P96" s="483">
        <v>48193</v>
      </c>
      <c r="Q96" s="144">
        <v>45629</v>
      </c>
      <c r="R96" s="144" t="s">
        <v>584</v>
      </c>
      <c r="S96" s="181"/>
      <c r="T96" s="445" t="s">
        <v>20</v>
      </c>
      <c r="U96" s="144" t="s">
        <v>18</v>
      </c>
      <c r="V96" s="445" t="s">
        <v>18</v>
      </c>
      <c r="W96" s="445" t="s">
        <v>18</v>
      </c>
      <c r="X96" s="445" t="s">
        <v>18</v>
      </c>
      <c r="Y96" s="445" t="s">
        <v>18</v>
      </c>
      <c r="Z96" s="445" t="s">
        <v>18</v>
      </c>
      <c r="AA96" s="445" t="s">
        <v>18</v>
      </c>
      <c r="AB96" s="445" t="s">
        <v>18</v>
      </c>
      <c r="AC96" s="483">
        <v>45638</v>
      </c>
      <c r="AD96" s="483">
        <v>48193</v>
      </c>
      <c r="AE96" s="445" t="s">
        <v>130</v>
      </c>
      <c r="AF96" s="484"/>
      <c r="AG96" s="485"/>
      <c r="AH96" s="486"/>
      <c r="AI96" s="171" t="s">
        <v>18</v>
      </c>
      <c r="AJ96" s="171" t="s">
        <v>18</v>
      </c>
      <c r="AK96" s="462"/>
      <c r="AL96" s="144" t="s">
        <v>17</v>
      </c>
      <c r="AM96" s="193" t="s">
        <v>664</v>
      </c>
      <c r="AN96" s="193"/>
      <c r="AO96" s="194">
        <f>SUMIF('TK 15661.Bản quyền phim '!F:F,'KK2. Series'!C96,'TK 15661.Bản quyền phim '!K:K)</f>
        <v>0</v>
      </c>
      <c r="AP96" s="194">
        <f>COUNTIF('242.BQ Phim VOD'!$C$5:$C$8,'KK2. Series'!AM96)</f>
        <v>0</v>
      </c>
      <c r="AQ96" s="194">
        <f>COUNTIF('TK 15666. Phim SX'!$C$6:$C$13,'KK2. Series'!AM96)</f>
        <v>0</v>
      </c>
      <c r="AR96" s="193">
        <f>COUNTIF('TK 15661.Bản quyền phim '!F:F,'KK2. Series'!AM96)</f>
        <v>1</v>
      </c>
      <c r="AS96" s="193"/>
      <c r="AT96" s="197">
        <f t="shared" si="6"/>
        <v>1</v>
      </c>
      <c r="AU96" s="193"/>
      <c r="AV96" s="193"/>
      <c r="AW96" s="193"/>
      <c r="AX96" s="193"/>
      <c r="AY96" s="193"/>
    </row>
    <row r="97" spans="1:51" ht="409.6" x14ac:dyDescent="0.25">
      <c r="A97" s="141">
        <v>91</v>
      </c>
      <c r="B97" s="142" t="s">
        <v>663</v>
      </c>
      <c r="C97" s="164" t="s">
        <v>662</v>
      </c>
      <c r="D97" s="431" t="s">
        <v>661</v>
      </c>
      <c r="E97" s="164" t="s">
        <v>352</v>
      </c>
      <c r="F97" s="171" t="s">
        <v>351</v>
      </c>
      <c r="G97" s="164" t="s">
        <v>133</v>
      </c>
      <c r="H97" s="164">
        <v>2020</v>
      </c>
      <c r="I97" s="431">
        <v>32</v>
      </c>
      <c r="J97" s="431">
        <v>35</v>
      </c>
      <c r="K97" s="459">
        <f t="shared" si="5"/>
        <v>18.666666666666668</v>
      </c>
      <c r="L97" s="459">
        <f t="shared" si="7"/>
        <v>32</v>
      </c>
      <c r="M97" s="431" t="s">
        <v>650</v>
      </c>
      <c r="N97" s="433" t="s">
        <v>436</v>
      </c>
      <c r="O97" s="171"/>
      <c r="P97" s="144" t="s">
        <v>349</v>
      </c>
      <c r="Q97" s="144">
        <v>45566</v>
      </c>
      <c r="R97" s="171"/>
      <c r="S97" s="171"/>
      <c r="T97" s="144" t="s">
        <v>20</v>
      </c>
      <c r="U97" s="144" t="s">
        <v>18</v>
      </c>
      <c r="V97" s="144" t="s">
        <v>20</v>
      </c>
      <c r="W97" s="167" t="s">
        <v>18</v>
      </c>
      <c r="X97" s="167" t="s">
        <v>18</v>
      </c>
      <c r="Y97" s="167" t="s">
        <v>18</v>
      </c>
      <c r="Z97" s="167" t="s">
        <v>18</v>
      </c>
      <c r="AA97" s="167" t="s">
        <v>18</v>
      </c>
      <c r="AB97" s="167" t="s">
        <v>18</v>
      </c>
      <c r="AC97" s="476">
        <v>45566</v>
      </c>
      <c r="AD97" s="476">
        <v>46295</v>
      </c>
      <c r="AE97" s="171"/>
      <c r="AF97" s="462"/>
      <c r="AG97" s="474"/>
      <c r="AH97" s="475"/>
      <c r="AI97" s="171" t="s">
        <v>18</v>
      </c>
      <c r="AJ97" s="171" t="s">
        <v>18</v>
      </c>
      <c r="AK97" s="462"/>
      <c r="AL97" s="144" t="s">
        <v>17</v>
      </c>
      <c r="AM97" s="193"/>
      <c r="AN97" s="193"/>
      <c r="AO97" s="194">
        <f>SUMIF('TK 15661.Bản quyền phim '!F:F,'KK2. Series'!C97,'TK 15661.Bản quyền phim '!K:K)</f>
        <v>0</v>
      </c>
      <c r="AP97" s="194">
        <f>COUNTIF('242.BQ Phim VOD'!$C$5:$C$8,'KK2. Series'!AM97)</f>
        <v>0</v>
      </c>
      <c r="AQ97" s="194">
        <f>COUNTIF('TK 15666. Phim SX'!$C$6:$C$13,'KK2. Series'!AM97)</f>
        <v>0</v>
      </c>
      <c r="AR97" s="193">
        <f>COUNTIF('TK 15661.Bản quyền phim '!F:F,'KK2. Series'!AM97)</f>
        <v>0</v>
      </c>
      <c r="AS97" s="193">
        <v>1</v>
      </c>
      <c r="AT97" s="197">
        <f t="shared" si="6"/>
        <v>1</v>
      </c>
      <c r="AU97" s="193"/>
      <c r="AV97" s="193"/>
      <c r="AW97" s="193"/>
      <c r="AX97" s="193"/>
      <c r="AY97" s="193"/>
    </row>
    <row r="98" spans="1:51" ht="409.6" x14ac:dyDescent="0.25">
      <c r="A98" s="141">
        <v>92</v>
      </c>
      <c r="B98" s="142" t="s">
        <v>660</v>
      </c>
      <c r="C98" s="164" t="s">
        <v>659</v>
      </c>
      <c r="D98" s="431" t="s">
        <v>658</v>
      </c>
      <c r="E98" s="164" t="s">
        <v>352</v>
      </c>
      <c r="F98" s="171" t="s">
        <v>351</v>
      </c>
      <c r="G98" s="164" t="s">
        <v>133</v>
      </c>
      <c r="H98" s="164">
        <v>2017</v>
      </c>
      <c r="I98" s="431">
        <v>20</v>
      </c>
      <c r="J98" s="431">
        <v>70</v>
      </c>
      <c r="K98" s="459">
        <f t="shared" si="5"/>
        <v>23.333333333333332</v>
      </c>
      <c r="L98" s="459">
        <f t="shared" si="7"/>
        <v>20</v>
      </c>
      <c r="M98" s="431" t="s">
        <v>618</v>
      </c>
      <c r="N98" s="433" t="s">
        <v>561</v>
      </c>
      <c r="O98" s="171"/>
      <c r="P98" s="144" t="s">
        <v>349</v>
      </c>
      <c r="Q98" s="144">
        <v>45566</v>
      </c>
      <c r="R98" s="171"/>
      <c r="S98" s="171"/>
      <c r="T98" s="144" t="s">
        <v>20</v>
      </c>
      <c r="U98" s="144" t="s">
        <v>18</v>
      </c>
      <c r="V98" s="144" t="s">
        <v>20</v>
      </c>
      <c r="W98" s="167" t="s">
        <v>18</v>
      </c>
      <c r="X98" s="167" t="s">
        <v>18</v>
      </c>
      <c r="Y98" s="167" t="s">
        <v>18</v>
      </c>
      <c r="Z98" s="167" t="s">
        <v>18</v>
      </c>
      <c r="AA98" s="167" t="s">
        <v>18</v>
      </c>
      <c r="AB98" s="167" t="s">
        <v>18</v>
      </c>
      <c r="AC98" s="476">
        <v>45566</v>
      </c>
      <c r="AD98" s="476">
        <v>46295</v>
      </c>
      <c r="AE98" s="171"/>
      <c r="AF98" s="462"/>
      <c r="AG98" s="474"/>
      <c r="AH98" s="475"/>
      <c r="AI98" s="171" t="s">
        <v>18</v>
      </c>
      <c r="AJ98" s="171" t="s">
        <v>18</v>
      </c>
      <c r="AK98" s="462"/>
      <c r="AL98" s="144" t="s">
        <v>17</v>
      </c>
      <c r="AM98" s="193"/>
      <c r="AN98" s="193"/>
      <c r="AO98" s="194">
        <f>SUMIF('TK 15661.Bản quyền phim '!F:F,'KK2. Series'!C98,'TK 15661.Bản quyền phim '!K:K)</f>
        <v>0</v>
      </c>
      <c r="AP98" s="194">
        <f>COUNTIF('242.BQ Phim VOD'!$C$5:$C$8,'KK2. Series'!AM98)</f>
        <v>0</v>
      </c>
      <c r="AQ98" s="194">
        <f>COUNTIF('TK 15666. Phim SX'!$C$6:$C$13,'KK2. Series'!AM98)</f>
        <v>0</v>
      </c>
      <c r="AR98" s="193">
        <f>COUNTIF('TK 15661.Bản quyền phim '!F:F,'KK2. Series'!AM98)</f>
        <v>0</v>
      </c>
      <c r="AS98" s="193">
        <v>1</v>
      </c>
      <c r="AT98" s="197">
        <f t="shared" si="6"/>
        <v>1</v>
      </c>
      <c r="AU98" s="193"/>
      <c r="AV98" s="193"/>
      <c r="AW98" s="193"/>
      <c r="AX98" s="193"/>
      <c r="AY98" s="193"/>
    </row>
    <row r="99" spans="1:51" ht="409.6" x14ac:dyDescent="0.25">
      <c r="A99" s="141">
        <v>93</v>
      </c>
      <c r="B99" s="142" t="s">
        <v>657</v>
      </c>
      <c r="C99" s="164" t="s">
        <v>656</v>
      </c>
      <c r="D99" s="431" t="s">
        <v>655</v>
      </c>
      <c r="E99" s="164" t="s">
        <v>352</v>
      </c>
      <c r="F99" s="171" t="s">
        <v>351</v>
      </c>
      <c r="G99" s="164" t="s">
        <v>133</v>
      </c>
      <c r="H99" s="164">
        <v>2020</v>
      </c>
      <c r="I99" s="431">
        <v>32</v>
      </c>
      <c r="J99" s="431">
        <v>35</v>
      </c>
      <c r="K99" s="459">
        <f t="shared" si="5"/>
        <v>18.666666666666668</v>
      </c>
      <c r="L99" s="459">
        <f t="shared" si="7"/>
        <v>32</v>
      </c>
      <c r="M99" s="431" t="s">
        <v>654</v>
      </c>
      <c r="N99" s="433" t="s">
        <v>511</v>
      </c>
      <c r="O99" s="171"/>
      <c r="P99" s="144" t="s">
        <v>349</v>
      </c>
      <c r="Q99" s="144">
        <v>45566</v>
      </c>
      <c r="R99" s="171"/>
      <c r="S99" s="171"/>
      <c r="T99" s="144" t="s">
        <v>20</v>
      </c>
      <c r="U99" s="144" t="s">
        <v>18</v>
      </c>
      <c r="V99" s="144" t="s">
        <v>20</v>
      </c>
      <c r="W99" s="167" t="s">
        <v>18</v>
      </c>
      <c r="X99" s="167" t="s">
        <v>18</v>
      </c>
      <c r="Y99" s="167" t="s">
        <v>18</v>
      </c>
      <c r="Z99" s="167" t="s">
        <v>18</v>
      </c>
      <c r="AA99" s="167" t="s">
        <v>18</v>
      </c>
      <c r="AB99" s="167" t="s">
        <v>18</v>
      </c>
      <c r="AC99" s="476">
        <v>45566</v>
      </c>
      <c r="AD99" s="476">
        <v>46295</v>
      </c>
      <c r="AE99" s="171"/>
      <c r="AF99" s="462"/>
      <c r="AG99" s="474"/>
      <c r="AH99" s="475"/>
      <c r="AI99" s="171" t="s">
        <v>18</v>
      </c>
      <c r="AJ99" s="171" t="s">
        <v>18</v>
      </c>
      <c r="AK99" s="462"/>
      <c r="AL99" s="144" t="s">
        <v>17</v>
      </c>
      <c r="AM99" s="193"/>
      <c r="AN99" s="193"/>
      <c r="AO99" s="194">
        <f>SUMIF('TK 15661.Bản quyền phim '!F:F,'KK2. Series'!C99,'TK 15661.Bản quyền phim '!K:K)</f>
        <v>0</v>
      </c>
      <c r="AP99" s="194">
        <f>COUNTIF('242.BQ Phim VOD'!$C$5:$C$8,'KK2. Series'!AM99)</f>
        <v>0</v>
      </c>
      <c r="AQ99" s="194">
        <f>COUNTIF('TK 15666. Phim SX'!$C$6:$C$13,'KK2. Series'!AM99)</f>
        <v>0</v>
      </c>
      <c r="AR99" s="193">
        <f>COUNTIF('TK 15661.Bản quyền phim '!F:F,'KK2. Series'!AM99)</f>
        <v>0</v>
      </c>
      <c r="AS99" s="193">
        <v>1</v>
      </c>
      <c r="AT99" s="197">
        <f t="shared" si="6"/>
        <v>1</v>
      </c>
      <c r="AU99" s="193"/>
      <c r="AV99" s="193"/>
      <c r="AW99" s="193"/>
      <c r="AX99" s="193"/>
      <c r="AY99" s="193"/>
    </row>
    <row r="100" spans="1:51" ht="409.6" x14ac:dyDescent="0.25">
      <c r="A100" s="141">
        <v>94</v>
      </c>
      <c r="B100" s="142" t="s">
        <v>653</v>
      </c>
      <c r="C100" s="164" t="s">
        <v>652</v>
      </c>
      <c r="D100" s="431" t="s">
        <v>651</v>
      </c>
      <c r="E100" s="164" t="s">
        <v>352</v>
      </c>
      <c r="F100" s="171" t="s">
        <v>351</v>
      </c>
      <c r="G100" s="164" t="s">
        <v>133</v>
      </c>
      <c r="H100" s="164">
        <v>2017</v>
      </c>
      <c r="I100" s="431">
        <v>32</v>
      </c>
      <c r="J100" s="431">
        <v>35</v>
      </c>
      <c r="K100" s="459">
        <f t="shared" si="5"/>
        <v>18.666666666666668</v>
      </c>
      <c r="L100" s="459">
        <f t="shared" si="7"/>
        <v>32</v>
      </c>
      <c r="M100" s="431" t="s">
        <v>650</v>
      </c>
      <c r="N100" s="433" t="s">
        <v>350</v>
      </c>
      <c r="O100" s="171"/>
      <c r="P100" s="144" t="s">
        <v>349</v>
      </c>
      <c r="Q100" s="144">
        <v>45566</v>
      </c>
      <c r="R100" s="171"/>
      <c r="S100" s="171"/>
      <c r="T100" s="144" t="s">
        <v>20</v>
      </c>
      <c r="U100" s="144" t="s">
        <v>18</v>
      </c>
      <c r="V100" s="144" t="s">
        <v>20</v>
      </c>
      <c r="W100" s="167" t="s">
        <v>18</v>
      </c>
      <c r="X100" s="167" t="s">
        <v>18</v>
      </c>
      <c r="Y100" s="167" t="s">
        <v>18</v>
      </c>
      <c r="Z100" s="167" t="s">
        <v>18</v>
      </c>
      <c r="AA100" s="167" t="s">
        <v>18</v>
      </c>
      <c r="AB100" s="167" t="s">
        <v>18</v>
      </c>
      <c r="AC100" s="476">
        <v>45566</v>
      </c>
      <c r="AD100" s="476">
        <v>46295</v>
      </c>
      <c r="AE100" s="171"/>
      <c r="AF100" s="462"/>
      <c r="AG100" s="474"/>
      <c r="AH100" s="475"/>
      <c r="AI100" s="171" t="s">
        <v>18</v>
      </c>
      <c r="AJ100" s="171" t="s">
        <v>18</v>
      </c>
      <c r="AK100" s="462"/>
      <c r="AL100" s="144" t="s">
        <v>17</v>
      </c>
      <c r="AM100" s="193"/>
      <c r="AN100" s="193"/>
      <c r="AO100" s="194">
        <f>SUMIF('TK 15661.Bản quyền phim '!F:F,'KK2. Series'!C100,'TK 15661.Bản quyền phim '!K:K)</f>
        <v>0</v>
      </c>
      <c r="AP100" s="194">
        <f>COUNTIF('242.BQ Phim VOD'!$C$5:$C$8,'KK2. Series'!AM100)</f>
        <v>0</v>
      </c>
      <c r="AQ100" s="194">
        <f>COUNTIF('TK 15666. Phim SX'!$C$6:$C$13,'KK2. Series'!AM100)</f>
        <v>0</v>
      </c>
      <c r="AR100" s="193">
        <f>COUNTIF('TK 15661.Bản quyền phim '!F:F,'KK2. Series'!AM100)</f>
        <v>0</v>
      </c>
      <c r="AS100" s="193">
        <v>1</v>
      </c>
      <c r="AT100" s="197">
        <f t="shared" si="6"/>
        <v>1</v>
      </c>
      <c r="AU100" s="193"/>
      <c r="AV100" s="193"/>
      <c r="AW100" s="193"/>
      <c r="AX100" s="193"/>
      <c r="AY100" s="193"/>
    </row>
    <row r="101" spans="1:51" ht="409.6" x14ac:dyDescent="0.25">
      <c r="A101" s="141">
        <v>95</v>
      </c>
      <c r="B101" s="142" t="s">
        <v>649</v>
      </c>
      <c r="C101" s="164" t="s">
        <v>648</v>
      </c>
      <c r="D101" s="431" t="s">
        <v>647</v>
      </c>
      <c r="E101" s="164" t="s">
        <v>352</v>
      </c>
      <c r="F101" s="171" t="s">
        <v>351</v>
      </c>
      <c r="G101" s="164" t="s">
        <v>133</v>
      </c>
      <c r="H101" s="164">
        <v>2017</v>
      </c>
      <c r="I101" s="431">
        <v>40</v>
      </c>
      <c r="J101" s="431">
        <v>35</v>
      </c>
      <c r="K101" s="459">
        <f t="shared" si="5"/>
        <v>23.333333333333332</v>
      </c>
      <c r="L101" s="459">
        <f t="shared" si="7"/>
        <v>40</v>
      </c>
      <c r="M101" s="431" t="s">
        <v>646</v>
      </c>
      <c r="N101" s="433" t="s">
        <v>350</v>
      </c>
      <c r="O101" s="171"/>
      <c r="P101" s="144" t="s">
        <v>349</v>
      </c>
      <c r="Q101" s="144">
        <v>45566</v>
      </c>
      <c r="R101" s="171"/>
      <c r="S101" s="171"/>
      <c r="T101" s="144" t="s">
        <v>20</v>
      </c>
      <c r="U101" s="144" t="s">
        <v>18</v>
      </c>
      <c r="V101" s="144" t="s">
        <v>20</v>
      </c>
      <c r="W101" s="167" t="s">
        <v>18</v>
      </c>
      <c r="X101" s="167" t="s">
        <v>18</v>
      </c>
      <c r="Y101" s="167" t="s">
        <v>18</v>
      </c>
      <c r="Z101" s="167" t="s">
        <v>18</v>
      </c>
      <c r="AA101" s="167" t="s">
        <v>18</v>
      </c>
      <c r="AB101" s="167" t="s">
        <v>18</v>
      </c>
      <c r="AC101" s="476">
        <v>45566</v>
      </c>
      <c r="AD101" s="476">
        <v>46295</v>
      </c>
      <c r="AE101" s="171"/>
      <c r="AF101" s="462"/>
      <c r="AG101" s="474"/>
      <c r="AH101" s="475"/>
      <c r="AI101" s="171" t="s">
        <v>18</v>
      </c>
      <c r="AJ101" s="171" t="s">
        <v>18</v>
      </c>
      <c r="AK101" s="462"/>
      <c r="AL101" s="144" t="s">
        <v>17</v>
      </c>
      <c r="AM101" s="193"/>
      <c r="AN101" s="193"/>
      <c r="AO101" s="194">
        <f>SUMIF('TK 15661.Bản quyền phim '!F:F,'KK2. Series'!C101,'TK 15661.Bản quyền phim '!K:K)</f>
        <v>0</v>
      </c>
      <c r="AP101" s="194">
        <f>COUNTIF('242.BQ Phim VOD'!$C$5:$C$8,'KK2. Series'!AM101)</f>
        <v>0</v>
      </c>
      <c r="AQ101" s="194">
        <f>COUNTIF('TK 15666. Phim SX'!$C$6:$C$13,'KK2. Series'!AM101)</f>
        <v>0</v>
      </c>
      <c r="AR101" s="193">
        <f>COUNTIF('TK 15661.Bản quyền phim '!F:F,'KK2. Series'!AM101)</f>
        <v>0</v>
      </c>
      <c r="AS101" s="193">
        <v>1</v>
      </c>
      <c r="AT101" s="197">
        <f t="shared" si="6"/>
        <v>1</v>
      </c>
      <c r="AU101" s="193"/>
      <c r="AV101" s="193"/>
      <c r="AW101" s="193"/>
      <c r="AX101" s="193"/>
      <c r="AY101" s="193"/>
    </row>
    <row r="102" spans="1:51" ht="409.6" x14ac:dyDescent="0.25">
      <c r="A102" s="141">
        <v>96</v>
      </c>
      <c r="B102" s="142" t="s">
        <v>645</v>
      </c>
      <c r="C102" s="164" t="s">
        <v>644</v>
      </c>
      <c r="D102" s="431" t="s">
        <v>643</v>
      </c>
      <c r="E102" s="164" t="s">
        <v>352</v>
      </c>
      <c r="F102" s="171" t="s">
        <v>351</v>
      </c>
      <c r="G102" s="164" t="s">
        <v>133</v>
      </c>
      <c r="H102" s="164">
        <v>2019</v>
      </c>
      <c r="I102" s="431">
        <v>32</v>
      </c>
      <c r="J102" s="431">
        <v>35</v>
      </c>
      <c r="K102" s="459">
        <f t="shared" si="5"/>
        <v>18.666666666666668</v>
      </c>
      <c r="L102" s="459">
        <f t="shared" si="7"/>
        <v>32</v>
      </c>
      <c r="M102" s="431" t="s">
        <v>642</v>
      </c>
      <c r="N102" s="433" t="s">
        <v>350</v>
      </c>
      <c r="O102" s="171"/>
      <c r="P102" s="144" t="s">
        <v>349</v>
      </c>
      <c r="Q102" s="144">
        <v>45566</v>
      </c>
      <c r="R102" s="171"/>
      <c r="S102" s="171"/>
      <c r="T102" s="144" t="s">
        <v>20</v>
      </c>
      <c r="U102" s="144" t="s">
        <v>18</v>
      </c>
      <c r="V102" s="144" t="s">
        <v>20</v>
      </c>
      <c r="W102" s="167" t="s">
        <v>18</v>
      </c>
      <c r="X102" s="167" t="s">
        <v>18</v>
      </c>
      <c r="Y102" s="167" t="s">
        <v>18</v>
      </c>
      <c r="Z102" s="167" t="s">
        <v>18</v>
      </c>
      <c r="AA102" s="167" t="s">
        <v>18</v>
      </c>
      <c r="AB102" s="167" t="s">
        <v>18</v>
      </c>
      <c r="AC102" s="476">
        <v>45566</v>
      </c>
      <c r="AD102" s="476">
        <v>46295</v>
      </c>
      <c r="AE102" s="171"/>
      <c r="AF102" s="462"/>
      <c r="AG102" s="474"/>
      <c r="AH102" s="475"/>
      <c r="AI102" s="171" t="s">
        <v>18</v>
      </c>
      <c r="AJ102" s="171" t="s">
        <v>18</v>
      </c>
      <c r="AK102" s="462"/>
      <c r="AL102" s="144" t="s">
        <v>17</v>
      </c>
      <c r="AM102" s="193"/>
      <c r="AN102" s="193"/>
      <c r="AO102" s="194">
        <f>SUMIF('TK 15661.Bản quyền phim '!F:F,'KK2. Series'!C102,'TK 15661.Bản quyền phim '!K:K)</f>
        <v>0</v>
      </c>
      <c r="AP102" s="194">
        <f>COUNTIF('242.BQ Phim VOD'!$C$5:$C$8,'KK2. Series'!AM102)</f>
        <v>0</v>
      </c>
      <c r="AQ102" s="194">
        <f>COUNTIF('TK 15666. Phim SX'!$C$6:$C$13,'KK2. Series'!AM102)</f>
        <v>0</v>
      </c>
      <c r="AR102" s="193">
        <f>COUNTIF('TK 15661.Bản quyền phim '!F:F,'KK2. Series'!AM102)</f>
        <v>0</v>
      </c>
      <c r="AS102" s="193">
        <v>1</v>
      </c>
      <c r="AT102" s="197">
        <f t="shared" si="6"/>
        <v>1</v>
      </c>
      <c r="AU102" s="193"/>
      <c r="AV102" s="193"/>
      <c r="AW102" s="193"/>
      <c r="AX102" s="193"/>
      <c r="AY102" s="193"/>
    </row>
    <row r="103" spans="1:51" ht="409.6" x14ac:dyDescent="0.25">
      <c r="A103" s="141">
        <v>97</v>
      </c>
      <c r="B103" s="142" t="s">
        <v>641</v>
      </c>
      <c r="C103" s="164" t="s">
        <v>640</v>
      </c>
      <c r="D103" s="431" t="s">
        <v>639</v>
      </c>
      <c r="E103" s="164" t="s">
        <v>352</v>
      </c>
      <c r="F103" s="171" t="s">
        <v>351</v>
      </c>
      <c r="G103" s="164" t="s">
        <v>133</v>
      </c>
      <c r="H103" s="164">
        <v>2017</v>
      </c>
      <c r="I103" s="431">
        <v>40</v>
      </c>
      <c r="J103" s="431">
        <v>35</v>
      </c>
      <c r="K103" s="459">
        <f t="shared" ref="K103:K134" si="8">(I103*J103)/60</f>
        <v>23.333333333333332</v>
      </c>
      <c r="L103" s="459">
        <f t="shared" si="7"/>
        <v>40</v>
      </c>
      <c r="M103" s="431" t="s">
        <v>618</v>
      </c>
      <c r="N103" s="433" t="s">
        <v>561</v>
      </c>
      <c r="O103" s="171"/>
      <c r="P103" s="144" t="s">
        <v>349</v>
      </c>
      <c r="Q103" s="144">
        <v>45566</v>
      </c>
      <c r="R103" s="171"/>
      <c r="S103" s="171"/>
      <c r="T103" s="144" t="s">
        <v>20</v>
      </c>
      <c r="U103" s="144" t="s">
        <v>18</v>
      </c>
      <c r="V103" s="144" t="s">
        <v>20</v>
      </c>
      <c r="W103" s="167" t="s">
        <v>18</v>
      </c>
      <c r="X103" s="167" t="s">
        <v>18</v>
      </c>
      <c r="Y103" s="167" t="s">
        <v>18</v>
      </c>
      <c r="Z103" s="167" t="s">
        <v>18</v>
      </c>
      <c r="AA103" s="167" t="s">
        <v>18</v>
      </c>
      <c r="AB103" s="167" t="s">
        <v>18</v>
      </c>
      <c r="AC103" s="476">
        <v>45566</v>
      </c>
      <c r="AD103" s="476">
        <v>46295</v>
      </c>
      <c r="AE103" s="171"/>
      <c r="AF103" s="462"/>
      <c r="AG103" s="474"/>
      <c r="AH103" s="475"/>
      <c r="AI103" s="171" t="s">
        <v>18</v>
      </c>
      <c r="AJ103" s="171" t="s">
        <v>18</v>
      </c>
      <c r="AK103" s="462"/>
      <c r="AL103" s="144" t="s">
        <v>17</v>
      </c>
      <c r="AM103" s="193"/>
      <c r="AN103" s="193"/>
      <c r="AO103" s="194">
        <f>SUMIF('TK 15661.Bản quyền phim '!F:F,'KK2. Series'!C103,'TK 15661.Bản quyền phim '!K:K)</f>
        <v>0</v>
      </c>
      <c r="AP103" s="194">
        <f>COUNTIF('242.BQ Phim VOD'!$C$5:$C$8,'KK2. Series'!AM103)</f>
        <v>0</v>
      </c>
      <c r="AQ103" s="194">
        <f>COUNTIF('TK 15666. Phim SX'!$C$6:$C$13,'KK2. Series'!AM103)</f>
        <v>0</v>
      </c>
      <c r="AR103" s="193">
        <f>COUNTIF('TK 15661.Bản quyền phim '!F:F,'KK2. Series'!AM103)</f>
        <v>0</v>
      </c>
      <c r="AS103" s="193">
        <v>1</v>
      </c>
      <c r="AT103" s="197">
        <f t="shared" si="6"/>
        <v>1</v>
      </c>
      <c r="AU103" s="193"/>
      <c r="AV103" s="193"/>
      <c r="AW103" s="193"/>
      <c r="AX103" s="193"/>
      <c r="AY103" s="193"/>
    </row>
    <row r="104" spans="1:51" ht="409.6" x14ac:dyDescent="0.25">
      <c r="A104" s="141">
        <v>98</v>
      </c>
      <c r="B104" s="142" t="s">
        <v>638</v>
      </c>
      <c r="C104" s="164" t="s">
        <v>637</v>
      </c>
      <c r="D104" s="431" t="s">
        <v>636</v>
      </c>
      <c r="E104" s="164" t="s">
        <v>352</v>
      </c>
      <c r="F104" s="171" t="s">
        <v>351</v>
      </c>
      <c r="G104" s="164" t="s">
        <v>133</v>
      </c>
      <c r="H104" s="164">
        <v>2019</v>
      </c>
      <c r="I104" s="431">
        <v>36</v>
      </c>
      <c r="J104" s="431">
        <v>70</v>
      </c>
      <c r="K104" s="459">
        <f t="shared" si="8"/>
        <v>42</v>
      </c>
      <c r="L104" s="459">
        <f t="shared" si="7"/>
        <v>36</v>
      </c>
      <c r="M104" s="431" t="s">
        <v>622</v>
      </c>
      <c r="N104" s="433" t="s">
        <v>350</v>
      </c>
      <c r="O104" s="171"/>
      <c r="P104" s="144" t="s">
        <v>349</v>
      </c>
      <c r="Q104" s="144">
        <v>45566</v>
      </c>
      <c r="R104" s="171"/>
      <c r="S104" s="171"/>
      <c r="T104" s="144" t="s">
        <v>20</v>
      </c>
      <c r="U104" s="144" t="s">
        <v>18</v>
      </c>
      <c r="V104" s="144" t="s">
        <v>20</v>
      </c>
      <c r="W104" s="167" t="s">
        <v>18</v>
      </c>
      <c r="X104" s="167" t="s">
        <v>18</v>
      </c>
      <c r="Y104" s="167" t="s">
        <v>18</v>
      </c>
      <c r="Z104" s="167" t="s">
        <v>18</v>
      </c>
      <c r="AA104" s="167" t="s">
        <v>18</v>
      </c>
      <c r="AB104" s="167" t="s">
        <v>18</v>
      </c>
      <c r="AC104" s="476">
        <v>45566</v>
      </c>
      <c r="AD104" s="476">
        <v>46295</v>
      </c>
      <c r="AE104" s="171"/>
      <c r="AF104" s="462"/>
      <c r="AG104" s="474"/>
      <c r="AH104" s="475"/>
      <c r="AI104" s="171" t="s">
        <v>18</v>
      </c>
      <c r="AJ104" s="171" t="s">
        <v>18</v>
      </c>
      <c r="AK104" s="462"/>
      <c r="AL104" s="144" t="s">
        <v>17</v>
      </c>
      <c r="AM104" s="193"/>
      <c r="AN104" s="193"/>
      <c r="AO104" s="194">
        <f>SUMIF('TK 15661.Bản quyền phim '!F:F,'KK2. Series'!C104,'TK 15661.Bản quyền phim '!K:K)</f>
        <v>0</v>
      </c>
      <c r="AP104" s="194">
        <f>COUNTIF('242.BQ Phim VOD'!$C$5:$C$8,'KK2. Series'!AM104)</f>
        <v>0</v>
      </c>
      <c r="AQ104" s="194">
        <f>COUNTIF('TK 15666. Phim SX'!$C$6:$C$13,'KK2. Series'!AM104)</f>
        <v>0</v>
      </c>
      <c r="AR104" s="193">
        <f>COUNTIF('TK 15661.Bản quyền phim '!F:F,'KK2. Series'!AM104)</f>
        <v>0</v>
      </c>
      <c r="AS104" s="193">
        <v>1</v>
      </c>
      <c r="AT104" s="197">
        <f t="shared" si="6"/>
        <v>1</v>
      </c>
      <c r="AU104" s="193"/>
      <c r="AV104" s="193"/>
      <c r="AW104" s="193"/>
      <c r="AX104" s="193"/>
      <c r="AY104" s="193"/>
    </row>
    <row r="105" spans="1:51" ht="409.6" x14ac:dyDescent="0.25">
      <c r="A105" s="141">
        <v>99</v>
      </c>
      <c r="B105" s="142" t="s">
        <v>635</v>
      </c>
      <c r="C105" s="431" t="s">
        <v>634</v>
      </c>
      <c r="D105" s="431" t="s">
        <v>633</v>
      </c>
      <c r="E105" s="164" t="s">
        <v>352</v>
      </c>
      <c r="F105" s="171" t="s">
        <v>351</v>
      </c>
      <c r="G105" s="164" t="s">
        <v>133</v>
      </c>
      <c r="H105" s="164">
        <v>2022</v>
      </c>
      <c r="I105" s="431">
        <v>122</v>
      </c>
      <c r="J105" s="431">
        <v>35</v>
      </c>
      <c r="K105" s="459">
        <f t="shared" si="8"/>
        <v>71.166666666666671</v>
      </c>
      <c r="L105" s="459">
        <f t="shared" si="7"/>
        <v>122</v>
      </c>
      <c r="M105" s="431" t="s">
        <v>622</v>
      </c>
      <c r="N105" s="433" t="s">
        <v>350</v>
      </c>
      <c r="O105" s="171"/>
      <c r="P105" s="144" t="s">
        <v>349</v>
      </c>
      <c r="Q105" s="144">
        <v>45566</v>
      </c>
      <c r="R105" s="171"/>
      <c r="S105" s="171"/>
      <c r="T105" s="144" t="s">
        <v>20</v>
      </c>
      <c r="U105" s="144" t="s">
        <v>18</v>
      </c>
      <c r="V105" s="144" t="s">
        <v>20</v>
      </c>
      <c r="W105" s="167" t="s">
        <v>18</v>
      </c>
      <c r="X105" s="167" t="s">
        <v>18</v>
      </c>
      <c r="Y105" s="167" t="s">
        <v>18</v>
      </c>
      <c r="Z105" s="167" t="s">
        <v>18</v>
      </c>
      <c r="AA105" s="167" t="s">
        <v>18</v>
      </c>
      <c r="AB105" s="167" t="s">
        <v>18</v>
      </c>
      <c r="AC105" s="476">
        <v>45566</v>
      </c>
      <c r="AD105" s="476">
        <v>46295</v>
      </c>
      <c r="AE105" s="171"/>
      <c r="AF105" s="462"/>
      <c r="AG105" s="474"/>
      <c r="AH105" s="475"/>
      <c r="AI105" s="171" t="s">
        <v>18</v>
      </c>
      <c r="AJ105" s="171" t="s">
        <v>18</v>
      </c>
      <c r="AK105" s="462"/>
      <c r="AL105" s="144" t="s">
        <v>17</v>
      </c>
      <c r="AM105" s="193"/>
      <c r="AN105" s="193"/>
      <c r="AO105" s="194">
        <f>SUMIF('TK 15661.Bản quyền phim '!F:F,'KK2. Series'!C105,'TK 15661.Bản quyền phim '!K:K)</f>
        <v>0</v>
      </c>
      <c r="AP105" s="194">
        <f>COUNTIF('242.BQ Phim VOD'!$C$5:$C$8,'KK2. Series'!AM105)</f>
        <v>0</v>
      </c>
      <c r="AQ105" s="194">
        <f>COUNTIF('TK 15666. Phim SX'!$C$6:$C$13,'KK2. Series'!AM105)</f>
        <v>0</v>
      </c>
      <c r="AR105" s="193">
        <f>COUNTIF('TK 15661.Bản quyền phim '!F:F,'KK2. Series'!AM105)</f>
        <v>0</v>
      </c>
      <c r="AS105" s="193">
        <v>1</v>
      </c>
      <c r="AT105" s="197">
        <f t="shared" si="6"/>
        <v>1</v>
      </c>
      <c r="AU105" s="193"/>
      <c r="AV105" s="193"/>
      <c r="AW105" s="193"/>
      <c r="AX105" s="193"/>
      <c r="AY105" s="193"/>
    </row>
    <row r="106" spans="1:51" ht="409.6" x14ac:dyDescent="0.25">
      <c r="A106" s="141">
        <v>100</v>
      </c>
      <c r="B106" s="142" t="s">
        <v>632</v>
      </c>
      <c r="C106" s="164" t="s">
        <v>631</v>
      </c>
      <c r="D106" s="164" t="s">
        <v>630</v>
      </c>
      <c r="E106" s="164" t="s">
        <v>352</v>
      </c>
      <c r="F106" s="171" t="s">
        <v>351</v>
      </c>
      <c r="G106" s="164" t="s">
        <v>133</v>
      </c>
      <c r="H106" s="164">
        <v>2019</v>
      </c>
      <c r="I106" s="164">
        <v>30</v>
      </c>
      <c r="J106" s="164">
        <v>70</v>
      </c>
      <c r="K106" s="459">
        <f t="shared" si="8"/>
        <v>35</v>
      </c>
      <c r="L106" s="459">
        <f t="shared" si="7"/>
        <v>30</v>
      </c>
      <c r="M106" s="164" t="s">
        <v>622</v>
      </c>
      <c r="N106" s="433" t="s">
        <v>350</v>
      </c>
      <c r="O106" s="171"/>
      <c r="P106" s="144" t="s">
        <v>349</v>
      </c>
      <c r="Q106" s="144">
        <v>45566</v>
      </c>
      <c r="R106" s="171"/>
      <c r="S106" s="171"/>
      <c r="T106" s="144" t="s">
        <v>20</v>
      </c>
      <c r="U106" s="144" t="s">
        <v>18</v>
      </c>
      <c r="V106" s="144" t="s">
        <v>20</v>
      </c>
      <c r="W106" s="167" t="s">
        <v>18</v>
      </c>
      <c r="X106" s="167" t="s">
        <v>18</v>
      </c>
      <c r="Y106" s="167" t="s">
        <v>18</v>
      </c>
      <c r="Z106" s="167" t="s">
        <v>18</v>
      </c>
      <c r="AA106" s="167" t="s">
        <v>18</v>
      </c>
      <c r="AB106" s="167" t="s">
        <v>18</v>
      </c>
      <c r="AC106" s="476">
        <v>45566</v>
      </c>
      <c r="AD106" s="476">
        <v>46387</v>
      </c>
      <c r="AE106" s="171"/>
      <c r="AF106" s="462"/>
      <c r="AG106" s="474"/>
      <c r="AH106" s="475"/>
      <c r="AI106" s="171" t="s">
        <v>18</v>
      </c>
      <c r="AJ106" s="171" t="s">
        <v>18</v>
      </c>
      <c r="AK106" s="462"/>
      <c r="AL106" s="144" t="s">
        <v>17</v>
      </c>
      <c r="AM106" s="193"/>
      <c r="AN106" s="193"/>
      <c r="AO106" s="194">
        <f>SUMIF('TK 15661.Bản quyền phim '!F:F,'KK2. Series'!C106,'TK 15661.Bản quyền phim '!K:K)</f>
        <v>0</v>
      </c>
      <c r="AP106" s="194">
        <f>COUNTIF('242.BQ Phim VOD'!$C$5:$C$8,'KK2. Series'!AM106)</f>
        <v>0</v>
      </c>
      <c r="AQ106" s="194">
        <f>COUNTIF('TK 15666. Phim SX'!$C$6:$C$13,'KK2. Series'!AM106)</f>
        <v>0</v>
      </c>
      <c r="AR106" s="193">
        <f>COUNTIF('TK 15661.Bản quyền phim '!F:F,'KK2. Series'!AM106)</f>
        <v>0</v>
      </c>
      <c r="AS106" s="193">
        <v>1</v>
      </c>
      <c r="AT106" s="197">
        <f t="shared" si="6"/>
        <v>1</v>
      </c>
      <c r="AU106" s="193"/>
      <c r="AV106" s="193"/>
      <c r="AW106" s="193"/>
      <c r="AX106" s="193"/>
      <c r="AY106" s="193"/>
    </row>
    <row r="107" spans="1:51" ht="409.6" x14ac:dyDescent="0.25">
      <c r="A107" s="141">
        <v>101</v>
      </c>
      <c r="B107" s="142" t="s">
        <v>629</v>
      </c>
      <c r="C107" s="164" t="s">
        <v>628</v>
      </c>
      <c r="D107" s="164" t="s">
        <v>627</v>
      </c>
      <c r="E107" s="164" t="s">
        <v>352</v>
      </c>
      <c r="F107" s="171" t="s">
        <v>351</v>
      </c>
      <c r="G107" s="164" t="s">
        <v>133</v>
      </c>
      <c r="H107" s="164">
        <v>2017</v>
      </c>
      <c r="I107" s="164">
        <v>50</v>
      </c>
      <c r="J107" s="164">
        <v>70</v>
      </c>
      <c r="K107" s="459">
        <f t="shared" si="8"/>
        <v>58.333333333333336</v>
      </c>
      <c r="L107" s="459">
        <f t="shared" si="7"/>
        <v>50</v>
      </c>
      <c r="M107" s="164" t="s">
        <v>626</v>
      </c>
      <c r="N107" s="433" t="s">
        <v>350</v>
      </c>
      <c r="O107" s="171"/>
      <c r="P107" s="144" t="s">
        <v>349</v>
      </c>
      <c r="Q107" s="144">
        <v>45566</v>
      </c>
      <c r="R107" s="171"/>
      <c r="S107" s="171"/>
      <c r="T107" s="144" t="s">
        <v>20</v>
      </c>
      <c r="U107" s="144" t="s">
        <v>18</v>
      </c>
      <c r="V107" s="144" t="s">
        <v>20</v>
      </c>
      <c r="W107" s="167" t="s">
        <v>18</v>
      </c>
      <c r="X107" s="167" t="s">
        <v>18</v>
      </c>
      <c r="Y107" s="167" t="s">
        <v>18</v>
      </c>
      <c r="Z107" s="167" t="s">
        <v>18</v>
      </c>
      <c r="AA107" s="167" t="s">
        <v>18</v>
      </c>
      <c r="AB107" s="167" t="s">
        <v>18</v>
      </c>
      <c r="AC107" s="476">
        <v>45566</v>
      </c>
      <c r="AD107" s="476">
        <v>46387</v>
      </c>
      <c r="AE107" s="171"/>
      <c r="AF107" s="462"/>
      <c r="AG107" s="474"/>
      <c r="AH107" s="475"/>
      <c r="AI107" s="171" t="s">
        <v>18</v>
      </c>
      <c r="AJ107" s="171" t="s">
        <v>18</v>
      </c>
      <c r="AK107" s="462"/>
      <c r="AL107" s="144" t="s">
        <v>17</v>
      </c>
      <c r="AM107" s="193"/>
      <c r="AN107" s="193"/>
      <c r="AO107" s="194">
        <f>SUMIF('TK 15661.Bản quyền phim '!F:F,'KK2. Series'!C107,'TK 15661.Bản quyền phim '!K:K)</f>
        <v>0</v>
      </c>
      <c r="AP107" s="194">
        <f>COUNTIF('242.BQ Phim VOD'!$C$5:$C$8,'KK2. Series'!AM107)</f>
        <v>0</v>
      </c>
      <c r="AQ107" s="194">
        <f>COUNTIF('TK 15666. Phim SX'!$C$6:$C$13,'KK2. Series'!AM107)</f>
        <v>0</v>
      </c>
      <c r="AR107" s="193">
        <f>COUNTIF('TK 15661.Bản quyền phim '!F:F,'KK2. Series'!AM107)</f>
        <v>0</v>
      </c>
      <c r="AS107" s="193">
        <v>1</v>
      </c>
      <c r="AT107" s="197">
        <f t="shared" si="6"/>
        <v>1</v>
      </c>
      <c r="AU107" s="193"/>
      <c r="AV107" s="193"/>
      <c r="AW107" s="193"/>
      <c r="AX107" s="193"/>
      <c r="AY107" s="193"/>
    </row>
    <row r="108" spans="1:51" ht="211.2" x14ac:dyDescent="0.25">
      <c r="A108" s="141">
        <v>102</v>
      </c>
      <c r="B108" s="142" t="s">
        <v>625</v>
      </c>
      <c r="C108" s="164" t="s">
        <v>624</v>
      </c>
      <c r="D108" s="431" t="s">
        <v>623</v>
      </c>
      <c r="E108" s="164" t="s">
        <v>352</v>
      </c>
      <c r="F108" s="171" t="s">
        <v>351</v>
      </c>
      <c r="G108" s="164" t="s">
        <v>133</v>
      </c>
      <c r="H108" s="164">
        <v>2018</v>
      </c>
      <c r="I108" s="431">
        <v>16</v>
      </c>
      <c r="J108" s="431">
        <v>70</v>
      </c>
      <c r="K108" s="459">
        <f t="shared" si="8"/>
        <v>18.666666666666668</v>
      </c>
      <c r="L108" s="459">
        <f t="shared" si="7"/>
        <v>16</v>
      </c>
      <c r="M108" s="431" t="s">
        <v>622</v>
      </c>
      <c r="N108" s="433" t="s">
        <v>436</v>
      </c>
      <c r="O108" s="171"/>
      <c r="P108" s="144" t="s">
        <v>349</v>
      </c>
      <c r="Q108" s="144">
        <v>45566</v>
      </c>
      <c r="R108" s="171"/>
      <c r="S108" s="171"/>
      <c r="T108" s="144" t="s">
        <v>20</v>
      </c>
      <c r="U108" s="144" t="s">
        <v>18</v>
      </c>
      <c r="V108" s="144" t="s">
        <v>20</v>
      </c>
      <c r="W108" s="167" t="s">
        <v>18</v>
      </c>
      <c r="X108" s="167" t="s">
        <v>18</v>
      </c>
      <c r="Y108" s="167" t="s">
        <v>18</v>
      </c>
      <c r="Z108" s="167" t="s">
        <v>18</v>
      </c>
      <c r="AA108" s="167" t="s">
        <v>18</v>
      </c>
      <c r="AB108" s="167" t="s">
        <v>18</v>
      </c>
      <c r="AC108" s="476">
        <v>45566</v>
      </c>
      <c r="AD108" s="476">
        <v>46387</v>
      </c>
      <c r="AE108" s="171"/>
      <c r="AF108" s="462"/>
      <c r="AG108" s="474"/>
      <c r="AH108" s="475"/>
      <c r="AI108" s="171" t="s">
        <v>18</v>
      </c>
      <c r="AJ108" s="171" t="s">
        <v>18</v>
      </c>
      <c r="AK108" s="462"/>
      <c r="AL108" s="144" t="s">
        <v>17</v>
      </c>
      <c r="AM108" s="193"/>
      <c r="AN108" s="193"/>
      <c r="AO108" s="194">
        <f>SUMIF('TK 15661.Bản quyền phim '!F:F,'KK2. Series'!C108,'TK 15661.Bản quyền phim '!K:K)</f>
        <v>0</v>
      </c>
      <c r="AP108" s="194">
        <f>COUNTIF('242.BQ Phim VOD'!$C$5:$C$8,'KK2. Series'!AM108)</f>
        <v>0</v>
      </c>
      <c r="AQ108" s="194">
        <f>COUNTIF('TK 15666. Phim SX'!$C$6:$C$13,'KK2. Series'!AM108)</f>
        <v>0</v>
      </c>
      <c r="AR108" s="193">
        <f>COUNTIF('TK 15661.Bản quyền phim '!F:F,'KK2. Series'!AM108)</f>
        <v>0</v>
      </c>
      <c r="AS108" s="193">
        <v>1</v>
      </c>
      <c r="AT108" s="197">
        <f t="shared" si="6"/>
        <v>1</v>
      </c>
      <c r="AU108" s="193"/>
      <c r="AV108" s="193"/>
      <c r="AW108" s="193"/>
      <c r="AX108" s="193"/>
      <c r="AY108" s="193"/>
    </row>
    <row r="109" spans="1:51" ht="409.6" x14ac:dyDescent="0.25">
      <c r="A109" s="141">
        <v>103</v>
      </c>
      <c r="B109" s="142" t="s">
        <v>621</v>
      </c>
      <c r="C109" s="164" t="s">
        <v>620</v>
      </c>
      <c r="D109" s="164" t="s">
        <v>619</v>
      </c>
      <c r="E109" s="164" t="s">
        <v>352</v>
      </c>
      <c r="F109" s="171" t="s">
        <v>351</v>
      </c>
      <c r="G109" s="144" t="s">
        <v>178</v>
      </c>
      <c r="H109" s="164">
        <v>2021</v>
      </c>
      <c r="I109" s="164">
        <v>61</v>
      </c>
      <c r="J109" s="164">
        <v>45</v>
      </c>
      <c r="K109" s="459">
        <f t="shared" si="8"/>
        <v>45.75</v>
      </c>
      <c r="L109" s="459">
        <f t="shared" si="7"/>
        <v>61</v>
      </c>
      <c r="M109" s="164" t="s">
        <v>618</v>
      </c>
      <c r="N109" s="433" t="s">
        <v>561</v>
      </c>
      <c r="O109" s="171"/>
      <c r="P109" s="144" t="s">
        <v>349</v>
      </c>
      <c r="Q109" s="144">
        <v>44307</v>
      </c>
      <c r="R109" s="171"/>
      <c r="S109" s="171"/>
      <c r="T109" s="144" t="s">
        <v>20</v>
      </c>
      <c r="U109" s="144" t="s">
        <v>18</v>
      </c>
      <c r="V109" s="144" t="s">
        <v>20</v>
      </c>
      <c r="W109" s="167" t="s">
        <v>18</v>
      </c>
      <c r="X109" s="167" t="s">
        <v>18</v>
      </c>
      <c r="Y109" s="167" t="s">
        <v>18</v>
      </c>
      <c r="Z109" s="167" t="s">
        <v>18</v>
      </c>
      <c r="AA109" s="167" t="s">
        <v>18</v>
      </c>
      <c r="AB109" s="167" t="s">
        <v>18</v>
      </c>
      <c r="AC109" s="476">
        <v>45566</v>
      </c>
      <c r="AD109" s="476">
        <v>46100</v>
      </c>
      <c r="AE109" s="171"/>
      <c r="AF109" s="462"/>
      <c r="AG109" s="474"/>
      <c r="AH109" s="475"/>
      <c r="AI109" s="171" t="s">
        <v>18</v>
      </c>
      <c r="AJ109" s="171" t="s">
        <v>18</v>
      </c>
      <c r="AK109" s="462"/>
      <c r="AL109" s="144" t="s">
        <v>17</v>
      </c>
      <c r="AM109" s="193"/>
      <c r="AN109" s="193"/>
      <c r="AO109" s="194">
        <f>SUMIF('TK 15661.Bản quyền phim '!F:F,'KK2. Series'!C109,'TK 15661.Bản quyền phim '!K:K)</f>
        <v>0</v>
      </c>
      <c r="AP109" s="194">
        <f>COUNTIF('242.BQ Phim VOD'!$C$5:$C$8,'KK2. Series'!AM109)</f>
        <v>0</v>
      </c>
      <c r="AQ109" s="194">
        <f>COUNTIF('TK 15666. Phim SX'!$C$6:$C$13,'KK2. Series'!AM109)</f>
        <v>0</v>
      </c>
      <c r="AR109" s="193">
        <f>COUNTIF('TK 15661.Bản quyền phim '!F:F,'KK2. Series'!AM109)</f>
        <v>0</v>
      </c>
      <c r="AS109" s="193">
        <v>1</v>
      </c>
      <c r="AT109" s="197">
        <f t="shared" si="6"/>
        <v>1</v>
      </c>
      <c r="AU109" s="193"/>
      <c r="AV109" s="193"/>
      <c r="AW109" s="193"/>
      <c r="AX109" s="193"/>
      <c r="AY109" s="193"/>
    </row>
    <row r="110" spans="1:51" ht="105.6" x14ac:dyDescent="0.25">
      <c r="A110" s="141">
        <v>104</v>
      </c>
      <c r="B110" s="142" t="s">
        <v>617</v>
      </c>
      <c r="C110" s="164" t="s">
        <v>616</v>
      </c>
      <c r="D110" s="164" t="s">
        <v>615</v>
      </c>
      <c r="E110" s="164" t="s">
        <v>405</v>
      </c>
      <c r="F110" s="144" t="s">
        <v>586</v>
      </c>
      <c r="G110" s="144" t="s">
        <v>614</v>
      </c>
      <c r="H110" s="164">
        <v>2019</v>
      </c>
      <c r="I110" s="164">
        <v>8</v>
      </c>
      <c r="J110" s="164">
        <v>60</v>
      </c>
      <c r="K110" s="459">
        <f t="shared" si="8"/>
        <v>8</v>
      </c>
      <c r="L110" s="459">
        <f t="shared" si="7"/>
        <v>8</v>
      </c>
      <c r="M110" s="164" t="s">
        <v>350</v>
      </c>
      <c r="N110" s="433" t="s">
        <v>350</v>
      </c>
      <c r="O110" s="171"/>
      <c r="P110" s="144" t="s">
        <v>349</v>
      </c>
      <c r="Q110" s="144">
        <v>45547</v>
      </c>
      <c r="R110" s="171"/>
      <c r="S110" s="171"/>
      <c r="T110" s="144" t="s">
        <v>20</v>
      </c>
      <c r="U110" s="144" t="s">
        <v>18</v>
      </c>
      <c r="V110" s="144" t="s">
        <v>20</v>
      </c>
      <c r="W110" s="167" t="s">
        <v>18</v>
      </c>
      <c r="X110" s="167" t="s">
        <v>18</v>
      </c>
      <c r="Y110" s="167" t="s">
        <v>18</v>
      </c>
      <c r="Z110" s="167" t="s">
        <v>18</v>
      </c>
      <c r="AA110" s="167" t="s">
        <v>18</v>
      </c>
      <c r="AB110" s="167" t="s">
        <v>18</v>
      </c>
      <c r="AC110" s="476">
        <v>45526</v>
      </c>
      <c r="AD110" s="305" t="s">
        <v>613</v>
      </c>
      <c r="AE110" s="171"/>
      <c r="AF110" s="462"/>
      <c r="AG110" s="474"/>
      <c r="AH110" s="475"/>
      <c r="AI110" s="171" t="s">
        <v>18</v>
      </c>
      <c r="AJ110" s="171" t="s">
        <v>18</v>
      </c>
      <c r="AK110" s="462" t="s">
        <v>402</v>
      </c>
      <c r="AL110" s="144" t="s">
        <v>17</v>
      </c>
      <c r="AM110" s="90" t="s">
        <v>3193</v>
      </c>
      <c r="AN110" s="193"/>
      <c r="AO110" s="194">
        <f>SUMIF('TK 15661.Bản quyền phim '!F:F,'KK2. Series'!C110,'TK 15661.Bản quyền phim '!K:K)</f>
        <v>0</v>
      </c>
      <c r="AP110" s="194">
        <f>COUNTIF('242.BQ Phim VOD'!$C$5:$C$8,'KK2. Series'!AM110)</f>
        <v>1</v>
      </c>
      <c r="AQ110" s="194">
        <f>COUNTIF('TK 15666. Phim SX'!$C$6:$C$13,'KK2. Series'!AM110)</f>
        <v>0</v>
      </c>
      <c r="AR110" s="193">
        <f>COUNTIF('TK 15661.Bản quyền phim '!F:F,'KK2. Series'!AM110)</f>
        <v>0</v>
      </c>
      <c r="AS110" s="193"/>
      <c r="AT110" s="197">
        <f t="shared" si="6"/>
        <v>1</v>
      </c>
      <c r="AU110" s="193"/>
      <c r="AV110" s="193"/>
      <c r="AW110" s="193"/>
      <c r="AX110" s="193"/>
      <c r="AY110" s="193"/>
    </row>
    <row r="111" spans="1:51" ht="303.60000000000002" x14ac:dyDescent="0.25">
      <c r="A111" s="141">
        <v>105</v>
      </c>
      <c r="B111" s="142" t="s">
        <v>612</v>
      </c>
      <c r="C111" s="164" t="s">
        <v>609</v>
      </c>
      <c r="D111" s="164" t="s">
        <v>611</v>
      </c>
      <c r="E111" s="164" t="s">
        <v>405</v>
      </c>
      <c r="F111" s="144" t="s">
        <v>586</v>
      </c>
      <c r="G111" s="164" t="s">
        <v>133</v>
      </c>
      <c r="H111" s="164">
        <v>2024</v>
      </c>
      <c r="I111" s="164">
        <v>6</v>
      </c>
      <c r="J111" s="164">
        <v>70</v>
      </c>
      <c r="K111" s="459">
        <f t="shared" si="8"/>
        <v>7</v>
      </c>
      <c r="L111" s="459">
        <v>9</v>
      </c>
      <c r="M111" s="164" t="s">
        <v>610</v>
      </c>
      <c r="N111" s="433" t="s">
        <v>436</v>
      </c>
      <c r="O111" s="477">
        <v>45562</v>
      </c>
      <c r="P111" s="477">
        <v>47022</v>
      </c>
      <c r="Q111" s="174">
        <v>45562</v>
      </c>
      <c r="R111" s="174" t="s">
        <v>584</v>
      </c>
      <c r="S111" s="175">
        <v>48</v>
      </c>
      <c r="T111" s="174" t="s">
        <v>18</v>
      </c>
      <c r="U111" s="144" t="s">
        <v>18</v>
      </c>
      <c r="V111" s="175" t="s">
        <v>18</v>
      </c>
      <c r="W111" s="175" t="s">
        <v>18</v>
      </c>
      <c r="X111" s="175" t="s">
        <v>18</v>
      </c>
      <c r="Y111" s="175" t="s">
        <v>18</v>
      </c>
      <c r="Z111" s="175" t="s">
        <v>18</v>
      </c>
      <c r="AA111" s="175" t="s">
        <v>18</v>
      </c>
      <c r="AB111" s="175" t="s">
        <v>18</v>
      </c>
      <c r="AC111" s="477">
        <v>45562</v>
      </c>
      <c r="AD111" s="477">
        <v>47022</v>
      </c>
      <c r="AE111" s="175" t="s">
        <v>218</v>
      </c>
      <c r="AF111" s="478"/>
      <c r="AG111" s="479"/>
      <c r="AH111" s="480"/>
      <c r="AI111" s="171" t="s">
        <v>18</v>
      </c>
      <c r="AJ111" s="171" t="s">
        <v>18</v>
      </c>
      <c r="AK111" s="462" t="s">
        <v>402</v>
      </c>
      <c r="AL111" s="144" t="s">
        <v>17</v>
      </c>
      <c r="AM111" s="196" t="s">
        <v>609</v>
      </c>
      <c r="AN111" s="193"/>
      <c r="AO111" s="194">
        <f>SUMIF('TK 15661.Bản quyền phim '!F:F,'KK2. Series'!C111,'TK 15661.Bản quyền phim '!K:K)</f>
        <v>490700000</v>
      </c>
      <c r="AP111" s="194">
        <f>COUNTIF('242.BQ Phim VOD'!$C$5:$C$8,'KK2. Series'!AM111)</f>
        <v>0</v>
      </c>
      <c r="AQ111" s="194">
        <f>COUNTIF('TK 15666. Phim SX'!$C$6:$C$13,'KK2. Series'!AM111)</f>
        <v>0</v>
      </c>
      <c r="AR111" s="193">
        <f>COUNTIF('TK 15661.Bản quyền phim '!F:F,'KK2. Series'!AM111)</f>
        <v>1</v>
      </c>
      <c r="AS111" s="193"/>
      <c r="AT111" s="197">
        <f t="shared" si="6"/>
        <v>1</v>
      </c>
      <c r="AU111" s="193"/>
      <c r="AV111" s="193"/>
      <c r="AW111" s="193"/>
      <c r="AX111" s="193"/>
      <c r="AY111" s="193"/>
    </row>
    <row r="112" spans="1:51" ht="409.6" x14ac:dyDescent="0.25">
      <c r="A112" s="141">
        <v>106</v>
      </c>
      <c r="B112" s="142" t="s">
        <v>608</v>
      </c>
      <c r="C112" s="164" t="s">
        <v>605</v>
      </c>
      <c r="D112" s="164" t="s">
        <v>607</v>
      </c>
      <c r="E112" s="164" t="s">
        <v>405</v>
      </c>
      <c r="F112" s="144" t="s">
        <v>586</v>
      </c>
      <c r="G112" s="164" t="s">
        <v>133</v>
      </c>
      <c r="H112" s="164">
        <v>2024</v>
      </c>
      <c r="I112" s="164">
        <v>16</v>
      </c>
      <c r="J112" s="164">
        <v>70</v>
      </c>
      <c r="K112" s="459">
        <f t="shared" si="8"/>
        <v>18.666666666666668</v>
      </c>
      <c r="L112" s="459">
        <v>24</v>
      </c>
      <c r="M112" s="164" t="s">
        <v>606</v>
      </c>
      <c r="N112" s="179" t="s">
        <v>350</v>
      </c>
      <c r="O112" s="476">
        <v>45574</v>
      </c>
      <c r="P112" s="476">
        <v>47034</v>
      </c>
      <c r="Q112" s="171">
        <v>45574</v>
      </c>
      <c r="R112" s="171" t="s">
        <v>584</v>
      </c>
      <c r="S112" s="167">
        <v>48</v>
      </c>
      <c r="T112" s="171" t="s">
        <v>18</v>
      </c>
      <c r="U112" s="144" t="s">
        <v>18</v>
      </c>
      <c r="V112" s="167" t="s">
        <v>18</v>
      </c>
      <c r="W112" s="167" t="s">
        <v>18</v>
      </c>
      <c r="X112" s="167" t="s">
        <v>18</v>
      </c>
      <c r="Y112" s="167" t="s">
        <v>18</v>
      </c>
      <c r="Z112" s="167" t="s">
        <v>18</v>
      </c>
      <c r="AA112" s="167" t="s">
        <v>18</v>
      </c>
      <c r="AB112" s="167" t="s">
        <v>18</v>
      </c>
      <c r="AC112" s="476">
        <v>45574</v>
      </c>
      <c r="AD112" s="476">
        <v>47034</v>
      </c>
      <c r="AE112" s="167" t="s">
        <v>218</v>
      </c>
      <c r="AF112" s="462">
        <v>3</v>
      </c>
      <c r="AG112" s="474">
        <v>45575</v>
      </c>
      <c r="AH112" s="475"/>
      <c r="AI112" s="171" t="s">
        <v>18</v>
      </c>
      <c r="AJ112" s="171" t="s">
        <v>18</v>
      </c>
      <c r="AK112" s="462" t="s">
        <v>402</v>
      </c>
      <c r="AL112" s="144" t="s">
        <v>17</v>
      </c>
      <c r="AM112" s="196" t="s">
        <v>605</v>
      </c>
      <c r="AN112" s="193"/>
      <c r="AO112" s="194">
        <f>SUMIF('TK 15661.Bản quyền phim '!F:F,'KK2. Series'!C112,'TK 15661.Bản quyền phim '!K:K)</f>
        <v>3546021126</v>
      </c>
      <c r="AP112" s="194">
        <f>COUNTIF('242.BQ Phim VOD'!$C$5:$C$8,'KK2. Series'!AM112)</f>
        <v>0</v>
      </c>
      <c r="AQ112" s="194">
        <f>COUNTIF('TK 15666. Phim SX'!$C$6:$C$13,'KK2. Series'!AM112)</f>
        <v>0</v>
      </c>
      <c r="AR112" s="193">
        <f>COUNTIF('TK 15661.Bản quyền phim '!F:F,'KK2. Series'!AM112)</f>
        <v>1</v>
      </c>
      <c r="AS112" s="193"/>
      <c r="AT112" s="197">
        <f t="shared" si="6"/>
        <v>1</v>
      </c>
      <c r="AU112" s="193"/>
      <c r="AV112" s="193"/>
      <c r="AW112" s="193"/>
      <c r="AX112" s="193"/>
      <c r="AY112" s="193"/>
    </row>
    <row r="113" spans="1:51" ht="409.6" x14ac:dyDescent="0.25">
      <c r="A113" s="141">
        <v>107</v>
      </c>
      <c r="B113" s="142" t="s">
        <v>604</v>
      </c>
      <c r="C113" s="164" t="s">
        <v>603</v>
      </c>
      <c r="D113" s="144" t="s">
        <v>602</v>
      </c>
      <c r="E113" s="144" t="s">
        <v>601</v>
      </c>
      <c r="F113" s="171" t="s">
        <v>600</v>
      </c>
      <c r="G113" s="164" t="s">
        <v>178</v>
      </c>
      <c r="H113" s="164">
        <v>2024</v>
      </c>
      <c r="I113" s="164">
        <v>27</v>
      </c>
      <c r="J113" s="164">
        <v>45</v>
      </c>
      <c r="K113" s="459">
        <f t="shared" si="8"/>
        <v>20.25</v>
      </c>
      <c r="L113" s="459">
        <f>I113</f>
        <v>27</v>
      </c>
      <c r="M113" s="164" t="s">
        <v>599</v>
      </c>
      <c r="N113" s="433" t="s">
        <v>436</v>
      </c>
      <c r="O113" s="476">
        <v>45554</v>
      </c>
      <c r="P113" s="476">
        <v>47379</v>
      </c>
      <c r="Q113" s="171">
        <v>45554</v>
      </c>
      <c r="R113" s="171" t="s">
        <v>553</v>
      </c>
      <c r="S113" s="171"/>
      <c r="T113" s="167" t="s">
        <v>18</v>
      </c>
      <c r="U113" s="144" t="s">
        <v>18</v>
      </c>
      <c r="V113" s="167" t="s">
        <v>18</v>
      </c>
      <c r="W113" s="167" t="s">
        <v>18</v>
      </c>
      <c r="X113" s="167" t="s">
        <v>18</v>
      </c>
      <c r="Y113" s="167" t="s">
        <v>18</v>
      </c>
      <c r="Z113" s="167" t="s">
        <v>18</v>
      </c>
      <c r="AA113" s="167" t="s">
        <v>18</v>
      </c>
      <c r="AB113" s="167" t="s">
        <v>18</v>
      </c>
      <c r="AC113" s="476">
        <v>45554</v>
      </c>
      <c r="AD113" s="476">
        <v>47379</v>
      </c>
      <c r="AE113" s="167" t="s">
        <v>218</v>
      </c>
      <c r="AF113" s="462"/>
      <c r="AG113" s="474"/>
      <c r="AH113" s="475"/>
      <c r="AI113" s="171" t="s">
        <v>18</v>
      </c>
      <c r="AJ113" s="171" t="s">
        <v>18</v>
      </c>
      <c r="AK113" s="462" t="s">
        <v>402</v>
      </c>
      <c r="AL113" s="144" t="s">
        <v>17</v>
      </c>
      <c r="AM113" s="193" t="s">
        <v>598</v>
      </c>
      <c r="AN113" s="193"/>
      <c r="AO113" s="194">
        <f>SUMIF('TK 15661.Bản quyền phim '!F:F,'KK2. Series'!C113,'TK 15661.Bản quyền phim '!K:K)</f>
        <v>0</v>
      </c>
      <c r="AP113" s="194">
        <f>COUNTIF('242.BQ Phim VOD'!$C$5:$C$8,'KK2. Series'!AM113)</f>
        <v>0</v>
      </c>
      <c r="AQ113" s="194">
        <f>COUNTIF('TK 15666. Phim SX'!$C$6:$C$13,'KK2. Series'!AM113)</f>
        <v>0</v>
      </c>
      <c r="AR113" s="193">
        <f>COUNTIF('TK 15661.Bản quyền phim '!F:F,'KK2. Series'!AM113)</f>
        <v>1</v>
      </c>
      <c r="AS113" s="193"/>
      <c r="AT113" s="197">
        <f t="shared" si="6"/>
        <v>1</v>
      </c>
      <c r="AU113" s="193"/>
      <c r="AV113" s="193"/>
      <c r="AW113" s="193"/>
      <c r="AX113" s="193"/>
      <c r="AY113" s="193"/>
    </row>
    <row r="114" spans="1:51" ht="79.2" x14ac:dyDescent="0.25">
      <c r="A114" s="141">
        <v>108</v>
      </c>
      <c r="B114" s="142" t="s">
        <v>597</v>
      </c>
      <c r="C114" s="164" t="s">
        <v>596</v>
      </c>
      <c r="D114" s="144" t="s">
        <v>595</v>
      </c>
      <c r="E114" s="164" t="s">
        <v>405</v>
      </c>
      <c r="F114" s="144" t="s">
        <v>586</v>
      </c>
      <c r="G114" s="164" t="s">
        <v>594</v>
      </c>
      <c r="H114" s="164">
        <v>2024</v>
      </c>
      <c r="I114" s="164">
        <v>6</v>
      </c>
      <c r="J114" s="164">
        <v>30</v>
      </c>
      <c r="K114" s="459">
        <f t="shared" si="8"/>
        <v>3</v>
      </c>
      <c r="L114" s="459">
        <f>I114</f>
        <v>6</v>
      </c>
      <c r="M114" s="164" t="s">
        <v>589</v>
      </c>
      <c r="N114" s="433" t="s">
        <v>436</v>
      </c>
      <c r="O114" s="171"/>
      <c r="P114" s="144" t="s">
        <v>349</v>
      </c>
      <c r="Q114" s="171"/>
      <c r="R114" s="171"/>
      <c r="S114" s="171"/>
      <c r="T114" s="167" t="s">
        <v>20</v>
      </c>
      <c r="U114" s="144" t="s">
        <v>18</v>
      </c>
      <c r="V114" s="167" t="s">
        <v>18</v>
      </c>
      <c r="W114" s="167" t="s">
        <v>18</v>
      </c>
      <c r="X114" s="167" t="s">
        <v>18</v>
      </c>
      <c r="Y114" s="167" t="s">
        <v>18</v>
      </c>
      <c r="Z114" s="167" t="s">
        <v>18</v>
      </c>
      <c r="AA114" s="167" t="s">
        <v>18</v>
      </c>
      <c r="AB114" s="167" t="s">
        <v>18</v>
      </c>
      <c r="AC114" s="476">
        <v>45611</v>
      </c>
      <c r="AD114" s="476">
        <v>47071</v>
      </c>
      <c r="AE114" s="171"/>
      <c r="AF114" s="462"/>
      <c r="AG114" s="474"/>
      <c r="AH114" s="475"/>
      <c r="AI114" s="171" t="s">
        <v>18</v>
      </c>
      <c r="AJ114" s="171" t="s">
        <v>18</v>
      </c>
      <c r="AK114" s="462"/>
      <c r="AL114" s="144" t="s">
        <v>17</v>
      </c>
      <c r="AM114" s="90" t="s">
        <v>3193</v>
      </c>
      <c r="AN114" s="193"/>
      <c r="AO114" s="194">
        <f>SUMIF('TK 15661.Bản quyền phim '!F:F,'KK2. Series'!C114,'TK 15661.Bản quyền phim '!K:K)</f>
        <v>0</v>
      </c>
      <c r="AP114" s="194">
        <f>COUNTIF('242.BQ Phim VOD'!$C$5:$C$8,'KK2. Series'!AM114)</f>
        <v>1</v>
      </c>
      <c r="AQ114" s="194">
        <f>COUNTIF('TK 15666. Phim SX'!$C$6:$C$13,'KK2. Series'!AM114)</f>
        <v>0</v>
      </c>
      <c r="AR114" s="193">
        <f>COUNTIF('TK 15661.Bản quyền phim '!F:F,'KK2. Series'!AM114)</f>
        <v>0</v>
      </c>
      <c r="AS114" s="193"/>
      <c r="AT114" s="197">
        <f t="shared" si="6"/>
        <v>1</v>
      </c>
      <c r="AU114" s="193"/>
      <c r="AV114" s="193"/>
      <c r="AW114" s="193"/>
      <c r="AX114" s="193"/>
      <c r="AY114" s="193"/>
    </row>
    <row r="115" spans="1:51" ht="198" x14ac:dyDescent="0.25">
      <c r="A115" s="141">
        <v>109</v>
      </c>
      <c r="B115" s="142" t="s">
        <v>593</v>
      </c>
      <c r="C115" s="164" t="s">
        <v>592</v>
      </c>
      <c r="D115" s="144" t="s">
        <v>591</v>
      </c>
      <c r="E115" s="164" t="s">
        <v>405</v>
      </c>
      <c r="F115" s="144" t="s">
        <v>586</v>
      </c>
      <c r="G115" s="164" t="s">
        <v>590</v>
      </c>
      <c r="H115" s="164">
        <v>2023</v>
      </c>
      <c r="I115" s="164">
        <v>15</v>
      </c>
      <c r="J115" s="164">
        <v>45</v>
      </c>
      <c r="K115" s="459">
        <f t="shared" si="8"/>
        <v>11.25</v>
      </c>
      <c r="L115" s="459">
        <f>I115</f>
        <v>15</v>
      </c>
      <c r="M115" s="164" t="s">
        <v>589</v>
      </c>
      <c r="N115" s="433" t="s">
        <v>436</v>
      </c>
      <c r="O115" s="174"/>
      <c r="P115" s="144" t="s">
        <v>349</v>
      </c>
      <c r="Q115" s="174"/>
      <c r="R115" s="174"/>
      <c r="S115" s="174"/>
      <c r="T115" s="175" t="s">
        <v>20</v>
      </c>
      <c r="U115" s="144" t="s">
        <v>18</v>
      </c>
      <c r="V115" s="175" t="s">
        <v>18</v>
      </c>
      <c r="W115" s="175" t="s">
        <v>18</v>
      </c>
      <c r="X115" s="175" t="s">
        <v>18</v>
      </c>
      <c r="Y115" s="175" t="s">
        <v>18</v>
      </c>
      <c r="Z115" s="175" t="s">
        <v>18</v>
      </c>
      <c r="AA115" s="175" t="s">
        <v>18</v>
      </c>
      <c r="AB115" s="175" t="s">
        <v>18</v>
      </c>
      <c r="AC115" s="477">
        <v>45611</v>
      </c>
      <c r="AD115" s="477">
        <v>46340</v>
      </c>
      <c r="AE115" s="174"/>
      <c r="AF115" s="478"/>
      <c r="AG115" s="479"/>
      <c r="AH115" s="480"/>
      <c r="AI115" s="171" t="s">
        <v>18</v>
      </c>
      <c r="AJ115" s="171" t="s">
        <v>18</v>
      </c>
      <c r="AK115" s="462"/>
      <c r="AL115" s="144" t="s">
        <v>17</v>
      </c>
      <c r="AM115" s="90" t="s">
        <v>3193</v>
      </c>
      <c r="AN115" s="193"/>
      <c r="AO115" s="194">
        <f>SUMIF('TK 15661.Bản quyền phim '!F:F,'KK2. Series'!C115,'TK 15661.Bản quyền phim '!K:K)</f>
        <v>0</v>
      </c>
      <c r="AP115" s="194">
        <f>COUNTIF('242.BQ Phim VOD'!$C$5:$C$8,'KK2. Series'!AM115)</f>
        <v>1</v>
      </c>
      <c r="AQ115" s="194">
        <f>COUNTIF('TK 15666. Phim SX'!$C$6:$C$13,'KK2. Series'!AM115)</f>
        <v>0</v>
      </c>
      <c r="AR115" s="193">
        <f>COUNTIF('TK 15661.Bản quyền phim '!F:F,'KK2. Series'!AM115)</f>
        <v>0</v>
      </c>
      <c r="AS115" s="193"/>
      <c r="AT115" s="197">
        <f t="shared" si="6"/>
        <v>1</v>
      </c>
      <c r="AU115" s="193"/>
      <c r="AV115" s="193"/>
      <c r="AW115" s="193"/>
      <c r="AX115" s="193"/>
      <c r="AY115" s="193"/>
    </row>
    <row r="116" spans="1:51" ht="409.6" x14ac:dyDescent="0.25">
      <c r="A116" s="141">
        <v>110</v>
      </c>
      <c r="B116" s="142" t="s">
        <v>588</v>
      </c>
      <c r="C116" s="164" t="s">
        <v>583</v>
      </c>
      <c r="D116" s="144" t="s">
        <v>587</v>
      </c>
      <c r="E116" s="164" t="s">
        <v>443</v>
      </c>
      <c r="F116" s="144" t="s">
        <v>586</v>
      </c>
      <c r="G116" s="164" t="s">
        <v>133</v>
      </c>
      <c r="H116" s="164">
        <v>2024</v>
      </c>
      <c r="I116" s="164">
        <v>12</v>
      </c>
      <c r="J116" s="164">
        <v>70</v>
      </c>
      <c r="K116" s="459">
        <f t="shared" si="8"/>
        <v>14</v>
      </c>
      <c r="L116" s="459">
        <v>18</v>
      </c>
      <c r="M116" s="164" t="s">
        <v>585</v>
      </c>
      <c r="N116" s="433" t="s">
        <v>436</v>
      </c>
      <c r="O116" s="477">
        <v>45600</v>
      </c>
      <c r="P116" s="477">
        <v>47060</v>
      </c>
      <c r="Q116" s="477">
        <v>45600</v>
      </c>
      <c r="R116" s="174" t="s">
        <v>584</v>
      </c>
      <c r="S116" s="175">
        <v>48</v>
      </c>
      <c r="T116" s="175" t="s">
        <v>18</v>
      </c>
      <c r="U116" s="144" t="s">
        <v>18</v>
      </c>
      <c r="V116" s="175" t="s">
        <v>18</v>
      </c>
      <c r="W116" s="175" t="s">
        <v>18</v>
      </c>
      <c r="X116" s="175" t="s">
        <v>18</v>
      </c>
      <c r="Y116" s="175" t="s">
        <v>18</v>
      </c>
      <c r="Z116" s="175" t="s">
        <v>18</v>
      </c>
      <c r="AA116" s="175" t="s">
        <v>18</v>
      </c>
      <c r="AB116" s="487" t="s">
        <v>18</v>
      </c>
      <c r="AC116" s="464">
        <v>45600</v>
      </c>
      <c r="AD116" s="464">
        <v>47060</v>
      </c>
      <c r="AE116" s="164" t="s">
        <v>218</v>
      </c>
      <c r="AF116" s="488"/>
      <c r="AG116" s="479"/>
      <c r="AH116" s="480"/>
      <c r="AI116" s="171" t="s">
        <v>18</v>
      </c>
      <c r="AJ116" s="171" t="s">
        <v>18</v>
      </c>
      <c r="AK116" s="462" t="s">
        <v>402</v>
      </c>
      <c r="AL116" s="144" t="s">
        <v>17</v>
      </c>
      <c r="AM116" s="196" t="s">
        <v>583</v>
      </c>
      <c r="AN116" s="193"/>
      <c r="AO116" s="194">
        <f>SUMIF('TK 15661.Bản quyền phim '!F:F,'KK2. Series'!C116,'TK 15661.Bản quyền phim '!K:K)</f>
        <v>981400000</v>
      </c>
      <c r="AP116" s="194">
        <f>COUNTIF('242.BQ Phim VOD'!$C$5:$C$8,'KK2. Series'!AM116)</f>
        <v>0</v>
      </c>
      <c r="AQ116" s="194">
        <f>COUNTIF('TK 15666. Phim SX'!$C$6:$C$13,'KK2. Series'!AM116)</f>
        <v>0</v>
      </c>
      <c r="AR116" s="193">
        <f>COUNTIF('TK 15661.Bản quyền phim '!F:F,'KK2. Series'!AM116)</f>
        <v>1</v>
      </c>
      <c r="AS116" s="193"/>
      <c r="AT116" s="197">
        <f t="shared" si="6"/>
        <v>1</v>
      </c>
      <c r="AU116" s="193"/>
      <c r="AV116" s="193"/>
      <c r="AW116" s="193"/>
      <c r="AX116" s="193"/>
      <c r="AY116" s="193"/>
    </row>
    <row r="117" spans="1:51" ht="409.6" x14ac:dyDescent="0.25">
      <c r="A117" s="141">
        <v>111</v>
      </c>
      <c r="B117" s="142" t="s">
        <v>582</v>
      </c>
      <c r="C117" s="164" t="s">
        <v>581</v>
      </c>
      <c r="D117" s="144" t="s">
        <v>580</v>
      </c>
      <c r="E117" s="164" t="s">
        <v>352</v>
      </c>
      <c r="F117" s="171" t="s">
        <v>351</v>
      </c>
      <c r="G117" s="164" t="s">
        <v>133</v>
      </c>
      <c r="H117" s="164">
        <v>2013</v>
      </c>
      <c r="I117" s="164">
        <v>51</v>
      </c>
      <c r="J117" s="164">
        <v>70</v>
      </c>
      <c r="K117" s="459">
        <f t="shared" si="8"/>
        <v>59.5</v>
      </c>
      <c r="L117" s="459">
        <f t="shared" ref="L117:L146" si="9">I117</f>
        <v>51</v>
      </c>
      <c r="M117" s="164" t="s">
        <v>350</v>
      </c>
      <c r="N117" s="433" t="s">
        <v>561</v>
      </c>
      <c r="O117" s="171"/>
      <c r="P117" s="144" t="s">
        <v>349</v>
      </c>
      <c r="Q117" s="171"/>
      <c r="R117" s="171"/>
      <c r="S117" s="171"/>
      <c r="T117" s="167" t="s">
        <v>20</v>
      </c>
      <c r="U117" s="144" t="s">
        <v>18</v>
      </c>
      <c r="V117" s="144" t="s">
        <v>20</v>
      </c>
      <c r="W117" s="167" t="s">
        <v>18</v>
      </c>
      <c r="X117" s="167" t="s">
        <v>18</v>
      </c>
      <c r="Y117" s="167" t="s">
        <v>18</v>
      </c>
      <c r="Z117" s="167" t="s">
        <v>18</v>
      </c>
      <c r="AA117" s="167" t="s">
        <v>18</v>
      </c>
      <c r="AB117" s="167" t="s">
        <v>18</v>
      </c>
      <c r="AC117" s="489">
        <v>45731</v>
      </c>
      <c r="AD117" s="489">
        <v>46460</v>
      </c>
      <c r="AE117" s="190"/>
      <c r="AF117" s="462"/>
      <c r="AG117" s="474"/>
      <c r="AH117" s="475"/>
      <c r="AI117" s="171" t="s">
        <v>18</v>
      </c>
      <c r="AJ117" s="171" t="s">
        <v>18</v>
      </c>
      <c r="AK117" s="462"/>
      <c r="AL117" s="144" t="s">
        <v>17</v>
      </c>
      <c r="AM117" s="193"/>
      <c r="AN117" s="193"/>
      <c r="AO117" s="194">
        <f>SUMIF('TK 15661.Bản quyền phim '!F:F,'KK2. Series'!C117,'TK 15661.Bản quyền phim '!K:K)</f>
        <v>0</v>
      </c>
      <c r="AP117" s="194">
        <f>COUNTIF('242.BQ Phim VOD'!$C$5:$C$8,'KK2. Series'!AM117)</f>
        <v>0</v>
      </c>
      <c r="AQ117" s="194">
        <f>COUNTIF('TK 15666. Phim SX'!$C$6:$C$13,'KK2. Series'!AM117)</f>
        <v>0</v>
      </c>
      <c r="AR117" s="193">
        <f>COUNTIF('TK 15661.Bản quyền phim '!F:F,'KK2. Series'!AM117)</f>
        <v>0</v>
      </c>
      <c r="AS117" s="193">
        <v>1</v>
      </c>
      <c r="AT117" s="197">
        <f t="shared" si="6"/>
        <v>1</v>
      </c>
      <c r="AU117" s="193"/>
      <c r="AV117" s="193"/>
      <c r="AW117" s="193"/>
      <c r="AX117" s="193"/>
      <c r="AY117" s="193"/>
    </row>
    <row r="118" spans="1:51" ht="316.8" x14ac:dyDescent="0.25">
      <c r="A118" s="141">
        <v>112</v>
      </c>
      <c r="B118" s="142" t="s">
        <v>579</v>
      </c>
      <c r="C118" s="431" t="s">
        <v>578</v>
      </c>
      <c r="D118" s="144" t="s">
        <v>577</v>
      </c>
      <c r="E118" s="164" t="s">
        <v>352</v>
      </c>
      <c r="F118" s="171" t="s">
        <v>351</v>
      </c>
      <c r="G118" s="164" t="s">
        <v>133</v>
      </c>
      <c r="H118" s="431">
        <v>2014</v>
      </c>
      <c r="I118" s="431">
        <v>24</v>
      </c>
      <c r="J118" s="431">
        <v>70</v>
      </c>
      <c r="K118" s="459">
        <f t="shared" si="8"/>
        <v>28</v>
      </c>
      <c r="L118" s="459">
        <f t="shared" si="9"/>
        <v>24</v>
      </c>
      <c r="M118" s="164" t="s">
        <v>350</v>
      </c>
      <c r="N118" s="433" t="s">
        <v>350</v>
      </c>
      <c r="O118" s="171"/>
      <c r="P118" s="144" t="s">
        <v>349</v>
      </c>
      <c r="Q118" s="171"/>
      <c r="R118" s="171"/>
      <c r="S118" s="171"/>
      <c r="T118" s="167" t="s">
        <v>20</v>
      </c>
      <c r="U118" s="144" t="s">
        <v>18</v>
      </c>
      <c r="V118" s="144" t="s">
        <v>20</v>
      </c>
      <c r="W118" s="167" t="s">
        <v>18</v>
      </c>
      <c r="X118" s="167" t="s">
        <v>18</v>
      </c>
      <c r="Y118" s="167" t="s">
        <v>18</v>
      </c>
      <c r="Z118" s="167" t="s">
        <v>18</v>
      </c>
      <c r="AA118" s="167" t="s">
        <v>18</v>
      </c>
      <c r="AB118" s="167" t="s">
        <v>18</v>
      </c>
      <c r="AC118" s="490">
        <v>45658</v>
      </c>
      <c r="AD118" s="490">
        <v>46387</v>
      </c>
      <c r="AE118" s="171"/>
      <c r="AF118" s="462"/>
      <c r="AG118" s="474"/>
      <c r="AH118" s="475"/>
      <c r="AI118" s="171" t="s">
        <v>18</v>
      </c>
      <c r="AJ118" s="171" t="s">
        <v>18</v>
      </c>
      <c r="AK118" s="462"/>
      <c r="AL118" s="144" t="s">
        <v>17</v>
      </c>
      <c r="AM118" s="193"/>
      <c r="AN118" s="193"/>
      <c r="AO118" s="194">
        <f>SUMIF('TK 15661.Bản quyền phim '!F:F,'KK2. Series'!C118,'TK 15661.Bản quyền phim '!K:K)</f>
        <v>0</v>
      </c>
      <c r="AP118" s="194">
        <f>COUNTIF('242.BQ Phim VOD'!$C$5:$C$8,'KK2. Series'!AM118)</f>
        <v>0</v>
      </c>
      <c r="AQ118" s="194">
        <f>COUNTIF('TK 15666. Phim SX'!$C$6:$C$13,'KK2. Series'!AM118)</f>
        <v>0</v>
      </c>
      <c r="AR118" s="193">
        <f>COUNTIF('TK 15661.Bản quyền phim '!F:F,'KK2. Series'!AM118)</f>
        <v>0</v>
      </c>
      <c r="AS118" s="193">
        <v>1</v>
      </c>
      <c r="AT118" s="197">
        <f t="shared" si="6"/>
        <v>1</v>
      </c>
      <c r="AU118" s="193"/>
      <c r="AV118" s="193"/>
      <c r="AW118" s="193"/>
      <c r="AX118" s="193"/>
      <c r="AY118" s="193"/>
    </row>
    <row r="119" spans="1:51" ht="409.6" x14ac:dyDescent="0.25">
      <c r="A119" s="141">
        <v>113</v>
      </c>
      <c r="B119" s="142" t="s">
        <v>576</v>
      </c>
      <c r="C119" s="431" t="s">
        <v>575</v>
      </c>
      <c r="D119" s="144" t="s">
        <v>574</v>
      </c>
      <c r="E119" s="164" t="s">
        <v>352</v>
      </c>
      <c r="F119" s="171" t="s">
        <v>351</v>
      </c>
      <c r="G119" s="164" t="s">
        <v>133</v>
      </c>
      <c r="H119" s="431">
        <v>2014</v>
      </c>
      <c r="I119" s="431">
        <v>52</v>
      </c>
      <c r="J119" s="431">
        <v>70</v>
      </c>
      <c r="K119" s="459">
        <f t="shared" si="8"/>
        <v>60.666666666666664</v>
      </c>
      <c r="L119" s="459">
        <f t="shared" si="9"/>
        <v>52</v>
      </c>
      <c r="M119" s="164" t="s">
        <v>350</v>
      </c>
      <c r="N119" s="433" t="s">
        <v>436</v>
      </c>
      <c r="O119" s="171"/>
      <c r="P119" s="144" t="s">
        <v>349</v>
      </c>
      <c r="Q119" s="171"/>
      <c r="R119" s="171"/>
      <c r="S119" s="171"/>
      <c r="T119" s="167" t="s">
        <v>20</v>
      </c>
      <c r="U119" s="144" t="s">
        <v>18</v>
      </c>
      <c r="V119" s="144" t="s">
        <v>20</v>
      </c>
      <c r="W119" s="167" t="s">
        <v>18</v>
      </c>
      <c r="X119" s="167" t="s">
        <v>18</v>
      </c>
      <c r="Y119" s="167" t="s">
        <v>18</v>
      </c>
      <c r="Z119" s="167" t="s">
        <v>18</v>
      </c>
      <c r="AA119" s="167" t="s">
        <v>18</v>
      </c>
      <c r="AB119" s="167" t="s">
        <v>18</v>
      </c>
      <c r="AC119" s="490">
        <v>45658</v>
      </c>
      <c r="AD119" s="490">
        <v>46387</v>
      </c>
      <c r="AE119" s="171"/>
      <c r="AF119" s="462"/>
      <c r="AG119" s="474"/>
      <c r="AH119" s="475"/>
      <c r="AI119" s="171" t="s">
        <v>18</v>
      </c>
      <c r="AJ119" s="171" t="s">
        <v>18</v>
      </c>
      <c r="AK119" s="462"/>
      <c r="AL119" s="144" t="s">
        <v>17</v>
      </c>
      <c r="AM119" s="193"/>
      <c r="AN119" s="193"/>
      <c r="AO119" s="194">
        <f>SUMIF('TK 15661.Bản quyền phim '!F:F,'KK2. Series'!C119,'TK 15661.Bản quyền phim '!K:K)</f>
        <v>0</v>
      </c>
      <c r="AP119" s="194">
        <f>COUNTIF('242.BQ Phim VOD'!$C$5:$C$8,'KK2. Series'!AM119)</f>
        <v>0</v>
      </c>
      <c r="AQ119" s="194">
        <f>COUNTIF('TK 15666. Phim SX'!$C$6:$C$13,'KK2. Series'!AM119)</f>
        <v>0</v>
      </c>
      <c r="AR119" s="193">
        <f>COUNTIF('TK 15661.Bản quyền phim '!F:F,'KK2. Series'!AM119)</f>
        <v>0</v>
      </c>
      <c r="AS119" s="193">
        <v>1</v>
      </c>
      <c r="AT119" s="197">
        <f t="shared" si="6"/>
        <v>1</v>
      </c>
      <c r="AU119" s="193"/>
      <c r="AV119" s="193"/>
      <c r="AW119" s="193"/>
      <c r="AX119" s="193"/>
      <c r="AY119" s="193"/>
    </row>
    <row r="120" spans="1:51" ht="409.6" x14ac:dyDescent="0.25">
      <c r="A120" s="141">
        <v>114</v>
      </c>
      <c r="B120" s="142" t="s">
        <v>573</v>
      </c>
      <c r="C120" s="164" t="s">
        <v>572</v>
      </c>
      <c r="D120" s="144" t="s">
        <v>571</v>
      </c>
      <c r="E120" s="144" t="s">
        <v>570</v>
      </c>
      <c r="F120" s="144" t="s">
        <v>569</v>
      </c>
      <c r="G120" s="164" t="s">
        <v>178</v>
      </c>
      <c r="H120" s="164">
        <v>2022</v>
      </c>
      <c r="I120" s="164">
        <v>40</v>
      </c>
      <c r="J120" s="164">
        <v>45</v>
      </c>
      <c r="K120" s="459">
        <f t="shared" si="8"/>
        <v>30</v>
      </c>
      <c r="L120" s="459">
        <f t="shared" si="9"/>
        <v>40</v>
      </c>
      <c r="M120" s="164" t="s">
        <v>568</v>
      </c>
      <c r="N120" s="433" t="s">
        <v>436</v>
      </c>
      <c r="O120" s="174"/>
      <c r="P120" s="181" t="s">
        <v>349</v>
      </c>
      <c r="Q120" s="171"/>
      <c r="R120" s="171"/>
      <c r="S120" s="171"/>
      <c r="T120" s="167" t="s">
        <v>20</v>
      </c>
      <c r="U120" s="144" t="s">
        <v>18</v>
      </c>
      <c r="V120" s="167" t="s">
        <v>20</v>
      </c>
      <c r="W120" s="167" t="s">
        <v>18</v>
      </c>
      <c r="X120" s="167" t="s">
        <v>18</v>
      </c>
      <c r="Y120" s="167" t="s">
        <v>18</v>
      </c>
      <c r="Z120" s="167" t="s">
        <v>18</v>
      </c>
      <c r="AA120" s="167" t="s">
        <v>18</v>
      </c>
      <c r="AB120" s="167" t="s">
        <v>18</v>
      </c>
      <c r="AC120" s="477">
        <v>45641</v>
      </c>
      <c r="AD120" s="477">
        <v>46554</v>
      </c>
      <c r="AE120" s="175"/>
      <c r="AF120" s="462"/>
      <c r="AG120" s="474"/>
      <c r="AH120" s="475"/>
      <c r="AI120" s="171" t="s">
        <v>18</v>
      </c>
      <c r="AJ120" s="171" t="s">
        <v>18</v>
      </c>
      <c r="AK120" s="462"/>
      <c r="AL120" s="144" t="s">
        <v>17</v>
      </c>
      <c r="AM120" s="90" t="s">
        <v>3191</v>
      </c>
      <c r="AN120" s="193"/>
      <c r="AO120" s="194">
        <f>SUMIF('TK 15661.Bản quyền phim '!F:F,'KK2. Series'!C120,'TK 15661.Bản quyền phim '!K:K)</f>
        <v>0</v>
      </c>
      <c r="AP120" s="194">
        <f>COUNTIF('242.BQ Phim VOD'!$C$5:$C$8,'KK2. Series'!AM120)</f>
        <v>1</v>
      </c>
      <c r="AQ120" s="194">
        <f>COUNTIF('TK 15666. Phim SX'!$C$6:$C$13,'KK2. Series'!AM120)</f>
        <v>0</v>
      </c>
      <c r="AR120" s="193">
        <f>COUNTIF('TK 15661.Bản quyền phim '!F:F,'KK2. Series'!AM120)</f>
        <v>0</v>
      </c>
      <c r="AS120" s="193"/>
      <c r="AT120" s="197">
        <f t="shared" si="6"/>
        <v>1</v>
      </c>
      <c r="AU120" s="193"/>
      <c r="AV120" s="193"/>
      <c r="AW120" s="193"/>
      <c r="AX120" s="193"/>
      <c r="AY120" s="193"/>
    </row>
    <row r="121" spans="1:51" ht="409.6" x14ac:dyDescent="0.25">
      <c r="A121" s="141">
        <v>115</v>
      </c>
      <c r="B121" s="142" t="s">
        <v>567</v>
      </c>
      <c r="C121" s="164" t="s">
        <v>566</v>
      </c>
      <c r="D121" s="144" t="s">
        <v>565</v>
      </c>
      <c r="E121" s="164" t="s">
        <v>564</v>
      </c>
      <c r="F121" s="144" t="s">
        <v>563</v>
      </c>
      <c r="G121" s="164" t="s">
        <v>555</v>
      </c>
      <c r="H121" s="164">
        <v>2024</v>
      </c>
      <c r="I121" s="164">
        <v>40</v>
      </c>
      <c r="J121" s="164">
        <v>45</v>
      </c>
      <c r="K121" s="459">
        <f t="shared" si="8"/>
        <v>30</v>
      </c>
      <c r="L121" s="459">
        <f t="shared" si="9"/>
        <v>40</v>
      </c>
      <c r="M121" s="164" t="s">
        <v>562</v>
      </c>
      <c r="N121" s="433" t="s">
        <v>561</v>
      </c>
      <c r="O121" s="476">
        <v>45654</v>
      </c>
      <c r="P121" s="476">
        <v>47479</v>
      </c>
      <c r="Q121" s="433"/>
      <c r="R121" s="171"/>
      <c r="S121" s="171"/>
      <c r="T121" s="167" t="s">
        <v>18</v>
      </c>
      <c r="U121" s="144" t="s">
        <v>18</v>
      </c>
      <c r="V121" s="167" t="s">
        <v>18</v>
      </c>
      <c r="W121" s="167" t="s">
        <v>18</v>
      </c>
      <c r="X121" s="167" t="s">
        <v>18</v>
      </c>
      <c r="Y121" s="167" t="s">
        <v>18</v>
      </c>
      <c r="Z121" s="167" t="s">
        <v>18</v>
      </c>
      <c r="AA121" s="167" t="s">
        <v>18</v>
      </c>
      <c r="AB121" s="491" t="s">
        <v>18</v>
      </c>
      <c r="AC121" s="464">
        <v>45654</v>
      </c>
      <c r="AD121" s="464">
        <v>47479</v>
      </c>
      <c r="AE121" s="164" t="s">
        <v>218</v>
      </c>
      <c r="AF121" s="492"/>
      <c r="AG121" s="474"/>
      <c r="AH121" s="475"/>
      <c r="AI121" s="171" t="s">
        <v>18</v>
      </c>
      <c r="AJ121" s="171" t="s">
        <v>18</v>
      </c>
      <c r="AK121" s="462" t="s">
        <v>402</v>
      </c>
      <c r="AL121" s="144" t="s">
        <v>17</v>
      </c>
      <c r="AM121" s="193" t="s">
        <v>560</v>
      </c>
      <c r="AN121" s="193"/>
      <c r="AO121" s="194">
        <f>SUMIF('TK 15661.Bản quyền phim '!F:F,'KK2. Series'!C121,'TK 15661.Bản quyền phim '!K:K)</f>
        <v>0</v>
      </c>
      <c r="AP121" s="194">
        <f>COUNTIF('242.BQ Phim VOD'!$C$5:$C$8,'KK2. Series'!AM121)</f>
        <v>0</v>
      </c>
      <c r="AQ121" s="194">
        <f>COUNTIF('TK 15666. Phim SX'!$C$6:$C$13,'KK2. Series'!AM121)</f>
        <v>0</v>
      </c>
      <c r="AR121" s="193">
        <f>COUNTIF('TK 15661.Bản quyền phim '!F:F,'KK2. Series'!AM121)</f>
        <v>1</v>
      </c>
      <c r="AS121" s="193"/>
      <c r="AT121" s="197">
        <f t="shared" si="6"/>
        <v>1</v>
      </c>
      <c r="AU121" s="193"/>
      <c r="AV121" s="193"/>
      <c r="AW121" s="193"/>
      <c r="AX121" s="193"/>
      <c r="AY121" s="193"/>
    </row>
    <row r="122" spans="1:51" ht="409.6" x14ac:dyDescent="0.25">
      <c r="A122" s="141">
        <v>116</v>
      </c>
      <c r="B122" s="142" t="s">
        <v>559</v>
      </c>
      <c r="C122" s="164" t="s">
        <v>552</v>
      </c>
      <c r="D122" s="144" t="s">
        <v>558</v>
      </c>
      <c r="E122" s="164" t="s">
        <v>557</v>
      </c>
      <c r="F122" s="144" t="s">
        <v>556</v>
      </c>
      <c r="G122" s="164" t="s">
        <v>555</v>
      </c>
      <c r="H122" s="164">
        <v>2024</v>
      </c>
      <c r="I122" s="164">
        <v>32</v>
      </c>
      <c r="J122" s="164">
        <v>40</v>
      </c>
      <c r="K122" s="459">
        <f t="shared" si="8"/>
        <v>21.333333333333332</v>
      </c>
      <c r="L122" s="459">
        <f t="shared" si="9"/>
        <v>32</v>
      </c>
      <c r="M122" s="164" t="s">
        <v>554</v>
      </c>
      <c r="N122" s="433" t="s">
        <v>511</v>
      </c>
      <c r="O122" s="476">
        <v>45698</v>
      </c>
      <c r="P122" s="476">
        <v>46792</v>
      </c>
      <c r="Q122" s="433"/>
      <c r="R122" s="144" t="s">
        <v>553</v>
      </c>
      <c r="S122" s="167">
        <v>48</v>
      </c>
      <c r="T122" s="167" t="s">
        <v>18</v>
      </c>
      <c r="U122" s="144" t="s">
        <v>18</v>
      </c>
      <c r="V122" s="167" t="s">
        <v>18</v>
      </c>
      <c r="W122" s="167" t="s">
        <v>18</v>
      </c>
      <c r="X122" s="167" t="s">
        <v>18</v>
      </c>
      <c r="Y122" s="167" t="s">
        <v>18</v>
      </c>
      <c r="Z122" s="167" t="s">
        <v>18</v>
      </c>
      <c r="AA122" s="167" t="s">
        <v>18</v>
      </c>
      <c r="AB122" s="167" t="s">
        <v>18</v>
      </c>
      <c r="AC122" s="493">
        <v>45698</v>
      </c>
      <c r="AD122" s="493">
        <v>46792</v>
      </c>
      <c r="AE122" s="446" t="s">
        <v>218</v>
      </c>
      <c r="AF122" s="462">
        <v>4</v>
      </c>
      <c r="AG122" s="474">
        <v>45747</v>
      </c>
      <c r="AH122" s="475"/>
      <c r="AI122" s="171" t="s">
        <v>18</v>
      </c>
      <c r="AJ122" s="171" t="s">
        <v>18</v>
      </c>
      <c r="AK122" s="462"/>
      <c r="AL122" s="144" t="s">
        <v>17</v>
      </c>
      <c r="AM122" s="196" t="s">
        <v>552</v>
      </c>
      <c r="AN122" s="193"/>
      <c r="AO122" s="194">
        <f>SUMIF('TK 15661.Bản quyền phim '!F:F,'KK2. Series'!C122,'TK 15661.Bản quyền phim '!K:K)</f>
        <v>813120000</v>
      </c>
      <c r="AP122" s="194">
        <f>COUNTIF('242.BQ Phim VOD'!$C$5:$C$8,'KK2. Series'!AM122)</f>
        <v>0</v>
      </c>
      <c r="AQ122" s="194">
        <f>COUNTIF('TK 15666. Phim SX'!$C$6:$C$13,'KK2. Series'!AM122)</f>
        <v>0</v>
      </c>
      <c r="AR122" s="193">
        <f>COUNTIF('TK 15661.Bản quyền phim '!F:F,'KK2. Series'!AM122)</f>
        <v>1</v>
      </c>
      <c r="AS122" s="193"/>
      <c r="AT122" s="197">
        <f t="shared" si="6"/>
        <v>1</v>
      </c>
      <c r="AU122" s="193"/>
      <c r="AV122" s="193"/>
      <c r="AW122" s="193"/>
      <c r="AX122" s="193"/>
      <c r="AY122" s="193"/>
    </row>
    <row r="123" spans="1:51" ht="409.6" x14ac:dyDescent="0.25">
      <c r="A123" s="141">
        <v>117</v>
      </c>
      <c r="B123" s="142" t="s">
        <v>551</v>
      </c>
      <c r="C123" s="164" t="s">
        <v>550</v>
      </c>
      <c r="D123" s="144" t="s">
        <v>549</v>
      </c>
      <c r="E123" s="164" t="s">
        <v>438</v>
      </c>
      <c r="F123" s="144" t="s">
        <v>548</v>
      </c>
      <c r="G123" s="164" t="s">
        <v>178</v>
      </c>
      <c r="H123" s="164">
        <v>2024</v>
      </c>
      <c r="I123" s="164">
        <v>32</v>
      </c>
      <c r="J123" s="164">
        <v>45</v>
      </c>
      <c r="K123" s="459">
        <f t="shared" si="8"/>
        <v>24</v>
      </c>
      <c r="L123" s="459">
        <f t="shared" si="9"/>
        <v>32</v>
      </c>
      <c r="M123" s="164" t="s">
        <v>547</v>
      </c>
      <c r="N123" s="434" t="s">
        <v>436</v>
      </c>
      <c r="O123" s="476">
        <v>45665</v>
      </c>
      <c r="P123" s="476">
        <v>47490</v>
      </c>
      <c r="Q123" s="434"/>
      <c r="R123" s="174"/>
      <c r="S123" s="175">
        <v>60</v>
      </c>
      <c r="T123" s="175" t="s">
        <v>18</v>
      </c>
      <c r="U123" s="144" t="s">
        <v>18</v>
      </c>
      <c r="V123" s="175" t="s">
        <v>18</v>
      </c>
      <c r="W123" s="175" t="s">
        <v>18</v>
      </c>
      <c r="X123" s="175" t="s">
        <v>18</v>
      </c>
      <c r="Y123" s="175" t="s">
        <v>18</v>
      </c>
      <c r="Z123" s="175" t="s">
        <v>18</v>
      </c>
      <c r="AA123" s="175" t="s">
        <v>18</v>
      </c>
      <c r="AB123" s="175" t="s">
        <v>18</v>
      </c>
      <c r="AC123" s="477">
        <v>45665</v>
      </c>
      <c r="AD123" s="477">
        <v>47490</v>
      </c>
      <c r="AE123" s="175" t="s">
        <v>218</v>
      </c>
      <c r="AF123" s="478"/>
      <c r="AG123" s="479"/>
      <c r="AH123" s="480"/>
      <c r="AI123" s="171" t="s">
        <v>18</v>
      </c>
      <c r="AJ123" s="171" t="s">
        <v>18</v>
      </c>
      <c r="AK123" s="462" t="s">
        <v>402</v>
      </c>
      <c r="AL123" s="144" t="s">
        <v>17</v>
      </c>
      <c r="AM123" s="193" t="s">
        <v>546</v>
      </c>
      <c r="AN123" s="193"/>
      <c r="AO123" s="194">
        <f>SUMIF('TK 15661.Bản quyền phim '!F:F,'KK2. Series'!C123,'TK 15661.Bản quyền phim '!K:K)</f>
        <v>0</v>
      </c>
      <c r="AP123" s="194">
        <f>COUNTIF('242.BQ Phim VOD'!$C$5:$C$8,'KK2. Series'!AM123)</f>
        <v>0</v>
      </c>
      <c r="AQ123" s="194">
        <f>COUNTIF('TK 15666. Phim SX'!$C$6:$C$13,'KK2. Series'!AM123)</f>
        <v>0</v>
      </c>
      <c r="AR123" s="193">
        <f>COUNTIF('TK 15661.Bản quyền phim '!F:F,'KK2. Series'!AM123)</f>
        <v>1</v>
      </c>
      <c r="AS123" s="193"/>
      <c r="AT123" s="197">
        <f t="shared" si="6"/>
        <v>1</v>
      </c>
      <c r="AU123" s="193"/>
      <c r="AV123" s="193"/>
      <c r="AW123" s="193"/>
      <c r="AX123" s="193"/>
      <c r="AY123" s="193"/>
    </row>
    <row r="124" spans="1:51" ht="409.6" x14ac:dyDescent="0.25">
      <c r="A124" s="141">
        <v>118</v>
      </c>
      <c r="B124" s="142" t="s">
        <v>545</v>
      </c>
      <c r="C124" s="431" t="s">
        <v>544</v>
      </c>
      <c r="D124" s="144" t="s">
        <v>543</v>
      </c>
      <c r="E124" s="431" t="s">
        <v>352</v>
      </c>
      <c r="F124" s="171" t="s">
        <v>351</v>
      </c>
      <c r="G124" s="431" t="s">
        <v>178</v>
      </c>
      <c r="H124" s="431">
        <v>2023</v>
      </c>
      <c r="I124" s="431">
        <v>40</v>
      </c>
      <c r="J124" s="431">
        <v>45</v>
      </c>
      <c r="K124" s="459">
        <f t="shared" si="8"/>
        <v>30</v>
      </c>
      <c r="L124" s="459">
        <f t="shared" si="9"/>
        <v>40</v>
      </c>
      <c r="M124" s="431" t="s">
        <v>350</v>
      </c>
      <c r="N124" s="433" t="s">
        <v>350</v>
      </c>
      <c r="O124" s="190"/>
      <c r="P124" s="182" t="s">
        <v>349</v>
      </c>
      <c r="Q124" s="171"/>
      <c r="R124" s="171"/>
      <c r="S124" s="171"/>
      <c r="T124" s="167" t="s">
        <v>20</v>
      </c>
      <c r="U124" s="144" t="s">
        <v>18</v>
      </c>
      <c r="V124" s="167" t="s">
        <v>20</v>
      </c>
      <c r="W124" s="167" t="s">
        <v>18</v>
      </c>
      <c r="X124" s="167" t="s">
        <v>18</v>
      </c>
      <c r="Y124" s="167" t="s">
        <v>18</v>
      </c>
      <c r="Z124" s="167" t="s">
        <v>18</v>
      </c>
      <c r="AA124" s="167" t="s">
        <v>18</v>
      </c>
      <c r="AB124" s="167" t="s">
        <v>18</v>
      </c>
      <c r="AC124" s="490">
        <v>45658</v>
      </c>
      <c r="AD124" s="490">
        <v>46387</v>
      </c>
      <c r="AE124" s="171"/>
      <c r="AF124" s="462"/>
      <c r="AG124" s="474"/>
      <c r="AH124" s="475"/>
      <c r="AI124" s="171" t="s">
        <v>18</v>
      </c>
      <c r="AJ124" s="171" t="s">
        <v>18</v>
      </c>
      <c r="AK124" s="462"/>
      <c r="AL124" s="144" t="s">
        <v>17</v>
      </c>
      <c r="AM124" s="193"/>
      <c r="AN124" s="193"/>
      <c r="AO124" s="194">
        <f>SUMIF('TK 15661.Bản quyền phim '!F:F,'KK2. Series'!C124,'TK 15661.Bản quyền phim '!K:K)</f>
        <v>0</v>
      </c>
      <c r="AP124" s="194">
        <f>COUNTIF('242.BQ Phim VOD'!$C$5:$C$8,'KK2. Series'!AM124)</f>
        <v>0</v>
      </c>
      <c r="AQ124" s="194">
        <f>COUNTIF('TK 15666. Phim SX'!$C$6:$C$13,'KK2. Series'!AM124)</f>
        <v>0</v>
      </c>
      <c r="AR124" s="193">
        <f>COUNTIF('TK 15661.Bản quyền phim '!F:F,'KK2. Series'!AM124)</f>
        <v>0</v>
      </c>
      <c r="AS124" s="193">
        <v>1</v>
      </c>
      <c r="AT124" s="197">
        <f t="shared" si="6"/>
        <v>1</v>
      </c>
      <c r="AU124" s="193"/>
      <c r="AV124" s="193"/>
      <c r="AW124" s="193"/>
      <c r="AX124" s="193"/>
      <c r="AY124" s="193"/>
    </row>
    <row r="125" spans="1:51" ht="264" x14ac:dyDescent="0.25">
      <c r="A125" s="141">
        <v>119</v>
      </c>
      <c r="B125" s="142" t="s">
        <v>542</v>
      </c>
      <c r="C125" s="431" t="s">
        <v>541</v>
      </c>
      <c r="D125" s="144" t="s">
        <v>540</v>
      </c>
      <c r="E125" s="431" t="s">
        <v>352</v>
      </c>
      <c r="F125" s="171" t="s">
        <v>351</v>
      </c>
      <c r="G125" s="431" t="s">
        <v>133</v>
      </c>
      <c r="H125" s="431">
        <v>2015</v>
      </c>
      <c r="I125" s="431">
        <v>20</v>
      </c>
      <c r="J125" s="431">
        <v>70</v>
      </c>
      <c r="K125" s="459">
        <f t="shared" si="8"/>
        <v>23.333333333333332</v>
      </c>
      <c r="L125" s="459">
        <f t="shared" si="9"/>
        <v>20</v>
      </c>
      <c r="M125" s="431" t="s">
        <v>350</v>
      </c>
      <c r="N125" s="433" t="s">
        <v>436</v>
      </c>
      <c r="O125" s="171"/>
      <c r="P125" s="144" t="s">
        <v>349</v>
      </c>
      <c r="Q125" s="171"/>
      <c r="R125" s="171"/>
      <c r="S125" s="171"/>
      <c r="T125" s="167" t="s">
        <v>20</v>
      </c>
      <c r="U125" s="144" t="s">
        <v>18</v>
      </c>
      <c r="V125" s="167" t="s">
        <v>20</v>
      </c>
      <c r="W125" s="167" t="s">
        <v>18</v>
      </c>
      <c r="X125" s="167" t="s">
        <v>18</v>
      </c>
      <c r="Y125" s="167" t="s">
        <v>18</v>
      </c>
      <c r="Z125" s="167" t="s">
        <v>18</v>
      </c>
      <c r="AA125" s="167" t="s">
        <v>18</v>
      </c>
      <c r="AB125" s="167" t="s">
        <v>18</v>
      </c>
      <c r="AC125" s="490">
        <v>45658</v>
      </c>
      <c r="AD125" s="490">
        <v>46387</v>
      </c>
      <c r="AE125" s="171"/>
      <c r="AF125" s="462"/>
      <c r="AG125" s="474"/>
      <c r="AH125" s="475"/>
      <c r="AI125" s="171" t="s">
        <v>18</v>
      </c>
      <c r="AJ125" s="171" t="s">
        <v>18</v>
      </c>
      <c r="AK125" s="462"/>
      <c r="AL125" s="144" t="s">
        <v>17</v>
      </c>
      <c r="AM125" s="193"/>
      <c r="AN125" s="193"/>
      <c r="AO125" s="194">
        <f>SUMIF('TK 15661.Bản quyền phim '!F:F,'KK2. Series'!C125,'TK 15661.Bản quyền phim '!K:K)</f>
        <v>0</v>
      </c>
      <c r="AP125" s="194">
        <f>COUNTIF('242.BQ Phim VOD'!$C$5:$C$8,'KK2. Series'!AM125)</f>
        <v>0</v>
      </c>
      <c r="AQ125" s="194">
        <f>COUNTIF('TK 15666. Phim SX'!$C$6:$C$13,'KK2. Series'!AM125)</f>
        <v>0</v>
      </c>
      <c r="AR125" s="193">
        <f>COUNTIF('TK 15661.Bản quyền phim '!F:F,'KK2. Series'!AM125)</f>
        <v>0</v>
      </c>
      <c r="AS125" s="193">
        <v>1</v>
      </c>
      <c r="AT125" s="197">
        <f t="shared" si="6"/>
        <v>1</v>
      </c>
      <c r="AU125" s="193"/>
      <c r="AV125" s="193"/>
      <c r="AW125" s="193"/>
      <c r="AX125" s="193"/>
      <c r="AY125" s="193"/>
    </row>
    <row r="126" spans="1:51" ht="409.6" x14ac:dyDescent="0.25">
      <c r="A126" s="141">
        <v>120</v>
      </c>
      <c r="B126" s="142" t="s">
        <v>539</v>
      </c>
      <c r="C126" s="431" t="s">
        <v>538</v>
      </c>
      <c r="D126" s="144" t="s">
        <v>537</v>
      </c>
      <c r="E126" s="431" t="s">
        <v>352</v>
      </c>
      <c r="F126" s="171" t="s">
        <v>351</v>
      </c>
      <c r="G126" s="431" t="s">
        <v>133</v>
      </c>
      <c r="H126" s="431">
        <v>2018</v>
      </c>
      <c r="I126" s="431">
        <v>50</v>
      </c>
      <c r="J126" s="431">
        <v>70</v>
      </c>
      <c r="K126" s="459">
        <f t="shared" si="8"/>
        <v>58.333333333333336</v>
      </c>
      <c r="L126" s="459">
        <f t="shared" si="9"/>
        <v>50</v>
      </c>
      <c r="M126" s="431" t="s">
        <v>350</v>
      </c>
      <c r="N126" s="433" t="s">
        <v>350</v>
      </c>
      <c r="O126" s="171"/>
      <c r="P126" s="144" t="s">
        <v>349</v>
      </c>
      <c r="Q126" s="171"/>
      <c r="R126" s="171"/>
      <c r="S126" s="171"/>
      <c r="T126" s="167" t="s">
        <v>20</v>
      </c>
      <c r="U126" s="144" t="s">
        <v>18</v>
      </c>
      <c r="V126" s="167" t="s">
        <v>20</v>
      </c>
      <c r="W126" s="167" t="s">
        <v>18</v>
      </c>
      <c r="X126" s="167" t="s">
        <v>18</v>
      </c>
      <c r="Y126" s="167" t="s">
        <v>18</v>
      </c>
      <c r="Z126" s="167" t="s">
        <v>18</v>
      </c>
      <c r="AA126" s="167" t="s">
        <v>18</v>
      </c>
      <c r="AB126" s="167" t="s">
        <v>18</v>
      </c>
      <c r="AC126" s="490">
        <v>45717</v>
      </c>
      <c r="AD126" s="490">
        <v>46446</v>
      </c>
      <c r="AE126" s="171"/>
      <c r="AF126" s="462"/>
      <c r="AG126" s="474"/>
      <c r="AH126" s="475"/>
      <c r="AI126" s="171" t="s">
        <v>18</v>
      </c>
      <c r="AJ126" s="171" t="s">
        <v>18</v>
      </c>
      <c r="AK126" s="462"/>
      <c r="AL126" s="144" t="s">
        <v>17</v>
      </c>
      <c r="AM126" s="193"/>
      <c r="AN126" s="193"/>
      <c r="AO126" s="194">
        <f>SUMIF('TK 15661.Bản quyền phim '!F:F,'KK2. Series'!C126,'TK 15661.Bản quyền phim '!K:K)</f>
        <v>0</v>
      </c>
      <c r="AP126" s="194">
        <f>COUNTIF('242.BQ Phim VOD'!$C$5:$C$8,'KK2. Series'!AM126)</f>
        <v>0</v>
      </c>
      <c r="AQ126" s="194">
        <f>COUNTIF('TK 15666. Phim SX'!$C$6:$C$13,'KK2. Series'!AM126)</f>
        <v>0</v>
      </c>
      <c r="AR126" s="193">
        <f>COUNTIF('TK 15661.Bản quyền phim '!F:F,'KK2. Series'!AM126)</f>
        <v>0</v>
      </c>
      <c r="AS126" s="193">
        <v>1</v>
      </c>
      <c r="AT126" s="197">
        <f t="shared" si="6"/>
        <v>1</v>
      </c>
      <c r="AU126" s="193"/>
      <c r="AV126" s="193"/>
      <c r="AW126" s="193"/>
      <c r="AX126" s="193"/>
      <c r="AY126" s="193"/>
    </row>
    <row r="127" spans="1:51" ht="409.6" x14ac:dyDescent="0.25">
      <c r="A127" s="141">
        <v>121</v>
      </c>
      <c r="B127" s="142" t="s">
        <v>536</v>
      </c>
      <c r="C127" s="431" t="s">
        <v>535</v>
      </c>
      <c r="D127" s="144" t="s">
        <v>534</v>
      </c>
      <c r="E127" s="431" t="s">
        <v>352</v>
      </c>
      <c r="F127" s="171" t="s">
        <v>351</v>
      </c>
      <c r="G127" s="431" t="s">
        <v>133</v>
      </c>
      <c r="H127" s="431">
        <v>2016</v>
      </c>
      <c r="I127" s="431">
        <v>50</v>
      </c>
      <c r="J127" s="431">
        <v>70</v>
      </c>
      <c r="K127" s="459">
        <f t="shared" si="8"/>
        <v>58.333333333333336</v>
      </c>
      <c r="L127" s="459">
        <f t="shared" si="9"/>
        <v>50</v>
      </c>
      <c r="M127" s="431" t="s">
        <v>350</v>
      </c>
      <c r="N127" s="437" t="s">
        <v>350</v>
      </c>
      <c r="O127" s="433"/>
      <c r="P127" s="144" t="s">
        <v>349</v>
      </c>
      <c r="Q127" s="171"/>
      <c r="R127" s="171"/>
      <c r="S127" s="171"/>
      <c r="T127" s="167" t="s">
        <v>20</v>
      </c>
      <c r="U127" s="144" t="s">
        <v>18</v>
      </c>
      <c r="V127" s="167" t="s">
        <v>20</v>
      </c>
      <c r="W127" s="167" t="s">
        <v>18</v>
      </c>
      <c r="X127" s="167" t="s">
        <v>18</v>
      </c>
      <c r="Y127" s="167" t="s">
        <v>18</v>
      </c>
      <c r="Z127" s="167" t="s">
        <v>18</v>
      </c>
      <c r="AA127" s="167" t="s">
        <v>18</v>
      </c>
      <c r="AB127" s="167" t="s">
        <v>18</v>
      </c>
      <c r="AC127" s="490">
        <v>45658</v>
      </c>
      <c r="AD127" s="490">
        <v>46387</v>
      </c>
      <c r="AE127" s="171"/>
      <c r="AF127" s="462"/>
      <c r="AG127" s="474"/>
      <c r="AH127" s="475"/>
      <c r="AI127" s="171" t="s">
        <v>18</v>
      </c>
      <c r="AJ127" s="171" t="s">
        <v>18</v>
      </c>
      <c r="AK127" s="462"/>
      <c r="AL127" s="144" t="s">
        <v>17</v>
      </c>
      <c r="AM127" s="193"/>
      <c r="AN127" s="193"/>
      <c r="AO127" s="194">
        <f>SUMIF('TK 15661.Bản quyền phim '!F:F,'KK2. Series'!C127,'TK 15661.Bản quyền phim '!K:K)</f>
        <v>0</v>
      </c>
      <c r="AP127" s="194">
        <f>COUNTIF('242.BQ Phim VOD'!$C$5:$C$8,'KK2. Series'!AM127)</f>
        <v>0</v>
      </c>
      <c r="AQ127" s="194">
        <f>COUNTIF('TK 15666. Phim SX'!$C$6:$C$13,'KK2. Series'!AM127)</f>
        <v>0</v>
      </c>
      <c r="AR127" s="193">
        <f>COUNTIF('TK 15661.Bản quyền phim '!F:F,'KK2. Series'!AM127)</f>
        <v>0</v>
      </c>
      <c r="AS127" s="193">
        <v>1</v>
      </c>
      <c r="AT127" s="197">
        <f t="shared" si="6"/>
        <v>1</v>
      </c>
      <c r="AU127" s="193"/>
      <c r="AV127" s="193"/>
      <c r="AW127" s="193"/>
      <c r="AX127" s="193"/>
      <c r="AY127" s="193"/>
    </row>
    <row r="128" spans="1:51" ht="409.6" x14ac:dyDescent="0.25">
      <c r="A128" s="141">
        <v>122</v>
      </c>
      <c r="B128" s="142" t="s">
        <v>533</v>
      </c>
      <c r="C128" s="494" t="s">
        <v>532</v>
      </c>
      <c r="D128" s="181" t="s">
        <v>531</v>
      </c>
      <c r="E128" s="431" t="s">
        <v>352</v>
      </c>
      <c r="F128" s="171" t="s">
        <v>351</v>
      </c>
      <c r="G128" s="431" t="s">
        <v>133</v>
      </c>
      <c r="H128" s="431">
        <v>2016</v>
      </c>
      <c r="I128" s="431">
        <v>51</v>
      </c>
      <c r="J128" s="431">
        <v>70</v>
      </c>
      <c r="K128" s="459">
        <f t="shared" si="8"/>
        <v>59.5</v>
      </c>
      <c r="L128" s="459">
        <f t="shared" si="9"/>
        <v>51</v>
      </c>
      <c r="M128" s="431" t="s">
        <v>350</v>
      </c>
      <c r="N128" s="437" t="s">
        <v>350</v>
      </c>
      <c r="O128" s="433"/>
      <c r="P128" s="144" t="s">
        <v>349</v>
      </c>
      <c r="Q128" s="171"/>
      <c r="R128" s="171"/>
      <c r="S128" s="171"/>
      <c r="T128" s="167" t="s">
        <v>20</v>
      </c>
      <c r="U128" s="144" t="s">
        <v>18</v>
      </c>
      <c r="V128" s="167" t="s">
        <v>20</v>
      </c>
      <c r="W128" s="167" t="s">
        <v>18</v>
      </c>
      <c r="X128" s="167" t="s">
        <v>18</v>
      </c>
      <c r="Y128" s="167" t="s">
        <v>18</v>
      </c>
      <c r="Z128" s="167" t="s">
        <v>18</v>
      </c>
      <c r="AA128" s="167" t="s">
        <v>18</v>
      </c>
      <c r="AB128" s="167" t="s">
        <v>18</v>
      </c>
      <c r="AC128" s="490">
        <v>45658</v>
      </c>
      <c r="AD128" s="490">
        <v>46387</v>
      </c>
      <c r="AE128" s="171"/>
      <c r="AF128" s="462"/>
      <c r="AG128" s="474"/>
      <c r="AH128" s="475"/>
      <c r="AI128" s="171" t="s">
        <v>18</v>
      </c>
      <c r="AJ128" s="171" t="s">
        <v>18</v>
      </c>
      <c r="AK128" s="462"/>
      <c r="AL128" s="144" t="s">
        <v>17</v>
      </c>
      <c r="AM128" s="193"/>
      <c r="AN128" s="193"/>
      <c r="AO128" s="194">
        <f>SUMIF('TK 15661.Bản quyền phim '!F:F,'KK2. Series'!C128,'TK 15661.Bản quyền phim '!K:K)</f>
        <v>0</v>
      </c>
      <c r="AP128" s="194">
        <f>COUNTIF('242.BQ Phim VOD'!$C$5:$C$8,'KK2. Series'!AM128)</f>
        <v>0</v>
      </c>
      <c r="AQ128" s="194">
        <f>COUNTIF('TK 15666. Phim SX'!$C$6:$C$13,'KK2. Series'!AM128)</f>
        <v>0</v>
      </c>
      <c r="AR128" s="193">
        <f>COUNTIF('TK 15661.Bản quyền phim '!F:F,'KK2. Series'!AM128)</f>
        <v>0</v>
      </c>
      <c r="AS128" s="193">
        <v>1</v>
      </c>
      <c r="AT128" s="197">
        <f t="shared" si="6"/>
        <v>1</v>
      </c>
      <c r="AU128" s="193"/>
      <c r="AV128" s="193"/>
      <c r="AW128" s="193"/>
      <c r="AX128" s="193"/>
      <c r="AY128" s="193"/>
    </row>
    <row r="129" spans="1:51" ht="409.6" x14ac:dyDescent="0.25">
      <c r="A129" s="141">
        <v>123</v>
      </c>
      <c r="B129" s="142" t="s">
        <v>530</v>
      </c>
      <c r="C129" s="495" t="s">
        <v>529</v>
      </c>
      <c r="D129" s="171" t="s">
        <v>528</v>
      </c>
      <c r="E129" s="438" t="s">
        <v>352</v>
      </c>
      <c r="F129" s="171" t="s">
        <v>351</v>
      </c>
      <c r="G129" s="431" t="s">
        <v>133</v>
      </c>
      <c r="H129" s="431">
        <v>2008</v>
      </c>
      <c r="I129" s="431">
        <v>56</v>
      </c>
      <c r="J129" s="431">
        <v>70</v>
      </c>
      <c r="K129" s="459">
        <f t="shared" si="8"/>
        <v>65.333333333333329</v>
      </c>
      <c r="L129" s="459">
        <f t="shared" si="9"/>
        <v>56</v>
      </c>
      <c r="M129" s="431" t="s">
        <v>350</v>
      </c>
      <c r="N129" s="439" t="s">
        <v>350</v>
      </c>
      <c r="O129" s="434"/>
      <c r="P129" s="181" t="s">
        <v>349</v>
      </c>
      <c r="Q129" s="174"/>
      <c r="R129" s="174"/>
      <c r="S129" s="174"/>
      <c r="T129" s="175" t="s">
        <v>20</v>
      </c>
      <c r="U129" s="144" t="s">
        <v>18</v>
      </c>
      <c r="V129" s="175" t="s">
        <v>20</v>
      </c>
      <c r="W129" s="175" t="s">
        <v>18</v>
      </c>
      <c r="X129" s="175" t="s">
        <v>18</v>
      </c>
      <c r="Y129" s="175" t="s">
        <v>18</v>
      </c>
      <c r="Z129" s="175" t="s">
        <v>18</v>
      </c>
      <c r="AA129" s="175" t="s">
        <v>18</v>
      </c>
      <c r="AB129" s="175" t="s">
        <v>18</v>
      </c>
      <c r="AC129" s="496">
        <v>45658</v>
      </c>
      <c r="AD129" s="496">
        <v>46387</v>
      </c>
      <c r="AE129" s="174"/>
      <c r="AF129" s="478"/>
      <c r="AG129" s="479"/>
      <c r="AH129" s="480"/>
      <c r="AI129" s="171" t="s">
        <v>18</v>
      </c>
      <c r="AJ129" s="171" t="s">
        <v>18</v>
      </c>
      <c r="AK129" s="462"/>
      <c r="AL129" s="144" t="s">
        <v>17</v>
      </c>
      <c r="AM129" s="193"/>
      <c r="AN129" s="193"/>
      <c r="AO129" s="194">
        <f>SUMIF('TK 15661.Bản quyền phim '!F:F,'KK2. Series'!C129,'TK 15661.Bản quyền phim '!K:K)</f>
        <v>0</v>
      </c>
      <c r="AP129" s="194">
        <f>COUNTIF('242.BQ Phim VOD'!$C$5:$C$8,'KK2. Series'!AM129)</f>
        <v>0</v>
      </c>
      <c r="AQ129" s="194">
        <f>COUNTIF('TK 15666. Phim SX'!$C$6:$C$13,'KK2. Series'!AM129)</f>
        <v>0</v>
      </c>
      <c r="AR129" s="193">
        <f>COUNTIF('TK 15661.Bản quyền phim '!F:F,'KK2. Series'!AM129)</f>
        <v>0</v>
      </c>
      <c r="AS129" s="193">
        <v>1</v>
      </c>
      <c r="AT129" s="197">
        <f t="shared" si="6"/>
        <v>1</v>
      </c>
      <c r="AU129" s="193"/>
      <c r="AV129" s="193"/>
      <c r="AW129" s="193"/>
      <c r="AX129" s="193"/>
      <c r="AY129" s="193"/>
    </row>
    <row r="130" spans="1:51" ht="409.6" x14ac:dyDescent="0.25">
      <c r="A130" s="141">
        <v>124</v>
      </c>
      <c r="B130" s="142" t="s">
        <v>527</v>
      </c>
      <c r="C130" s="167" t="s">
        <v>525</v>
      </c>
      <c r="D130" s="171" t="s">
        <v>526</v>
      </c>
      <c r="E130" s="435" t="s">
        <v>513</v>
      </c>
      <c r="F130" s="144" t="s">
        <v>512</v>
      </c>
      <c r="G130" s="164" t="s">
        <v>178</v>
      </c>
      <c r="H130" s="164">
        <v>2023</v>
      </c>
      <c r="I130" s="164">
        <v>40</v>
      </c>
      <c r="J130" s="164">
        <v>30</v>
      </c>
      <c r="K130" s="459">
        <f t="shared" si="8"/>
        <v>20</v>
      </c>
      <c r="L130" s="459">
        <f t="shared" si="9"/>
        <v>40</v>
      </c>
      <c r="M130" s="440" t="s">
        <v>503</v>
      </c>
      <c r="N130" s="440" t="s">
        <v>503</v>
      </c>
      <c r="O130" s="497">
        <v>45689</v>
      </c>
      <c r="P130" s="476">
        <v>46784</v>
      </c>
      <c r="Q130" s="171"/>
      <c r="R130" s="171"/>
      <c r="S130" s="167">
        <v>0</v>
      </c>
      <c r="T130" s="167" t="s">
        <v>20</v>
      </c>
      <c r="U130" s="144" t="s">
        <v>18</v>
      </c>
      <c r="V130" s="167" t="s">
        <v>18</v>
      </c>
      <c r="W130" s="167" t="s">
        <v>18</v>
      </c>
      <c r="X130" s="171" t="s">
        <v>20</v>
      </c>
      <c r="Y130" s="167" t="s">
        <v>18</v>
      </c>
      <c r="Z130" s="167" t="s">
        <v>18</v>
      </c>
      <c r="AA130" s="167" t="s">
        <v>18</v>
      </c>
      <c r="AB130" s="167" t="s">
        <v>18</v>
      </c>
      <c r="AC130" s="476">
        <v>45689</v>
      </c>
      <c r="AD130" s="476">
        <v>46784</v>
      </c>
      <c r="AE130" s="167" t="s">
        <v>218</v>
      </c>
      <c r="AF130" s="462"/>
      <c r="AG130" s="474"/>
      <c r="AH130" s="475"/>
      <c r="AI130" s="171" t="s">
        <v>18</v>
      </c>
      <c r="AJ130" s="171" t="s">
        <v>18</v>
      </c>
      <c r="AK130" s="462"/>
      <c r="AL130" s="144" t="s">
        <v>17</v>
      </c>
      <c r="AM130" s="196" t="s">
        <v>525</v>
      </c>
      <c r="AN130" s="193"/>
      <c r="AO130" s="194">
        <f>SUMIF('TK 15661.Bản quyền phim '!F:F,'KK2. Series'!C130,'TK 15661.Bản quyền phim '!K:K)</f>
        <v>355740000</v>
      </c>
      <c r="AP130" s="194">
        <f>COUNTIF('242.BQ Phim VOD'!$C$5:$C$8,'KK2. Series'!AM130)</f>
        <v>0</v>
      </c>
      <c r="AQ130" s="194">
        <f>COUNTIF('TK 15666. Phim SX'!$C$6:$C$13,'KK2. Series'!AM130)</f>
        <v>0</v>
      </c>
      <c r="AR130" s="193">
        <f>COUNTIF('TK 15661.Bản quyền phim '!F:F,'KK2. Series'!AM130)</f>
        <v>1</v>
      </c>
      <c r="AS130" s="193"/>
      <c r="AT130" s="197">
        <f t="shared" si="6"/>
        <v>1</v>
      </c>
      <c r="AU130" s="193"/>
      <c r="AV130" s="193"/>
      <c r="AW130" s="193"/>
      <c r="AX130" s="193"/>
      <c r="AY130" s="193"/>
    </row>
    <row r="131" spans="1:51" ht="409.6" x14ac:dyDescent="0.25">
      <c r="A131" s="141">
        <v>125</v>
      </c>
      <c r="B131" s="142" t="s">
        <v>524</v>
      </c>
      <c r="C131" s="167" t="s">
        <v>522</v>
      </c>
      <c r="D131" s="171" t="s">
        <v>523</v>
      </c>
      <c r="E131" s="435" t="s">
        <v>513</v>
      </c>
      <c r="F131" s="144" t="s">
        <v>512</v>
      </c>
      <c r="G131" s="164" t="s">
        <v>178</v>
      </c>
      <c r="H131" s="164">
        <v>2023</v>
      </c>
      <c r="I131" s="164">
        <v>29</v>
      </c>
      <c r="J131" s="164">
        <v>40</v>
      </c>
      <c r="K131" s="459">
        <f t="shared" si="8"/>
        <v>19.333333333333332</v>
      </c>
      <c r="L131" s="459">
        <f t="shared" si="9"/>
        <v>29</v>
      </c>
      <c r="M131" s="441" t="s">
        <v>350</v>
      </c>
      <c r="N131" s="441" t="s">
        <v>350</v>
      </c>
      <c r="O131" s="482">
        <v>45773</v>
      </c>
      <c r="P131" s="477">
        <v>47233</v>
      </c>
      <c r="Q131" s="174"/>
      <c r="R131" s="174"/>
      <c r="S131" s="175">
        <v>48</v>
      </c>
      <c r="T131" s="175" t="s">
        <v>20</v>
      </c>
      <c r="U131" s="144" t="s">
        <v>18</v>
      </c>
      <c r="V131" s="175" t="s">
        <v>18</v>
      </c>
      <c r="W131" s="175" t="s">
        <v>18</v>
      </c>
      <c r="X131" s="171" t="s">
        <v>20</v>
      </c>
      <c r="Y131" s="175" t="s">
        <v>18</v>
      </c>
      <c r="Z131" s="175" t="s">
        <v>18</v>
      </c>
      <c r="AA131" s="175" t="s">
        <v>18</v>
      </c>
      <c r="AB131" s="175" t="s">
        <v>18</v>
      </c>
      <c r="AC131" s="477">
        <v>45773</v>
      </c>
      <c r="AD131" s="477">
        <v>47233</v>
      </c>
      <c r="AE131" s="175" t="s">
        <v>218</v>
      </c>
      <c r="AF131" s="478">
        <v>4</v>
      </c>
      <c r="AG131" s="479">
        <v>45802</v>
      </c>
      <c r="AH131" s="480"/>
      <c r="AI131" s="171" t="s">
        <v>18</v>
      </c>
      <c r="AJ131" s="171" t="s">
        <v>18</v>
      </c>
      <c r="AK131" s="462"/>
      <c r="AL131" s="144" t="s">
        <v>17</v>
      </c>
      <c r="AM131" s="196" t="s">
        <v>522</v>
      </c>
      <c r="AN131" s="193"/>
      <c r="AO131" s="194">
        <f>SUMIF('TK 15661.Bản quyền phim '!F:F,'KK2. Series'!C131,'TK 15661.Bản quyền phim '!K:K)</f>
        <v>957957000</v>
      </c>
      <c r="AP131" s="194">
        <f>COUNTIF('242.BQ Phim VOD'!$C$5:$C$8,'KK2. Series'!AM131)</f>
        <v>0</v>
      </c>
      <c r="AQ131" s="194">
        <f>COUNTIF('TK 15666. Phim SX'!$C$6:$C$13,'KK2. Series'!AM131)</f>
        <v>0</v>
      </c>
      <c r="AR131" s="193">
        <f>COUNTIF('TK 15661.Bản quyền phim '!F:F,'KK2. Series'!AM131)</f>
        <v>1</v>
      </c>
      <c r="AS131" s="193"/>
      <c r="AT131" s="197">
        <f t="shared" si="6"/>
        <v>1</v>
      </c>
      <c r="AU131" s="193"/>
      <c r="AV131" s="193"/>
      <c r="AW131" s="193"/>
      <c r="AX131" s="193"/>
      <c r="AY131" s="193"/>
    </row>
    <row r="132" spans="1:51" ht="409.6" x14ac:dyDescent="0.25">
      <c r="A132" s="141">
        <v>126</v>
      </c>
      <c r="B132" s="142" t="s">
        <v>521</v>
      </c>
      <c r="C132" s="167" t="s">
        <v>520</v>
      </c>
      <c r="D132" s="171" t="s">
        <v>519</v>
      </c>
      <c r="E132" s="435" t="s">
        <v>513</v>
      </c>
      <c r="F132" s="144" t="s">
        <v>512</v>
      </c>
      <c r="G132" s="164" t="s">
        <v>178</v>
      </c>
      <c r="H132" s="164">
        <v>2021</v>
      </c>
      <c r="I132" s="164">
        <v>16</v>
      </c>
      <c r="J132" s="164">
        <v>40</v>
      </c>
      <c r="K132" s="459">
        <f t="shared" si="8"/>
        <v>10.666666666666666</v>
      </c>
      <c r="L132" s="459">
        <f t="shared" si="9"/>
        <v>16</v>
      </c>
      <c r="M132" s="440" t="s">
        <v>518</v>
      </c>
      <c r="N132" s="440" t="s">
        <v>518</v>
      </c>
      <c r="O132" s="497">
        <v>45817</v>
      </c>
      <c r="P132" s="476">
        <v>47277</v>
      </c>
      <c r="Q132" s="171"/>
      <c r="R132" s="171"/>
      <c r="S132" s="167">
        <v>48</v>
      </c>
      <c r="T132" s="167" t="s">
        <v>20</v>
      </c>
      <c r="U132" s="144" t="s">
        <v>18</v>
      </c>
      <c r="V132" s="167" t="s">
        <v>18</v>
      </c>
      <c r="W132" s="167" t="s">
        <v>18</v>
      </c>
      <c r="X132" s="171" t="s">
        <v>20</v>
      </c>
      <c r="Y132" s="167" t="s">
        <v>18</v>
      </c>
      <c r="Z132" s="167" t="s">
        <v>18</v>
      </c>
      <c r="AA132" s="167" t="s">
        <v>18</v>
      </c>
      <c r="AB132" s="167" t="s">
        <v>18</v>
      </c>
      <c r="AC132" s="476">
        <v>45817</v>
      </c>
      <c r="AD132" s="476">
        <v>47277</v>
      </c>
      <c r="AE132" s="167" t="s">
        <v>218</v>
      </c>
      <c r="AF132" s="462"/>
      <c r="AG132" s="474"/>
      <c r="AH132" s="475"/>
      <c r="AI132" s="171" t="s">
        <v>18</v>
      </c>
      <c r="AJ132" s="171" t="s">
        <v>18</v>
      </c>
      <c r="AK132" s="462"/>
      <c r="AL132" s="144" t="s">
        <v>17</v>
      </c>
      <c r="AM132" s="193" t="s">
        <v>517</v>
      </c>
      <c r="AN132" s="193"/>
      <c r="AO132" s="194">
        <f>SUMIF('TK 15661.Bản quyền phim '!F:F,'KK2. Series'!C132,'TK 15661.Bản quyền phim '!K:K)</f>
        <v>0</v>
      </c>
      <c r="AP132" s="194">
        <f>COUNTIF('242.BQ Phim VOD'!$C$5:$C$8,'KK2. Series'!AM132)</f>
        <v>0</v>
      </c>
      <c r="AQ132" s="194">
        <f>COUNTIF('TK 15666. Phim SX'!$C$6:$C$13,'KK2. Series'!AM132)</f>
        <v>0</v>
      </c>
      <c r="AR132" s="193">
        <f>COUNTIF('TK 15661.Bản quyền phim '!F:F,'KK2. Series'!AM132)</f>
        <v>1</v>
      </c>
      <c r="AS132" s="193"/>
      <c r="AT132" s="197">
        <f t="shared" si="6"/>
        <v>1</v>
      </c>
      <c r="AU132" s="193"/>
      <c r="AV132" s="193"/>
      <c r="AW132" s="193"/>
      <c r="AX132" s="193"/>
      <c r="AY132" s="193"/>
    </row>
    <row r="133" spans="1:51" ht="409.6" x14ac:dyDescent="0.25">
      <c r="A133" s="141">
        <v>127</v>
      </c>
      <c r="B133" s="142" t="s">
        <v>516</v>
      </c>
      <c r="C133" s="167" t="s">
        <v>515</v>
      </c>
      <c r="D133" s="167" t="s">
        <v>514</v>
      </c>
      <c r="E133" s="435" t="s">
        <v>513</v>
      </c>
      <c r="F133" s="144" t="s">
        <v>512</v>
      </c>
      <c r="G133" s="164" t="s">
        <v>178</v>
      </c>
      <c r="H133" s="164">
        <v>2023</v>
      </c>
      <c r="I133" s="164">
        <v>24</v>
      </c>
      <c r="J133" s="164">
        <v>35</v>
      </c>
      <c r="K133" s="459">
        <f t="shared" si="8"/>
        <v>14</v>
      </c>
      <c r="L133" s="459">
        <f t="shared" si="9"/>
        <v>24</v>
      </c>
      <c r="M133" s="440" t="s">
        <v>511</v>
      </c>
      <c r="N133" s="440" t="s">
        <v>511</v>
      </c>
      <c r="O133" s="497">
        <v>45783</v>
      </c>
      <c r="P133" s="476">
        <v>47243</v>
      </c>
      <c r="Q133" s="171"/>
      <c r="R133" s="171"/>
      <c r="S133" s="167">
        <v>48</v>
      </c>
      <c r="T133" s="167" t="s">
        <v>20</v>
      </c>
      <c r="U133" s="144" t="s">
        <v>18</v>
      </c>
      <c r="V133" s="167" t="s">
        <v>18</v>
      </c>
      <c r="W133" s="167" t="s">
        <v>18</v>
      </c>
      <c r="X133" s="171" t="s">
        <v>20</v>
      </c>
      <c r="Y133" s="167" t="s">
        <v>18</v>
      </c>
      <c r="Z133" s="167" t="s">
        <v>18</v>
      </c>
      <c r="AA133" s="167" t="s">
        <v>18</v>
      </c>
      <c r="AB133" s="167" t="s">
        <v>18</v>
      </c>
      <c r="AC133" s="476">
        <v>45783</v>
      </c>
      <c r="AD133" s="476">
        <v>47243</v>
      </c>
      <c r="AE133" s="167" t="s">
        <v>218</v>
      </c>
      <c r="AF133" s="462"/>
      <c r="AG133" s="474"/>
      <c r="AH133" s="475"/>
      <c r="AI133" s="171" t="s">
        <v>18</v>
      </c>
      <c r="AJ133" s="171" t="s">
        <v>18</v>
      </c>
      <c r="AK133" s="462"/>
      <c r="AL133" s="144" t="s">
        <v>17</v>
      </c>
      <c r="AM133" s="193" t="s">
        <v>510</v>
      </c>
      <c r="AN133" s="193"/>
      <c r="AO133" s="194">
        <f>SUMIF('TK 15661.Bản quyền phim '!F:F,'KK2. Series'!C133,'TK 15661.Bản quyền phim '!K:K)</f>
        <v>0</v>
      </c>
      <c r="AP133" s="194">
        <f>COUNTIF('242.BQ Phim VOD'!$C$5:$C$8,'KK2. Series'!AM133)</f>
        <v>0</v>
      </c>
      <c r="AQ133" s="194">
        <f>COUNTIF('TK 15666. Phim SX'!$C$6:$C$13,'KK2. Series'!AM133)</f>
        <v>0</v>
      </c>
      <c r="AR133" s="193">
        <f>COUNTIF('TK 15661.Bản quyền phim '!F:F,'KK2. Series'!AM133)</f>
        <v>1</v>
      </c>
      <c r="AS133" s="193"/>
      <c r="AT133" s="197">
        <f t="shared" si="6"/>
        <v>1</v>
      </c>
      <c r="AU133" s="193"/>
      <c r="AV133" s="193"/>
      <c r="AW133" s="193"/>
      <c r="AX133" s="193"/>
      <c r="AY133" s="193"/>
    </row>
    <row r="134" spans="1:51" ht="409.6" x14ac:dyDescent="0.25">
      <c r="A134" s="141">
        <v>128</v>
      </c>
      <c r="B134" s="142" t="s">
        <v>509</v>
      </c>
      <c r="C134" s="495" t="s">
        <v>508</v>
      </c>
      <c r="D134" s="171" t="s">
        <v>507</v>
      </c>
      <c r="E134" s="435" t="s">
        <v>352</v>
      </c>
      <c r="F134" s="171" t="s">
        <v>351</v>
      </c>
      <c r="G134" s="164" t="s">
        <v>133</v>
      </c>
      <c r="H134" s="164">
        <v>2021</v>
      </c>
      <c r="I134" s="164">
        <v>103</v>
      </c>
      <c r="J134" s="164">
        <v>40</v>
      </c>
      <c r="K134" s="459">
        <f t="shared" si="8"/>
        <v>68.666666666666671</v>
      </c>
      <c r="L134" s="459">
        <f t="shared" si="9"/>
        <v>103</v>
      </c>
      <c r="M134" s="440" t="s">
        <v>350</v>
      </c>
      <c r="N134" s="440" t="s">
        <v>350</v>
      </c>
      <c r="O134" s="442"/>
      <c r="P134" s="144" t="s">
        <v>349</v>
      </c>
      <c r="Q134" s="171"/>
      <c r="R134" s="171"/>
      <c r="S134" s="167"/>
      <c r="T134" s="167" t="s">
        <v>20</v>
      </c>
      <c r="U134" s="144" t="s">
        <v>18</v>
      </c>
      <c r="V134" s="167" t="s">
        <v>20</v>
      </c>
      <c r="W134" s="167" t="s">
        <v>18</v>
      </c>
      <c r="X134" s="167" t="s">
        <v>18</v>
      </c>
      <c r="Y134" s="167" t="s">
        <v>18</v>
      </c>
      <c r="Z134" s="167" t="s">
        <v>18</v>
      </c>
      <c r="AA134" s="167" t="s">
        <v>18</v>
      </c>
      <c r="AB134" s="167" t="s">
        <v>18</v>
      </c>
      <c r="AC134" s="476">
        <v>45717</v>
      </c>
      <c r="AD134" s="490">
        <v>46446</v>
      </c>
      <c r="AE134" s="171"/>
      <c r="AF134" s="462"/>
      <c r="AG134" s="474"/>
      <c r="AH134" s="475"/>
      <c r="AI134" s="171" t="s">
        <v>18</v>
      </c>
      <c r="AJ134" s="171" t="s">
        <v>18</v>
      </c>
      <c r="AK134" s="462"/>
      <c r="AL134" s="144" t="s">
        <v>17</v>
      </c>
      <c r="AM134" s="193"/>
      <c r="AN134" s="193"/>
      <c r="AO134" s="194">
        <f>SUMIF('TK 15661.Bản quyền phim '!F:F,'KK2. Series'!C134,'TK 15661.Bản quyền phim '!K:K)</f>
        <v>0</v>
      </c>
      <c r="AP134" s="194">
        <f>COUNTIF('242.BQ Phim VOD'!$C$5:$C$8,'KK2. Series'!AM134)</f>
        <v>0</v>
      </c>
      <c r="AQ134" s="194">
        <f>COUNTIF('TK 15666. Phim SX'!$C$6:$C$13,'KK2. Series'!AM134)</f>
        <v>0</v>
      </c>
      <c r="AR134" s="193">
        <f>COUNTIF('TK 15661.Bản quyền phim '!F:F,'KK2. Series'!AM134)</f>
        <v>0</v>
      </c>
      <c r="AS134" s="193">
        <v>1</v>
      </c>
      <c r="AT134" s="197">
        <f t="shared" si="6"/>
        <v>1</v>
      </c>
      <c r="AU134" s="193"/>
      <c r="AV134" s="193"/>
      <c r="AW134" s="193"/>
      <c r="AX134" s="193"/>
      <c r="AY134" s="193"/>
    </row>
    <row r="135" spans="1:51" ht="409.6" x14ac:dyDescent="0.25">
      <c r="A135" s="141">
        <v>129</v>
      </c>
      <c r="B135" s="142" t="s">
        <v>506</v>
      </c>
      <c r="C135" s="495" t="s">
        <v>502</v>
      </c>
      <c r="D135" s="171" t="s">
        <v>505</v>
      </c>
      <c r="E135" s="435" t="s">
        <v>405</v>
      </c>
      <c r="F135" s="144" t="s">
        <v>504</v>
      </c>
      <c r="G135" s="164" t="s">
        <v>133</v>
      </c>
      <c r="H135" s="164">
        <v>2025</v>
      </c>
      <c r="I135" s="164">
        <v>12</v>
      </c>
      <c r="J135" s="164">
        <v>70</v>
      </c>
      <c r="K135" s="459">
        <f t="shared" ref="K135:K146" si="10">(I135*J135)/60</f>
        <v>14</v>
      </c>
      <c r="L135" s="459">
        <f t="shared" si="9"/>
        <v>12</v>
      </c>
      <c r="M135" s="442" t="s">
        <v>503</v>
      </c>
      <c r="N135" s="442" t="s">
        <v>503</v>
      </c>
      <c r="O135" s="476">
        <v>45709</v>
      </c>
      <c r="P135" s="476">
        <v>47169</v>
      </c>
      <c r="Q135" s="171"/>
      <c r="R135" s="171"/>
      <c r="S135" s="167">
        <v>48</v>
      </c>
      <c r="T135" s="167" t="s">
        <v>18</v>
      </c>
      <c r="U135" s="144" t="s">
        <v>18</v>
      </c>
      <c r="V135" s="167" t="s">
        <v>18</v>
      </c>
      <c r="W135" s="167" t="s">
        <v>18</v>
      </c>
      <c r="X135" s="167" t="s">
        <v>18</v>
      </c>
      <c r="Y135" s="167" t="s">
        <v>18</v>
      </c>
      <c r="Z135" s="167" t="s">
        <v>18</v>
      </c>
      <c r="AA135" s="167" t="s">
        <v>18</v>
      </c>
      <c r="AB135" s="167" t="s">
        <v>18</v>
      </c>
      <c r="AC135" s="476">
        <v>45709</v>
      </c>
      <c r="AD135" s="476">
        <v>47169</v>
      </c>
      <c r="AE135" s="167" t="s">
        <v>218</v>
      </c>
      <c r="AF135" s="462"/>
      <c r="AG135" s="474"/>
      <c r="AH135" s="475"/>
      <c r="AI135" s="171" t="s">
        <v>18</v>
      </c>
      <c r="AJ135" s="171" t="s">
        <v>18</v>
      </c>
      <c r="AK135" s="462" t="s">
        <v>402</v>
      </c>
      <c r="AL135" s="144" t="s">
        <v>17</v>
      </c>
      <c r="AM135" s="196" t="s">
        <v>502</v>
      </c>
      <c r="AN135" s="193"/>
      <c r="AO135" s="194">
        <f>SUMIF('TK 15661.Bản quyền phim '!F:F,'KK2. Series'!C135,'TK 15661.Bản quyền phim '!K:K)</f>
        <v>1016400000</v>
      </c>
      <c r="AP135" s="194">
        <f>COUNTIF('242.BQ Phim VOD'!$C$5:$C$8,'KK2. Series'!AM135)</f>
        <v>0</v>
      </c>
      <c r="AQ135" s="194">
        <f>COUNTIF('TK 15666. Phim SX'!$C$6:$C$13,'KK2. Series'!AM135)</f>
        <v>0</v>
      </c>
      <c r="AR135" s="193">
        <f>COUNTIF('TK 15661.Bản quyền phim '!F:F,'KK2. Series'!AM135)</f>
        <v>1</v>
      </c>
      <c r="AS135" s="193"/>
      <c r="AT135" s="197">
        <f t="shared" si="6"/>
        <v>1</v>
      </c>
      <c r="AU135" s="193"/>
      <c r="AV135" s="193"/>
      <c r="AW135" s="193"/>
      <c r="AX135" s="193"/>
      <c r="AY135" s="193"/>
    </row>
    <row r="136" spans="1:51" ht="409.6" x14ac:dyDescent="0.25">
      <c r="A136" s="141">
        <v>130</v>
      </c>
      <c r="B136" s="142" t="s">
        <v>501</v>
      </c>
      <c r="C136" s="498" t="s">
        <v>500</v>
      </c>
      <c r="D136" s="182" t="s">
        <v>499</v>
      </c>
      <c r="E136" s="164" t="s">
        <v>498</v>
      </c>
      <c r="F136" s="174" t="s">
        <v>497</v>
      </c>
      <c r="G136" s="144" t="s">
        <v>496</v>
      </c>
      <c r="H136" s="164">
        <v>2025</v>
      </c>
      <c r="I136" s="164">
        <v>11</v>
      </c>
      <c r="J136" s="164">
        <v>50</v>
      </c>
      <c r="K136" s="459">
        <f t="shared" si="10"/>
        <v>9.1666666666666661</v>
      </c>
      <c r="L136" s="459">
        <f t="shared" si="9"/>
        <v>11</v>
      </c>
      <c r="M136" s="442" t="s">
        <v>495</v>
      </c>
      <c r="N136" s="442" t="s">
        <v>495</v>
      </c>
      <c r="O136" s="476">
        <v>45724</v>
      </c>
      <c r="P136" s="476">
        <v>47549</v>
      </c>
      <c r="Q136" s="171"/>
      <c r="R136" s="171"/>
      <c r="S136" s="167">
        <v>60</v>
      </c>
      <c r="T136" s="167" t="s">
        <v>18</v>
      </c>
      <c r="U136" s="144" t="s">
        <v>18</v>
      </c>
      <c r="V136" s="167" t="s">
        <v>18</v>
      </c>
      <c r="W136" s="167" t="s">
        <v>18</v>
      </c>
      <c r="X136" s="167" t="s">
        <v>18</v>
      </c>
      <c r="Y136" s="167" t="s">
        <v>18</v>
      </c>
      <c r="Z136" s="167" t="s">
        <v>18</v>
      </c>
      <c r="AA136" s="167" t="s">
        <v>18</v>
      </c>
      <c r="AB136" s="167" t="s">
        <v>18</v>
      </c>
      <c r="AC136" s="476">
        <v>45724</v>
      </c>
      <c r="AD136" s="476">
        <v>47549</v>
      </c>
      <c r="AE136" s="167" t="s">
        <v>218</v>
      </c>
      <c r="AF136" s="462"/>
      <c r="AG136" s="474"/>
      <c r="AH136" s="475"/>
      <c r="AI136" s="171" t="s">
        <v>18</v>
      </c>
      <c r="AJ136" s="171" t="s">
        <v>18</v>
      </c>
      <c r="AK136" s="462" t="s">
        <v>402</v>
      </c>
      <c r="AL136" s="144" t="s">
        <v>17</v>
      </c>
      <c r="AM136" s="193" t="s">
        <v>494</v>
      </c>
      <c r="AN136" s="193"/>
      <c r="AO136" s="194">
        <f>SUMIF('TK 15661.Bản quyền phim '!F:F,'KK2. Series'!C136,'TK 15661.Bản quyền phim '!K:K)</f>
        <v>0</v>
      </c>
      <c r="AP136" s="194">
        <f>COUNTIF('242.BQ Phim VOD'!$C$5:$C$8,'KK2. Series'!AM136)</f>
        <v>0</v>
      </c>
      <c r="AQ136" s="194">
        <f>COUNTIF('TK 15666. Phim SX'!$C$6:$C$13,'KK2. Series'!AM136)</f>
        <v>0</v>
      </c>
      <c r="AR136" s="193">
        <f>COUNTIF('TK 15661.Bản quyền phim '!F:F,'KK2. Series'!AM136)</f>
        <v>1</v>
      </c>
      <c r="AS136" s="193"/>
      <c r="AT136" s="197">
        <f t="shared" ref="AT136:AT174" si="11">SUM(AP136:AS136)</f>
        <v>1</v>
      </c>
      <c r="AU136" s="193"/>
      <c r="AV136" s="193"/>
      <c r="AW136" s="193"/>
      <c r="AX136" s="193"/>
      <c r="AY136" s="193"/>
    </row>
    <row r="137" spans="1:51" ht="250.8" x14ac:dyDescent="0.25">
      <c r="A137" s="141">
        <v>131</v>
      </c>
      <c r="B137" s="142" t="s">
        <v>493</v>
      </c>
      <c r="C137" s="164" t="s">
        <v>492</v>
      </c>
      <c r="D137" s="144" t="s">
        <v>491</v>
      </c>
      <c r="E137" s="164" t="s">
        <v>486</v>
      </c>
      <c r="F137" s="171" t="s">
        <v>485</v>
      </c>
      <c r="G137" s="164" t="s">
        <v>484</v>
      </c>
      <c r="H137" s="164">
        <v>2022</v>
      </c>
      <c r="I137" s="164">
        <v>10</v>
      </c>
      <c r="J137" s="164">
        <v>45</v>
      </c>
      <c r="K137" s="459">
        <f t="shared" si="10"/>
        <v>7.5</v>
      </c>
      <c r="L137" s="459">
        <f t="shared" si="9"/>
        <v>10</v>
      </c>
      <c r="M137" s="442" t="s">
        <v>350</v>
      </c>
      <c r="N137" s="442" t="s">
        <v>350</v>
      </c>
      <c r="O137" s="476">
        <v>45748</v>
      </c>
      <c r="P137" s="476">
        <v>47573</v>
      </c>
      <c r="Q137" s="171"/>
      <c r="R137" s="171"/>
      <c r="S137" s="167"/>
      <c r="T137" s="167" t="s">
        <v>20</v>
      </c>
      <c r="U137" s="144" t="s">
        <v>18</v>
      </c>
      <c r="V137" s="167" t="s">
        <v>18</v>
      </c>
      <c r="W137" s="167" t="s">
        <v>18</v>
      </c>
      <c r="X137" s="167" t="s">
        <v>18</v>
      </c>
      <c r="Y137" s="167" t="s">
        <v>18</v>
      </c>
      <c r="Z137" s="167" t="s">
        <v>18</v>
      </c>
      <c r="AA137" s="167" t="s">
        <v>18</v>
      </c>
      <c r="AB137" s="167" t="s">
        <v>18</v>
      </c>
      <c r="AC137" s="476">
        <v>45748</v>
      </c>
      <c r="AD137" s="476">
        <v>47573</v>
      </c>
      <c r="AE137" s="167" t="s">
        <v>218</v>
      </c>
      <c r="AF137" s="462"/>
      <c r="AG137" s="474"/>
      <c r="AH137" s="475"/>
      <c r="AI137" s="171" t="s">
        <v>18</v>
      </c>
      <c r="AJ137" s="171" t="s">
        <v>18</v>
      </c>
      <c r="AK137" s="462"/>
      <c r="AL137" s="144" t="s">
        <v>17</v>
      </c>
      <c r="AM137" s="193" t="s">
        <v>490</v>
      </c>
      <c r="AN137" s="193"/>
      <c r="AO137" s="194">
        <f>SUMIF('TK 15661.Bản quyền phim '!F:F,'KK2. Series'!C137,'TK 15661.Bản quyền phim '!K:K)</f>
        <v>0</v>
      </c>
      <c r="AP137" s="194">
        <f>COUNTIF('242.BQ Phim VOD'!$C$5:$C$8,'KK2. Series'!AM137)</f>
        <v>0</v>
      </c>
      <c r="AQ137" s="194">
        <f>COUNTIF('TK 15666. Phim SX'!$C$6:$C$13,'KK2. Series'!AM137)</f>
        <v>0</v>
      </c>
      <c r="AR137" s="193">
        <f>COUNTIF('TK 15661.Bản quyền phim '!F:F,'KK2. Series'!AM137)</f>
        <v>1</v>
      </c>
      <c r="AS137" s="193"/>
      <c r="AT137" s="197">
        <f t="shared" si="11"/>
        <v>1</v>
      </c>
      <c r="AU137" s="193"/>
      <c r="AV137" s="193"/>
      <c r="AW137" s="193"/>
      <c r="AX137" s="193"/>
      <c r="AY137" s="193"/>
    </row>
    <row r="138" spans="1:51" ht="409.6" x14ac:dyDescent="0.25">
      <c r="A138" s="141">
        <v>132</v>
      </c>
      <c r="B138" s="142" t="s">
        <v>489</v>
      </c>
      <c r="C138" s="164" t="s">
        <v>488</v>
      </c>
      <c r="D138" s="144" t="s">
        <v>487</v>
      </c>
      <c r="E138" s="164" t="s">
        <v>486</v>
      </c>
      <c r="F138" s="174" t="s">
        <v>485</v>
      </c>
      <c r="G138" s="164" t="s">
        <v>484</v>
      </c>
      <c r="H138" s="164">
        <v>2024</v>
      </c>
      <c r="I138" s="164">
        <v>30</v>
      </c>
      <c r="J138" s="164">
        <v>45</v>
      </c>
      <c r="K138" s="459">
        <f t="shared" si="10"/>
        <v>22.5</v>
      </c>
      <c r="L138" s="459">
        <f t="shared" si="9"/>
        <v>30</v>
      </c>
      <c r="M138" s="443" t="s">
        <v>350</v>
      </c>
      <c r="N138" s="443" t="s">
        <v>350</v>
      </c>
      <c r="O138" s="477">
        <v>45748</v>
      </c>
      <c r="P138" s="477">
        <v>47573</v>
      </c>
      <c r="Q138" s="174"/>
      <c r="R138" s="174"/>
      <c r="S138" s="175"/>
      <c r="T138" s="175" t="s">
        <v>20</v>
      </c>
      <c r="U138" s="144" t="s">
        <v>18</v>
      </c>
      <c r="V138" s="175" t="s">
        <v>18</v>
      </c>
      <c r="W138" s="175" t="s">
        <v>18</v>
      </c>
      <c r="X138" s="175" t="s">
        <v>18</v>
      </c>
      <c r="Y138" s="175" t="s">
        <v>18</v>
      </c>
      <c r="Z138" s="175" t="s">
        <v>18</v>
      </c>
      <c r="AA138" s="175" t="s">
        <v>18</v>
      </c>
      <c r="AB138" s="175" t="s">
        <v>18</v>
      </c>
      <c r="AC138" s="477">
        <v>45748</v>
      </c>
      <c r="AD138" s="477">
        <v>47573</v>
      </c>
      <c r="AE138" s="175" t="s">
        <v>218</v>
      </c>
      <c r="AF138" s="478"/>
      <c r="AG138" s="479"/>
      <c r="AH138" s="480"/>
      <c r="AI138" s="171" t="s">
        <v>18</v>
      </c>
      <c r="AJ138" s="171" t="s">
        <v>18</v>
      </c>
      <c r="AK138" s="462"/>
      <c r="AL138" s="144" t="s">
        <v>17</v>
      </c>
      <c r="AM138" s="193" t="s">
        <v>483</v>
      </c>
      <c r="AN138" s="193"/>
      <c r="AO138" s="194">
        <f>SUMIF('TK 15661.Bản quyền phim '!F:F,'KK2. Series'!C138,'TK 15661.Bản quyền phim '!K:K)</f>
        <v>0</v>
      </c>
      <c r="AP138" s="194">
        <f>COUNTIF('242.BQ Phim VOD'!$C$5:$C$8,'KK2. Series'!AM138)</f>
        <v>0</v>
      </c>
      <c r="AQ138" s="194">
        <f>COUNTIF('TK 15666. Phim SX'!$C$6:$C$13,'KK2. Series'!AM138)</f>
        <v>0</v>
      </c>
      <c r="AR138" s="193">
        <f>COUNTIF('TK 15661.Bản quyền phim '!F:F,'KK2. Series'!AM138)</f>
        <v>1</v>
      </c>
      <c r="AS138" s="193"/>
      <c r="AT138" s="197">
        <f t="shared" si="11"/>
        <v>1</v>
      </c>
      <c r="AU138" s="193"/>
      <c r="AV138" s="193"/>
      <c r="AW138" s="193"/>
      <c r="AX138" s="193"/>
      <c r="AY138" s="193"/>
    </row>
    <row r="139" spans="1:51" ht="409.6" x14ac:dyDescent="0.25">
      <c r="A139" s="141">
        <v>133</v>
      </c>
      <c r="B139" s="142" t="s">
        <v>482</v>
      </c>
      <c r="C139" s="164" t="s">
        <v>481</v>
      </c>
      <c r="D139" s="144" t="s">
        <v>480</v>
      </c>
      <c r="E139" s="164" t="s">
        <v>352</v>
      </c>
      <c r="F139" s="171" t="s">
        <v>351</v>
      </c>
      <c r="G139" s="164" t="s">
        <v>133</v>
      </c>
      <c r="H139" s="164">
        <v>2013</v>
      </c>
      <c r="I139" s="164">
        <v>150</v>
      </c>
      <c r="J139" s="164">
        <v>35</v>
      </c>
      <c r="K139" s="459">
        <f t="shared" si="10"/>
        <v>87.5</v>
      </c>
      <c r="L139" s="459">
        <f t="shared" si="9"/>
        <v>150</v>
      </c>
      <c r="M139" s="442" t="s">
        <v>350</v>
      </c>
      <c r="N139" s="442" t="s">
        <v>350</v>
      </c>
      <c r="O139" s="171"/>
      <c r="P139" s="144" t="s">
        <v>349</v>
      </c>
      <c r="Q139" s="171"/>
      <c r="R139" s="171"/>
      <c r="S139" s="171"/>
      <c r="T139" s="167" t="s">
        <v>20</v>
      </c>
      <c r="U139" s="144" t="s">
        <v>18</v>
      </c>
      <c r="V139" s="167" t="s">
        <v>20</v>
      </c>
      <c r="W139" s="167" t="s">
        <v>18</v>
      </c>
      <c r="X139" s="167" t="s">
        <v>18</v>
      </c>
      <c r="Y139" s="167" t="s">
        <v>18</v>
      </c>
      <c r="Z139" s="167" t="s">
        <v>18</v>
      </c>
      <c r="AA139" s="167" t="s">
        <v>18</v>
      </c>
      <c r="AB139" s="167" t="s">
        <v>18</v>
      </c>
      <c r="AC139" s="490">
        <v>45717</v>
      </c>
      <c r="AD139" s="490">
        <v>46446</v>
      </c>
      <c r="AE139" s="171"/>
      <c r="AF139" s="462"/>
      <c r="AG139" s="474"/>
      <c r="AH139" s="475"/>
      <c r="AI139" s="171" t="s">
        <v>18</v>
      </c>
      <c r="AJ139" s="171" t="s">
        <v>18</v>
      </c>
      <c r="AK139" s="462"/>
      <c r="AL139" s="144" t="s">
        <v>17</v>
      </c>
      <c r="AM139" s="193"/>
      <c r="AN139" s="193"/>
      <c r="AO139" s="194">
        <f>SUMIF('TK 15661.Bản quyền phim '!F:F,'KK2. Series'!C139,'TK 15661.Bản quyền phim '!K:K)</f>
        <v>0</v>
      </c>
      <c r="AP139" s="194">
        <f>COUNTIF('242.BQ Phim VOD'!$C$5:$C$8,'KK2. Series'!AM139)</f>
        <v>0</v>
      </c>
      <c r="AQ139" s="194">
        <f>COUNTIF('TK 15666. Phim SX'!$C$6:$C$13,'KK2. Series'!AM139)</f>
        <v>0</v>
      </c>
      <c r="AR139" s="193">
        <f>COUNTIF('TK 15661.Bản quyền phim '!F:F,'KK2. Series'!AM139)</f>
        <v>0</v>
      </c>
      <c r="AS139" s="193">
        <v>1</v>
      </c>
      <c r="AT139" s="197">
        <f t="shared" si="11"/>
        <v>1</v>
      </c>
      <c r="AU139" s="193"/>
      <c r="AV139" s="193"/>
      <c r="AW139" s="193"/>
      <c r="AX139" s="193"/>
      <c r="AY139" s="193"/>
    </row>
    <row r="140" spans="1:51" ht="409.6" x14ac:dyDescent="0.25">
      <c r="A140" s="141">
        <v>134</v>
      </c>
      <c r="B140" s="142" t="s">
        <v>479</v>
      </c>
      <c r="C140" s="164" t="s">
        <v>478</v>
      </c>
      <c r="D140" s="144" t="s">
        <v>477</v>
      </c>
      <c r="E140" s="164" t="s">
        <v>352</v>
      </c>
      <c r="F140" s="171" t="s">
        <v>351</v>
      </c>
      <c r="G140" s="164" t="s">
        <v>133</v>
      </c>
      <c r="H140" s="164">
        <v>2014</v>
      </c>
      <c r="I140" s="164">
        <v>64</v>
      </c>
      <c r="J140" s="164">
        <v>35</v>
      </c>
      <c r="K140" s="459">
        <f t="shared" si="10"/>
        <v>37.333333333333336</v>
      </c>
      <c r="L140" s="459">
        <f t="shared" si="9"/>
        <v>64</v>
      </c>
      <c r="M140" s="442" t="s">
        <v>350</v>
      </c>
      <c r="N140" s="442" t="s">
        <v>350</v>
      </c>
      <c r="O140" s="171"/>
      <c r="P140" s="144" t="s">
        <v>349</v>
      </c>
      <c r="Q140" s="171"/>
      <c r="R140" s="171"/>
      <c r="S140" s="171"/>
      <c r="T140" s="167" t="s">
        <v>20</v>
      </c>
      <c r="U140" s="144" t="s">
        <v>18</v>
      </c>
      <c r="V140" s="167" t="s">
        <v>20</v>
      </c>
      <c r="W140" s="167" t="s">
        <v>18</v>
      </c>
      <c r="X140" s="167" t="s">
        <v>18</v>
      </c>
      <c r="Y140" s="167" t="s">
        <v>18</v>
      </c>
      <c r="Z140" s="167" t="s">
        <v>18</v>
      </c>
      <c r="AA140" s="167" t="s">
        <v>18</v>
      </c>
      <c r="AB140" s="167" t="s">
        <v>18</v>
      </c>
      <c r="AC140" s="490">
        <v>45748</v>
      </c>
      <c r="AD140" s="490">
        <v>46477</v>
      </c>
      <c r="AE140" s="171"/>
      <c r="AF140" s="462"/>
      <c r="AG140" s="474"/>
      <c r="AH140" s="475"/>
      <c r="AI140" s="171" t="s">
        <v>18</v>
      </c>
      <c r="AJ140" s="171" t="s">
        <v>18</v>
      </c>
      <c r="AK140" s="462"/>
      <c r="AL140" s="144" t="s">
        <v>17</v>
      </c>
      <c r="AM140" s="193"/>
      <c r="AN140" s="193"/>
      <c r="AO140" s="194">
        <f>SUMIF('TK 15661.Bản quyền phim '!F:F,'KK2. Series'!C140,'TK 15661.Bản quyền phim '!K:K)</f>
        <v>0</v>
      </c>
      <c r="AP140" s="194">
        <f>COUNTIF('242.BQ Phim VOD'!$C$5:$C$8,'KK2. Series'!AM140)</f>
        <v>0</v>
      </c>
      <c r="AQ140" s="194">
        <f>COUNTIF('TK 15666. Phim SX'!$C$6:$C$13,'KK2. Series'!AM140)</f>
        <v>0</v>
      </c>
      <c r="AR140" s="193">
        <f>COUNTIF('TK 15661.Bản quyền phim '!F:F,'KK2. Series'!AM140)</f>
        <v>0</v>
      </c>
      <c r="AS140" s="193">
        <v>1</v>
      </c>
      <c r="AT140" s="197">
        <f t="shared" si="11"/>
        <v>1</v>
      </c>
      <c r="AU140" s="193"/>
      <c r="AV140" s="193"/>
      <c r="AW140" s="193"/>
      <c r="AX140" s="193"/>
      <c r="AY140" s="193"/>
    </row>
    <row r="141" spans="1:51" ht="409.6" x14ac:dyDescent="0.25">
      <c r="A141" s="141">
        <v>135</v>
      </c>
      <c r="B141" s="142" t="s">
        <v>476</v>
      </c>
      <c r="C141" s="164" t="s">
        <v>475</v>
      </c>
      <c r="D141" s="144" t="s">
        <v>474</v>
      </c>
      <c r="E141" s="164" t="s">
        <v>352</v>
      </c>
      <c r="F141" s="171" t="s">
        <v>351</v>
      </c>
      <c r="G141" s="164" t="s">
        <v>133</v>
      </c>
      <c r="H141" s="164">
        <v>2014</v>
      </c>
      <c r="I141" s="164">
        <v>42</v>
      </c>
      <c r="J141" s="164">
        <v>35</v>
      </c>
      <c r="K141" s="459">
        <f t="shared" si="10"/>
        <v>24.5</v>
      </c>
      <c r="L141" s="459">
        <f t="shared" si="9"/>
        <v>42</v>
      </c>
      <c r="M141" s="164" t="s">
        <v>350</v>
      </c>
      <c r="N141" s="164" t="s">
        <v>350</v>
      </c>
      <c r="O141" s="144"/>
      <c r="P141" s="144" t="s">
        <v>349</v>
      </c>
      <c r="Q141" s="144"/>
      <c r="R141" s="144"/>
      <c r="S141" s="144"/>
      <c r="T141" s="164" t="s">
        <v>20</v>
      </c>
      <c r="U141" s="144" t="s">
        <v>18</v>
      </c>
      <c r="V141" s="164" t="s">
        <v>20</v>
      </c>
      <c r="W141" s="164" t="s">
        <v>18</v>
      </c>
      <c r="X141" s="164" t="s">
        <v>18</v>
      </c>
      <c r="Y141" s="164" t="s">
        <v>18</v>
      </c>
      <c r="Z141" s="164" t="s">
        <v>18</v>
      </c>
      <c r="AA141" s="164" t="s">
        <v>18</v>
      </c>
      <c r="AB141" s="164" t="s">
        <v>18</v>
      </c>
      <c r="AC141" s="468">
        <v>45748</v>
      </c>
      <c r="AD141" s="468">
        <v>46477</v>
      </c>
      <c r="AE141" s="144"/>
      <c r="AF141" s="460"/>
      <c r="AG141" s="461"/>
      <c r="AH141" s="465"/>
      <c r="AI141" s="171" t="s">
        <v>18</v>
      </c>
      <c r="AJ141" s="171" t="s">
        <v>18</v>
      </c>
      <c r="AK141" s="462"/>
      <c r="AL141" s="144" t="s">
        <v>17</v>
      </c>
      <c r="AM141" s="193"/>
      <c r="AN141" s="193"/>
      <c r="AO141" s="194">
        <f>SUMIF('TK 15661.Bản quyền phim '!F:F,'KK2. Series'!C141,'TK 15661.Bản quyền phim '!K:K)</f>
        <v>0</v>
      </c>
      <c r="AP141" s="194">
        <f>COUNTIF('242.BQ Phim VOD'!$C$5:$C$8,'KK2. Series'!AM141)</f>
        <v>0</v>
      </c>
      <c r="AQ141" s="194">
        <f>COUNTIF('TK 15666. Phim SX'!$C$6:$C$13,'KK2. Series'!AM141)</f>
        <v>0</v>
      </c>
      <c r="AR141" s="193">
        <f>COUNTIF('TK 15661.Bản quyền phim '!F:F,'KK2. Series'!AM141)</f>
        <v>0</v>
      </c>
      <c r="AS141" s="193">
        <v>1</v>
      </c>
      <c r="AT141" s="197">
        <f t="shared" si="11"/>
        <v>1</v>
      </c>
      <c r="AU141" s="193"/>
      <c r="AV141" s="193"/>
      <c r="AW141" s="193"/>
      <c r="AX141" s="193"/>
      <c r="AY141" s="193"/>
    </row>
    <row r="142" spans="1:51" ht="409.6" x14ac:dyDescent="0.25">
      <c r="A142" s="141">
        <v>136</v>
      </c>
      <c r="B142" s="142" t="s">
        <v>473</v>
      </c>
      <c r="C142" s="164" t="s">
        <v>472</v>
      </c>
      <c r="D142" s="144" t="s">
        <v>471</v>
      </c>
      <c r="E142" s="164" t="s">
        <v>470</v>
      </c>
      <c r="F142" s="172">
        <v>19985</v>
      </c>
      <c r="G142" s="164" t="s">
        <v>133</v>
      </c>
      <c r="H142" s="164">
        <v>2021</v>
      </c>
      <c r="I142" s="164">
        <v>16</v>
      </c>
      <c r="J142" s="164">
        <v>70</v>
      </c>
      <c r="K142" s="459">
        <f t="shared" si="10"/>
        <v>18.666666666666668</v>
      </c>
      <c r="L142" s="459">
        <f t="shared" si="9"/>
        <v>16</v>
      </c>
      <c r="M142" s="164" t="s">
        <v>350</v>
      </c>
      <c r="N142" s="164" t="s">
        <v>350</v>
      </c>
      <c r="O142" s="464">
        <v>45870</v>
      </c>
      <c r="P142" s="464">
        <v>46965</v>
      </c>
      <c r="Q142" s="144"/>
      <c r="R142" s="144"/>
      <c r="S142" s="144"/>
      <c r="T142" s="164" t="s">
        <v>348</v>
      </c>
      <c r="U142" s="144" t="s">
        <v>18</v>
      </c>
      <c r="V142" s="164" t="s">
        <v>18</v>
      </c>
      <c r="W142" s="164" t="s">
        <v>18</v>
      </c>
      <c r="X142" s="164" t="s">
        <v>18</v>
      </c>
      <c r="Y142" s="164" t="s">
        <v>18</v>
      </c>
      <c r="Z142" s="164" t="s">
        <v>18</v>
      </c>
      <c r="AA142" s="164" t="s">
        <v>18</v>
      </c>
      <c r="AB142" s="164" t="s">
        <v>18</v>
      </c>
      <c r="AC142" s="464">
        <v>45870</v>
      </c>
      <c r="AD142" s="464">
        <v>46965</v>
      </c>
      <c r="AE142" s="164" t="s">
        <v>218</v>
      </c>
      <c r="AF142" s="460"/>
      <c r="AG142" s="461"/>
      <c r="AH142" s="465"/>
      <c r="AI142" s="171" t="s">
        <v>18</v>
      </c>
      <c r="AJ142" s="171" t="s">
        <v>18</v>
      </c>
      <c r="AK142" s="462"/>
      <c r="AL142" s="144" t="s">
        <v>17</v>
      </c>
      <c r="AM142" s="193" t="s">
        <v>469</v>
      </c>
      <c r="AN142" s="193"/>
      <c r="AO142" s="194">
        <f>SUMIF('TK 15661.Bản quyền phim '!F:F,'KK2. Series'!C142,'TK 15661.Bản quyền phim '!K:K)</f>
        <v>0</v>
      </c>
      <c r="AP142" s="194">
        <f>COUNTIF('242.BQ Phim VOD'!$C$5:$C$8,'KK2. Series'!AM142)</f>
        <v>0</v>
      </c>
      <c r="AQ142" s="194">
        <f>COUNTIF('TK 15666. Phim SX'!$C$6:$C$13,'KK2. Series'!AM142)</f>
        <v>0</v>
      </c>
      <c r="AR142" s="193">
        <f>COUNTIF('TK 15661.Bản quyền phim '!F:F,'KK2. Series'!AM142)</f>
        <v>1</v>
      </c>
      <c r="AS142" s="193"/>
      <c r="AT142" s="197">
        <f t="shared" si="11"/>
        <v>1</v>
      </c>
      <c r="AU142" s="193"/>
      <c r="AV142" s="193"/>
      <c r="AW142" s="193"/>
      <c r="AX142" s="193"/>
      <c r="AY142" s="193"/>
    </row>
    <row r="143" spans="1:51" ht="409.6" x14ac:dyDescent="0.25">
      <c r="A143" s="141">
        <v>137</v>
      </c>
      <c r="B143" s="142" t="s">
        <v>468</v>
      </c>
      <c r="C143" s="164" t="s">
        <v>467</v>
      </c>
      <c r="D143" s="144" t="s">
        <v>466</v>
      </c>
      <c r="E143" s="164" t="s">
        <v>352</v>
      </c>
      <c r="F143" s="171" t="s">
        <v>351</v>
      </c>
      <c r="G143" s="164" t="s">
        <v>133</v>
      </c>
      <c r="H143" s="164">
        <v>2012</v>
      </c>
      <c r="I143" s="431">
        <v>50</v>
      </c>
      <c r="J143" s="431">
        <v>70</v>
      </c>
      <c r="K143" s="459">
        <f t="shared" si="10"/>
        <v>58.333333333333336</v>
      </c>
      <c r="L143" s="459">
        <f t="shared" si="9"/>
        <v>50</v>
      </c>
      <c r="M143" s="164" t="s">
        <v>350</v>
      </c>
      <c r="N143" s="164" t="s">
        <v>350</v>
      </c>
      <c r="O143" s="144"/>
      <c r="P143" s="144" t="s">
        <v>349</v>
      </c>
      <c r="Q143" s="144"/>
      <c r="R143" s="144"/>
      <c r="S143" s="144"/>
      <c r="T143" s="164" t="s">
        <v>348</v>
      </c>
      <c r="U143" s="144" t="s">
        <v>18</v>
      </c>
      <c r="V143" s="164" t="s">
        <v>348</v>
      </c>
      <c r="W143" s="164" t="s">
        <v>18</v>
      </c>
      <c r="X143" s="164" t="s">
        <v>18</v>
      </c>
      <c r="Y143" s="164" t="s">
        <v>18</v>
      </c>
      <c r="Z143" s="164" t="s">
        <v>18</v>
      </c>
      <c r="AA143" s="164" t="s">
        <v>18</v>
      </c>
      <c r="AB143" s="164" t="s">
        <v>18</v>
      </c>
      <c r="AC143" s="468">
        <v>45809</v>
      </c>
      <c r="AD143" s="468">
        <v>46538</v>
      </c>
      <c r="AE143" s="144"/>
      <c r="AF143" s="460"/>
      <c r="AG143" s="461"/>
      <c r="AH143" s="465"/>
      <c r="AI143" s="171" t="s">
        <v>18</v>
      </c>
      <c r="AJ143" s="171" t="s">
        <v>18</v>
      </c>
      <c r="AK143" s="462"/>
      <c r="AL143" s="144" t="s">
        <v>17</v>
      </c>
      <c r="AM143" s="193"/>
      <c r="AN143" s="193"/>
      <c r="AO143" s="194">
        <f>SUMIF('TK 15661.Bản quyền phim '!F:F,'KK2. Series'!C143,'TK 15661.Bản quyền phim '!K:K)</f>
        <v>0</v>
      </c>
      <c r="AP143" s="194">
        <f>COUNTIF('242.BQ Phim VOD'!$C$5:$C$8,'KK2. Series'!AM143)</f>
        <v>0</v>
      </c>
      <c r="AQ143" s="194">
        <f>COUNTIF('TK 15666. Phim SX'!$C$6:$C$13,'KK2. Series'!AM143)</f>
        <v>0</v>
      </c>
      <c r="AR143" s="193">
        <f>COUNTIF('TK 15661.Bản quyền phim '!F:F,'KK2. Series'!AM143)</f>
        <v>0</v>
      </c>
      <c r="AS143" s="193">
        <v>1</v>
      </c>
      <c r="AT143" s="197">
        <f t="shared" si="11"/>
        <v>1</v>
      </c>
      <c r="AU143" s="193"/>
      <c r="AV143" s="193"/>
      <c r="AW143" s="193"/>
      <c r="AX143" s="193"/>
      <c r="AY143" s="193"/>
    </row>
    <row r="144" spans="1:51" ht="409.6" x14ac:dyDescent="0.25">
      <c r="A144" s="141">
        <v>138</v>
      </c>
      <c r="B144" s="142" t="s">
        <v>465</v>
      </c>
      <c r="C144" s="164" t="s">
        <v>464</v>
      </c>
      <c r="D144" s="144" t="s">
        <v>463</v>
      </c>
      <c r="E144" s="164" t="s">
        <v>352</v>
      </c>
      <c r="F144" s="171" t="s">
        <v>351</v>
      </c>
      <c r="G144" s="164" t="s">
        <v>133</v>
      </c>
      <c r="H144" s="164">
        <v>2012</v>
      </c>
      <c r="I144" s="431">
        <v>76</v>
      </c>
      <c r="J144" s="431">
        <v>35</v>
      </c>
      <c r="K144" s="459">
        <f t="shared" si="10"/>
        <v>44.333333333333336</v>
      </c>
      <c r="L144" s="459">
        <f t="shared" si="9"/>
        <v>76</v>
      </c>
      <c r="M144" s="164" t="s">
        <v>350</v>
      </c>
      <c r="N144" s="164" t="s">
        <v>350</v>
      </c>
      <c r="O144" s="144"/>
      <c r="P144" s="144" t="s">
        <v>349</v>
      </c>
      <c r="Q144" s="144"/>
      <c r="R144" s="144"/>
      <c r="S144" s="144"/>
      <c r="T144" s="164" t="s">
        <v>348</v>
      </c>
      <c r="U144" s="144" t="s">
        <v>18</v>
      </c>
      <c r="V144" s="164" t="s">
        <v>348</v>
      </c>
      <c r="W144" s="164" t="s">
        <v>18</v>
      </c>
      <c r="X144" s="164" t="s">
        <v>18</v>
      </c>
      <c r="Y144" s="164" t="s">
        <v>18</v>
      </c>
      <c r="Z144" s="164" t="s">
        <v>18</v>
      </c>
      <c r="AA144" s="164" t="s">
        <v>18</v>
      </c>
      <c r="AB144" s="164" t="s">
        <v>18</v>
      </c>
      <c r="AC144" s="468">
        <v>45809</v>
      </c>
      <c r="AD144" s="468">
        <v>46538</v>
      </c>
      <c r="AE144" s="144"/>
      <c r="AF144" s="460"/>
      <c r="AG144" s="461"/>
      <c r="AH144" s="465"/>
      <c r="AI144" s="171" t="s">
        <v>18</v>
      </c>
      <c r="AJ144" s="171" t="s">
        <v>18</v>
      </c>
      <c r="AK144" s="462"/>
      <c r="AL144" s="144" t="s">
        <v>17</v>
      </c>
      <c r="AM144" s="193"/>
      <c r="AN144" s="193"/>
      <c r="AO144" s="194">
        <f>SUMIF('TK 15661.Bản quyền phim '!F:F,'KK2. Series'!C144,'TK 15661.Bản quyền phim '!K:K)</f>
        <v>0</v>
      </c>
      <c r="AP144" s="194">
        <f>COUNTIF('242.BQ Phim VOD'!$C$5:$C$8,'KK2. Series'!AM144)</f>
        <v>0</v>
      </c>
      <c r="AQ144" s="194">
        <f>COUNTIF('TK 15666. Phim SX'!$C$6:$C$13,'KK2. Series'!AM144)</f>
        <v>0</v>
      </c>
      <c r="AR144" s="193">
        <f>COUNTIF('TK 15661.Bản quyền phim '!F:F,'KK2. Series'!AM144)</f>
        <v>0</v>
      </c>
      <c r="AS144" s="193">
        <v>1</v>
      </c>
      <c r="AT144" s="197">
        <f t="shared" si="11"/>
        <v>1</v>
      </c>
      <c r="AU144" s="193"/>
      <c r="AV144" s="193"/>
      <c r="AW144" s="193"/>
      <c r="AX144" s="193"/>
      <c r="AY144" s="193"/>
    </row>
    <row r="145" spans="1:51" ht="409.6" x14ac:dyDescent="0.25">
      <c r="A145" s="141">
        <v>139</v>
      </c>
      <c r="B145" s="142" t="s">
        <v>462</v>
      </c>
      <c r="C145" s="164" t="s">
        <v>461</v>
      </c>
      <c r="D145" s="144" t="s">
        <v>460</v>
      </c>
      <c r="E145" s="164" t="s">
        <v>352</v>
      </c>
      <c r="F145" s="171" t="s">
        <v>351</v>
      </c>
      <c r="G145" s="164" t="s">
        <v>178</v>
      </c>
      <c r="H145" s="164">
        <v>2017</v>
      </c>
      <c r="I145" s="164">
        <v>48</v>
      </c>
      <c r="J145" s="164">
        <v>45</v>
      </c>
      <c r="K145" s="459">
        <f t="shared" si="10"/>
        <v>36</v>
      </c>
      <c r="L145" s="459">
        <f t="shared" si="9"/>
        <v>48</v>
      </c>
      <c r="M145" s="164" t="s">
        <v>350</v>
      </c>
      <c r="N145" s="164" t="s">
        <v>350</v>
      </c>
      <c r="O145" s="144"/>
      <c r="P145" s="144" t="s">
        <v>349</v>
      </c>
      <c r="Q145" s="144"/>
      <c r="R145" s="144"/>
      <c r="S145" s="144"/>
      <c r="T145" s="164" t="s">
        <v>348</v>
      </c>
      <c r="U145" s="144" t="s">
        <v>18</v>
      </c>
      <c r="V145" s="164" t="s">
        <v>348</v>
      </c>
      <c r="W145" s="164" t="s">
        <v>18</v>
      </c>
      <c r="X145" s="164" t="s">
        <v>18</v>
      </c>
      <c r="Y145" s="164" t="s">
        <v>18</v>
      </c>
      <c r="Z145" s="164" t="s">
        <v>18</v>
      </c>
      <c r="AA145" s="164" t="s">
        <v>18</v>
      </c>
      <c r="AB145" s="164" t="s">
        <v>18</v>
      </c>
      <c r="AC145" s="468">
        <v>45809</v>
      </c>
      <c r="AD145" s="468">
        <v>46538</v>
      </c>
      <c r="AE145" s="144"/>
      <c r="AF145" s="460"/>
      <c r="AG145" s="461"/>
      <c r="AH145" s="465"/>
      <c r="AI145" s="171" t="s">
        <v>18</v>
      </c>
      <c r="AJ145" s="171" t="s">
        <v>18</v>
      </c>
      <c r="AK145" s="462"/>
      <c r="AL145" s="144" t="s">
        <v>17</v>
      </c>
      <c r="AM145" s="193"/>
      <c r="AN145" s="193"/>
      <c r="AO145" s="194">
        <f>SUMIF('TK 15661.Bản quyền phim '!F:F,'KK2. Series'!C145,'TK 15661.Bản quyền phim '!K:K)</f>
        <v>0</v>
      </c>
      <c r="AP145" s="194">
        <f>COUNTIF('242.BQ Phim VOD'!$C$5:$C$8,'KK2. Series'!AM145)</f>
        <v>0</v>
      </c>
      <c r="AQ145" s="194">
        <f>COUNTIF('TK 15666. Phim SX'!$C$6:$C$13,'KK2. Series'!AM145)</f>
        <v>0</v>
      </c>
      <c r="AR145" s="193">
        <f>COUNTIF('TK 15661.Bản quyền phim '!F:F,'KK2. Series'!AM145)</f>
        <v>0</v>
      </c>
      <c r="AS145" s="193">
        <v>1</v>
      </c>
      <c r="AT145" s="197">
        <f t="shared" si="11"/>
        <v>1</v>
      </c>
      <c r="AU145" s="193"/>
      <c r="AV145" s="193"/>
      <c r="AW145" s="193"/>
      <c r="AX145" s="193"/>
      <c r="AY145" s="193"/>
    </row>
    <row r="146" spans="1:51" ht="409.6" x14ac:dyDescent="0.25">
      <c r="A146" s="141">
        <v>140</v>
      </c>
      <c r="B146" s="142" t="s">
        <v>459</v>
      </c>
      <c r="C146" s="164" t="s">
        <v>458</v>
      </c>
      <c r="D146" s="144" t="s">
        <v>457</v>
      </c>
      <c r="E146" s="164" t="s">
        <v>352</v>
      </c>
      <c r="F146" s="171" t="s">
        <v>351</v>
      </c>
      <c r="G146" s="164" t="s">
        <v>133</v>
      </c>
      <c r="H146" s="164">
        <v>2012</v>
      </c>
      <c r="I146" s="431">
        <v>112</v>
      </c>
      <c r="J146" s="431">
        <v>35</v>
      </c>
      <c r="K146" s="459">
        <f t="shared" si="10"/>
        <v>65.333333333333329</v>
      </c>
      <c r="L146" s="459">
        <f t="shared" si="9"/>
        <v>112</v>
      </c>
      <c r="M146" s="164" t="s">
        <v>350</v>
      </c>
      <c r="N146" s="164" t="s">
        <v>350</v>
      </c>
      <c r="O146" s="144"/>
      <c r="P146" s="144" t="s">
        <v>349</v>
      </c>
      <c r="Q146" s="144"/>
      <c r="R146" s="144"/>
      <c r="S146" s="144"/>
      <c r="T146" s="164" t="s">
        <v>348</v>
      </c>
      <c r="U146" s="144" t="s">
        <v>18</v>
      </c>
      <c r="V146" s="164" t="s">
        <v>348</v>
      </c>
      <c r="W146" s="164" t="s">
        <v>18</v>
      </c>
      <c r="X146" s="164" t="s">
        <v>18</v>
      </c>
      <c r="Y146" s="164" t="s">
        <v>18</v>
      </c>
      <c r="Z146" s="164" t="s">
        <v>18</v>
      </c>
      <c r="AA146" s="164" t="s">
        <v>18</v>
      </c>
      <c r="AB146" s="164" t="s">
        <v>18</v>
      </c>
      <c r="AC146" s="468">
        <v>45823</v>
      </c>
      <c r="AD146" s="468">
        <v>46552</v>
      </c>
      <c r="AE146" s="144"/>
      <c r="AF146" s="460"/>
      <c r="AG146" s="461"/>
      <c r="AH146" s="465"/>
      <c r="AI146" s="171" t="s">
        <v>18</v>
      </c>
      <c r="AJ146" s="171" t="s">
        <v>18</v>
      </c>
      <c r="AK146" s="462"/>
      <c r="AL146" s="144" t="s">
        <v>17</v>
      </c>
      <c r="AM146" s="193"/>
      <c r="AN146" s="193"/>
      <c r="AO146" s="194">
        <f>SUMIF('TK 15661.Bản quyền phim '!F:F,'KK2. Series'!C146,'TK 15661.Bản quyền phim '!K:K)</f>
        <v>0</v>
      </c>
      <c r="AP146" s="194">
        <f>COUNTIF('242.BQ Phim VOD'!$C$5:$C$8,'KK2. Series'!AM146)</f>
        <v>0</v>
      </c>
      <c r="AQ146" s="194">
        <f>COUNTIF('TK 15666. Phim SX'!$C$6:$C$13,'KK2. Series'!AM146)</f>
        <v>0</v>
      </c>
      <c r="AR146" s="193">
        <f>COUNTIF('TK 15661.Bản quyền phim '!F:F,'KK2. Series'!AM146)</f>
        <v>0</v>
      </c>
      <c r="AS146" s="193">
        <v>1</v>
      </c>
      <c r="AT146" s="197">
        <f t="shared" si="11"/>
        <v>1</v>
      </c>
      <c r="AU146" s="193"/>
      <c r="AV146" s="193"/>
      <c r="AW146" s="193"/>
      <c r="AX146" s="193"/>
      <c r="AY146" s="193"/>
    </row>
    <row r="147" spans="1:51" ht="158.4" x14ac:dyDescent="0.25">
      <c r="A147" s="141">
        <v>141</v>
      </c>
      <c r="B147" s="142" t="s">
        <v>456</v>
      </c>
      <c r="C147" s="171" t="s">
        <v>455</v>
      </c>
      <c r="D147" s="171" t="s">
        <v>454</v>
      </c>
      <c r="E147" s="444" t="s">
        <v>443</v>
      </c>
      <c r="F147" s="144" t="s">
        <v>404</v>
      </c>
      <c r="G147" s="171" t="s">
        <v>133</v>
      </c>
      <c r="H147" s="462">
        <v>2025</v>
      </c>
      <c r="I147" s="445">
        <v>12</v>
      </c>
      <c r="J147" s="445">
        <v>70</v>
      </c>
      <c r="K147" s="472">
        <f>(J147*I147)/60</f>
        <v>14</v>
      </c>
      <c r="L147" s="499">
        <f>J147</f>
        <v>70</v>
      </c>
      <c r="M147" s="445" t="s">
        <v>350</v>
      </c>
      <c r="N147" s="445" t="s">
        <v>350</v>
      </c>
      <c r="O147" s="476">
        <v>45905</v>
      </c>
      <c r="P147" s="476">
        <v>47365</v>
      </c>
      <c r="Q147" s="433"/>
      <c r="R147" s="171"/>
      <c r="S147" s="171"/>
      <c r="T147" s="171" t="s">
        <v>18</v>
      </c>
      <c r="U147" s="144" t="s">
        <v>18</v>
      </c>
      <c r="V147" s="171" t="s">
        <v>18</v>
      </c>
      <c r="W147" s="171" t="s">
        <v>18</v>
      </c>
      <c r="X147" s="171" t="s">
        <v>18</v>
      </c>
      <c r="Y147" s="171" t="s">
        <v>18</v>
      </c>
      <c r="Z147" s="171" t="s">
        <v>18</v>
      </c>
      <c r="AA147" s="171" t="s">
        <v>18</v>
      </c>
      <c r="AB147" s="500" t="s">
        <v>18</v>
      </c>
      <c r="AC147" s="476">
        <v>45905</v>
      </c>
      <c r="AD147" s="476">
        <v>47365</v>
      </c>
      <c r="AE147" s="433"/>
      <c r="AF147" s="462"/>
      <c r="AG147" s="474"/>
      <c r="AH147" s="475"/>
      <c r="AI147" s="171" t="s">
        <v>18</v>
      </c>
      <c r="AJ147" s="171" t="s">
        <v>18</v>
      </c>
      <c r="AK147" s="462" t="s">
        <v>402</v>
      </c>
      <c r="AL147" s="144" t="s">
        <v>17</v>
      </c>
      <c r="AM147" s="193" t="s">
        <v>453</v>
      </c>
      <c r="AN147" s="193"/>
      <c r="AO147" s="194">
        <f>SUMIF('TK 15661.Bản quyền phim '!F:F,'KK2. Series'!C147,'TK 15661.Bản quyền phim '!K:K)</f>
        <v>0</v>
      </c>
      <c r="AP147" s="194">
        <f>COUNTIF('242.BQ Phim VOD'!$C$5:$C$8,'KK2. Series'!AM147)</f>
        <v>0</v>
      </c>
      <c r="AQ147" s="194">
        <f>COUNTIF('TK 15666. Phim SX'!$C$6:$C$13,'KK2. Series'!AM147)</f>
        <v>0</v>
      </c>
      <c r="AR147" s="193">
        <f>COUNTIF('TK 15661.Bản quyền phim '!F:F,'KK2. Series'!AM147)</f>
        <v>1</v>
      </c>
      <c r="AS147" s="193"/>
      <c r="AT147" s="197">
        <f t="shared" si="11"/>
        <v>1</v>
      </c>
      <c r="AU147" s="193"/>
      <c r="AV147" s="193"/>
      <c r="AW147" s="193"/>
      <c r="AX147" s="193"/>
      <c r="AY147" s="193"/>
    </row>
    <row r="148" spans="1:51" ht="409.6" x14ac:dyDescent="0.25">
      <c r="A148" s="141">
        <v>142</v>
      </c>
      <c r="B148" s="142" t="s">
        <v>452</v>
      </c>
      <c r="C148" s="175" t="s">
        <v>451</v>
      </c>
      <c r="D148" s="175" t="s">
        <v>450</v>
      </c>
      <c r="E148" s="443" t="s">
        <v>449</v>
      </c>
      <c r="F148" s="501" t="s">
        <v>448</v>
      </c>
      <c r="G148" s="175" t="s">
        <v>178</v>
      </c>
      <c r="H148" s="478">
        <v>2025</v>
      </c>
      <c r="I148" s="175">
        <v>32</v>
      </c>
      <c r="J148" s="175">
        <v>45</v>
      </c>
      <c r="K148" s="502">
        <f t="shared" ref="K148:K174" si="12">(I148*J148)/60</f>
        <v>24</v>
      </c>
      <c r="L148" s="503">
        <f>J148</f>
        <v>45</v>
      </c>
      <c r="M148" s="175" t="s">
        <v>447</v>
      </c>
      <c r="N148" s="175" t="s">
        <v>447</v>
      </c>
      <c r="O148" s="477">
        <v>45814</v>
      </c>
      <c r="P148" s="477">
        <v>47639</v>
      </c>
      <c r="Q148" s="434"/>
      <c r="R148" s="174"/>
      <c r="S148" s="434"/>
      <c r="T148" s="174" t="s">
        <v>18</v>
      </c>
      <c r="U148" s="181" t="s">
        <v>18</v>
      </c>
      <c r="V148" s="174" t="s">
        <v>18</v>
      </c>
      <c r="W148" s="174" t="s">
        <v>18</v>
      </c>
      <c r="X148" s="174" t="s">
        <v>18</v>
      </c>
      <c r="Y148" s="174" t="s">
        <v>18</v>
      </c>
      <c r="Z148" s="174" t="s">
        <v>18</v>
      </c>
      <c r="AA148" s="174" t="s">
        <v>18</v>
      </c>
      <c r="AB148" s="501" t="s">
        <v>18</v>
      </c>
      <c r="AC148" s="477">
        <v>45814</v>
      </c>
      <c r="AD148" s="477">
        <v>47639</v>
      </c>
      <c r="AE148" s="175" t="s">
        <v>218</v>
      </c>
      <c r="AF148" s="478"/>
      <c r="AG148" s="479"/>
      <c r="AH148" s="480"/>
      <c r="AI148" s="174" t="s">
        <v>18</v>
      </c>
      <c r="AJ148" s="174" t="s">
        <v>18</v>
      </c>
      <c r="AK148" s="478" t="s">
        <v>402</v>
      </c>
      <c r="AL148" s="144" t="s">
        <v>17</v>
      </c>
      <c r="AM148" s="193" t="s">
        <v>446</v>
      </c>
      <c r="AN148" s="193"/>
      <c r="AO148" s="194">
        <f>SUMIF('TK 15661.Bản quyền phim '!F:F,'KK2. Series'!C148,'TK 15661.Bản quyền phim '!K:K)</f>
        <v>0</v>
      </c>
      <c r="AP148" s="194">
        <f>COUNTIF('242.BQ Phim VOD'!$C$5:$C$8,'KK2. Series'!AM148)</f>
        <v>0</v>
      </c>
      <c r="AQ148" s="194">
        <f>COUNTIF('TK 15666. Phim SX'!$C$6:$C$13,'KK2. Series'!AM148)</f>
        <v>0</v>
      </c>
      <c r="AR148" s="193">
        <f>COUNTIF('TK 15661.Bản quyền phim '!F:F,'KK2. Series'!AM148)</f>
        <v>1</v>
      </c>
      <c r="AS148" s="193"/>
      <c r="AT148" s="197">
        <f t="shared" si="11"/>
        <v>1</v>
      </c>
      <c r="AU148" s="193"/>
      <c r="AV148" s="193"/>
      <c r="AW148" s="193"/>
      <c r="AX148" s="193"/>
      <c r="AY148" s="193"/>
    </row>
    <row r="149" spans="1:51" ht="409.6" x14ac:dyDescent="0.25">
      <c r="A149" s="141">
        <v>143</v>
      </c>
      <c r="B149" s="142" t="s">
        <v>445</v>
      </c>
      <c r="C149" s="144" t="s">
        <v>442</v>
      </c>
      <c r="D149" s="164" t="s">
        <v>444</v>
      </c>
      <c r="E149" s="144" t="s">
        <v>443</v>
      </c>
      <c r="F149" s="144" t="s">
        <v>404</v>
      </c>
      <c r="G149" s="144" t="s">
        <v>133</v>
      </c>
      <c r="H149" s="460">
        <v>2025</v>
      </c>
      <c r="I149" s="164">
        <v>12</v>
      </c>
      <c r="J149" s="164">
        <v>70</v>
      </c>
      <c r="K149" s="459">
        <f t="shared" si="12"/>
        <v>14</v>
      </c>
      <c r="L149" s="504">
        <f>J149</f>
        <v>70</v>
      </c>
      <c r="M149" s="164" t="s">
        <v>403</v>
      </c>
      <c r="N149" s="164" t="s">
        <v>403</v>
      </c>
      <c r="O149" s="464">
        <v>45758</v>
      </c>
      <c r="P149" s="464">
        <v>47218</v>
      </c>
      <c r="Q149" s="144"/>
      <c r="R149" s="144"/>
      <c r="S149" s="144"/>
      <c r="T149" s="144" t="s">
        <v>18</v>
      </c>
      <c r="U149" s="144" t="s">
        <v>18</v>
      </c>
      <c r="V149" s="144" t="s">
        <v>18</v>
      </c>
      <c r="W149" s="144" t="s">
        <v>18</v>
      </c>
      <c r="X149" s="144" t="s">
        <v>18</v>
      </c>
      <c r="Y149" s="144" t="s">
        <v>18</v>
      </c>
      <c r="Z149" s="144" t="s">
        <v>18</v>
      </c>
      <c r="AA149" s="144" t="s">
        <v>18</v>
      </c>
      <c r="AB149" s="144" t="s">
        <v>18</v>
      </c>
      <c r="AC149" s="464">
        <v>45758</v>
      </c>
      <c r="AD149" s="464">
        <v>47218</v>
      </c>
      <c r="AE149" s="164" t="s">
        <v>218</v>
      </c>
      <c r="AF149" s="460"/>
      <c r="AG149" s="461"/>
      <c r="AH149" s="465"/>
      <c r="AI149" s="144" t="s">
        <v>18</v>
      </c>
      <c r="AJ149" s="144" t="s">
        <v>18</v>
      </c>
      <c r="AK149" s="460" t="s">
        <v>402</v>
      </c>
      <c r="AL149" s="144" t="s">
        <v>17</v>
      </c>
      <c r="AM149" s="196" t="s">
        <v>442</v>
      </c>
      <c r="AN149" s="193"/>
      <c r="AO149" s="194">
        <f>SUMIF('TK 15661.Bản quyền phim '!F:F,'KK2. Series'!C149,'TK 15661.Bản quyền phim '!K:K)</f>
        <v>1036280000</v>
      </c>
      <c r="AP149" s="194">
        <f>COUNTIF('242.BQ Phim VOD'!$C$5:$C$8,'KK2. Series'!AM149)</f>
        <v>0</v>
      </c>
      <c r="AQ149" s="194">
        <f>COUNTIF('TK 15666. Phim SX'!$C$6:$C$13,'KK2. Series'!AM149)</f>
        <v>0</v>
      </c>
      <c r="AR149" s="193">
        <f>COUNTIF('TK 15661.Bản quyền phim '!F:F,'KK2. Series'!AM149)</f>
        <v>1</v>
      </c>
      <c r="AS149" s="193"/>
      <c r="AT149" s="197">
        <f t="shared" si="11"/>
        <v>1</v>
      </c>
      <c r="AU149" s="193"/>
      <c r="AV149" s="193"/>
      <c r="AW149" s="193"/>
      <c r="AX149" s="193"/>
      <c r="AY149" s="193"/>
    </row>
    <row r="150" spans="1:51" ht="409.6" x14ac:dyDescent="0.25">
      <c r="A150" s="141">
        <v>144</v>
      </c>
      <c r="B150" s="142" t="s">
        <v>441</v>
      </c>
      <c r="C150" s="164" t="s">
        <v>440</v>
      </c>
      <c r="D150" s="144" t="s">
        <v>439</v>
      </c>
      <c r="E150" s="164" t="s">
        <v>438</v>
      </c>
      <c r="F150" s="144" t="s">
        <v>437</v>
      </c>
      <c r="G150" s="164" t="s">
        <v>178</v>
      </c>
      <c r="H150" s="164">
        <v>2024</v>
      </c>
      <c r="I150" s="164">
        <v>24</v>
      </c>
      <c r="J150" s="164">
        <v>45</v>
      </c>
      <c r="K150" s="459">
        <f t="shared" si="12"/>
        <v>18</v>
      </c>
      <c r="L150" s="504">
        <f t="shared" ref="L150:L157" si="13">I150</f>
        <v>24</v>
      </c>
      <c r="M150" s="164" t="s">
        <v>350</v>
      </c>
      <c r="N150" s="144" t="s">
        <v>436</v>
      </c>
      <c r="O150" s="464">
        <v>45839</v>
      </c>
      <c r="P150" s="464">
        <v>47664</v>
      </c>
      <c r="Q150" s="144"/>
      <c r="R150" s="144"/>
      <c r="S150" s="164">
        <v>60</v>
      </c>
      <c r="T150" s="164" t="s">
        <v>20</v>
      </c>
      <c r="U150" s="144" t="s">
        <v>18</v>
      </c>
      <c r="V150" s="164" t="s">
        <v>18</v>
      </c>
      <c r="W150" s="164" t="s">
        <v>18</v>
      </c>
      <c r="X150" s="164" t="s">
        <v>18</v>
      </c>
      <c r="Y150" s="164" t="s">
        <v>18</v>
      </c>
      <c r="Z150" s="164" t="s">
        <v>18</v>
      </c>
      <c r="AA150" s="164" t="s">
        <v>18</v>
      </c>
      <c r="AB150" s="144" t="s">
        <v>18</v>
      </c>
      <c r="AC150" s="505">
        <v>45839</v>
      </c>
      <c r="AD150" s="505">
        <v>47664</v>
      </c>
      <c r="AE150" s="164" t="s">
        <v>218</v>
      </c>
      <c r="AF150" s="460"/>
      <c r="AG150" s="461"/>
      <c r="AH150" s="465"/>
      <c r="AI150" s="144" t="s">
        <v>18</v>
      </c>
      <c r="AJ150" s="144" t="s">
        <v>18</v>
      </c>
      <c r="AK150" s="460" t="s">
        <v>402</v>
      </c>
      <c r="AL150" s="144" t="s">
        <v>17</v>
      </c>
      <c r="AM150" s="193" t="s">
        <v>435</v>
      </c>
      <c r="AN150" s="193"/>
      <c r="AO150" s="194">
        <f>SUMIF('TK 15661.Bản quyền phim '!F:F,'KK2. Series'!C150,'TK 15661.Bản quyền phim '!K:K)</f>
        <v>0</v>
      </c>
      <c r="AP150" s="194">
        <f>COUNTIF('242.BQ Phim VOD'!$C$5:$C$8,'KK2. Series'!AM150)</f>
        <v>0</v>
      </c>
      <c r="AQ150" s="194">
        <f>COUNTIF('TK 15666. Phim SX'!$C$6:$C$13,'KK2. Series'!AM150)</f>
        <v>0</v>
      </c>
      <c r="AR150" s="193">
        <f>COUNTIF('TK 15661.Bản quyền phim '!F:F,'KK2. Series'!AM150)</f>
        <v>1</v>
      </c>
      <c r="AS150" s="193"/>
      <c r="AT150" s="197">
        <f t="shared" si="11"/>
        <v>1</v>
      </c>
      <c r="AU150" s="193"/>
      <c r="AV150" s="193"/>
      <c r="AW150" s="193"/>
      <c r="AX150" s="193"/>
      <c r="AY150" s="193"/>
    </row>
    <row r="151" spans="1:51" ht="409.6" x14ac:dyDescent="0.25">
      <c r="A151" s="141">
        <v>145</v>
      </c>
      <c r="B151" s="142" t="s">
        <v>434</v>
      </c>
      <c r="C151" s="506" t="s">
        <v>433</v>
      </c>
      <c r="D151" s="190" t="s">
        <v>432</v>
      </c>
      <c r="E151" s="446" t="s">
        <v>352</v>
      </c>
      <c r="F151" s="190" t="s">
        <v>351</v>
      </c>
      <c r="G151" s="446" t="s">
        <v>133</v>
      </c>
      <c r="H151" s="446">
        <v>2014</v>
      </c>
      <c r="I151" s="446">
        <v>52</v>
      </c>
      <c r="J151" s="446">
        <v>35</v>
      </c>
      <c r="K151" s="507">
        <f t="shared" si="12"/>
        <v>30.333333333333332</v>
      </c>
      <c r="L151" s="508">
        <f t="shared" si="13"/>
        <v>52</v>
      </c>
      <c r="M151" s="446" t="s">
        <v>350</v>
      </c>
      <c r="N151" s="446" t="s">
        <v>350</v>
      </c>
      <c r="O151" s="446"/>
      <c r="P151" s="182" t="s">
        <v>349</v>
      </c>
      <c r="Q151" s="190"/>
      <c r="R151" s="190"/>
      <c r="S151" s="190"/>
      <c r="T151" s="446" t="s">
        <v>348</v>
      </c>
      <c r="U151" s="182" t="s">
        <v>18</v>
      </c>
      <c r="V151" s="509" t="s">
        <v>348</v>
      </c>
      <c r="W151" s="446" t="s">
        <v>18</v>
      </c>
      <c r="X151" s="446" t="s">
        <v>18</v>
      </c>
      <c r="Y151" s="446" t="s">
        <v>18</v>
      </c>
      <c r="Z151" s="446" t="s">
        <v>18</v>
      </c>
      <c r="AA151" s="446" t="s">
        <v>18</v>
      </c>
      <c r="AB151" s="509" t="s">
        <v>18</v>
      </c>
      <c r="AC151" s="489">
        <v>45809</v>
      </c>
      <c r="AD151" s="510">
        <v>46538</v>
      </c>
      <c r="AE151" s="511"/>
      <c r="AF151" s="512"/>
      <c r="AG151" s="513"/>
      <c r="AH151" s="514"/>
      <c r="AI151" s="190" t="s">
        <v>18</v>
      </c>
      <c r="AJ151" s="190" t="s">
        <v>18</v>
      </c>
      <c r="AK151" s="512"/>
      <c r="AL151" s="144" t="s">
        <v>17</v>
      </c>
      <c r="AM151" s="193"/>
      <c r="AN151" s="193"/>
      <c r="AO151" s="194">
        <f>SUMIF('TK 15661.Bản quyền phim '!F:F,'KK2. Series'!C151,'TK 15661.Bản quyền phim '!K:K)</f>
        <v>0</v>
      </c>
      <c r="AP151" s="194">
        <f>COUNTIF('242.BQ Phim VOD'!$C$5:$C$8,'KK2. Series'!AM151)</f>
        <v>0</v>
      </c>
      <c r="AQ151" s="194">
        <f>COUNTIF('TK 15666. Phim SX'!$C$6:$C$13,'KK2. Series'!AM151)</f>
        <v>0</v>
      </c>
      <c r="AR151" s="193">
        <f>COUNTIF('TK 15661.Bản quyền phim '!F:F,'KK2. Series'!AM151)</f>
        <v>0</v>
      </c>
      <c r="AS151" s="193">
        <v>1</v>
      </c>
      <c r="AT151" s="197">
        <f t="shared" si="11"/>
        <v>1</v>
      </c>
      <c r="AU151" s="193"/>
      <c r="AV151" s="193"/>
      <c r="AW151" s="193"/>
      <c r="AX151" s="193"/>
      <c r="AY151" s="193"/>
    </row>
    <row r="152" spans="1:51" ht="409.6" x14ac:dyDescent="0.25">
      <c r="A152" s="141">
        <v>146</v>
      </c>
      <c r="B152" s="142" t="s">
        <v>431</v>
      </c>
      <c r="C152" s="515" t="s">
        <v>430</v>
      </c>
      <c r="D152" s="171" t="s">
        <v>429</v>
      </c>
      <c r="E152" s="167" t="s">
        <v>352</v>
      </c>
      <c r="F152" s="171" t="s">
        <v>351</v>
      </c>
      <c r="G152" s="167" t="s">
        <v>133</v>
      </c>
      <c r="H152" s="167">
        <v>2015</v>
      </c>
      <c r="I152" s="167">
        <v>111</v>
      </c>
      <c r="J152" s="167">
        <v>35</v>
      </c>
      <c r="K152" s="516">
        <f t="shared" si="12"/>
        <v>64.75</v>
      </c>
      <c r="L152" s="503">
        <f t="shared" si="13"/>
        <v>111</v>
      </c>
      <c r="M152" s="167" t="s">
        <v>350</v>
      </c>
      <c r="N152" s="167" t="s">
        <v>350</v>
      </c>
      <c r="O152" s="167"/>
      <c r="P152" s="144" t="s">
        <v>349</v>
      </c>
      <c r="Q152" s="171"/>
      <c r="R152" s="171"/>
      <c r="S152" s="171"/>
      <c r="T152" s="167" t="s">
        <v>348</v>
      </c>
      <c r="U152" s="144" t="s">
        <v>18</v>
      </c>
      <c r="V152" s="491" t="s">
        <v>348</v>
      </c>
      <c r="W152" s="167" t="s">
        <v>18</v>
      </c>
      <c r="X152" s="167" t="s">
        <v>18</v>
      </c>
      <c r="Y152" s="167" t="s">
        <v>18</v>
      </c>
      <c r="Z152" s="167" t="s">
        <v>18</v>
      </c>
      <c r="AA152" s="167" t="s">
        <v>18</v>
      </c>
      <c r="AB152" s="167" t="s">
        <v>18</v>
      </c>
      <c r="AC152" s="517">
        <v>45839</v>
      </c>
      <c r="AD152" s="510">
        <v>46568</v>
      </c>
      <c r="AE152" s="167"/>
      <c r="AF152" s="462"/>
      <c r="AG152" s="474"/>
      <c r="AH152" s="475"/>
      <c r="AI152" s="171" t="s">
        <v>18</v>
      </c>
      <c r="AJ152" s="171" t="s">
        <v>18</v>
      </c>
      <c r="AK152" s="462"/>
      <c r="AL152" s="144" t="s">
        <v>17</v>
      </c>
      <c r="AM152" s="193"/>
      <c r="AN152" s="193"/>
      <c r="AO152" s="194">
        <f>SUMIF('TK 15661.Bản quyền phim '!F:F,'KK2. Series'!C152,'TK 15661.Bản quyền phim '!K:K)</f>
        <v>0</v>
      </c>
      <c r="AP152" s="194">
        <f>COUNTIF('242.BQ Phim VOD'!$C$5:$C$8,'KK2. Series'!AM152)</f>
        <v>0</v>
      </c>
      <c r="AQ152" s="194">
        <f>COUNTIF('TK 15666. Phim SX'!$C$6:$C$13,'KK2. Series'!AM152)</f>
        <v>0</v>
      </c>
      <c r="AR152" s="193">
        <f>COUNTIF('TK 15661.Bản quyền phim '!F:F,'KK2. Series'!AM152)</f>
        <v>0</v>
      </c>
      <c r="AS152" s="193">
        <v>1</v>
      </c>
      <c r="AT152" s="197">
        <f t="shared" si="11"/>
        <v>1</v>
      </c>
      <c r="AU152" s="193"/>
      <c r="AV152" s="193"/>
      <c r="AW152" s="193"/>
      <c r="AX152" s="193"/>
      <c r="AY152" s="193"/>
    </row>
    <row r="153" spans="1:51" ht="409.6" x14ac:dyDescent="0.25">
      <c r="A153" s="141">
        <v>147</v>
      </c>
      <c r="B153" s="142" t="s">
        <v>428</v>
      </c>
      <c r="C153" s="515" t="s">
        <v>427</v>
      </c>
      <c r="D153" s="171" t="s">
        <v>426</v>
      </c>
      <c r="E153" s="167" t="s">
        <v>352</v>
      </c>
      <c r="F153" s="171" t="s">
        <v>351</v>
      </c>
      <c r="G153" s="167" t="s">
        <v>133</v>
      </c>
      <c r="H153" s="167">
        <v>2025</v>
      </c>
      <c r="I153" s="167">
        <v>120</v>
      </c>
      <c r="J153" s="167">
        <v>35</v>
      </c>
      <c r="K153" s="516">
        <f t="shared" si="12"/>
        <v>70</v>
      </c>
      <c r="L153" s="503">
        <f t="shared" si="13"/>
        <v>120</v>
      </c>
      <c r="M153" s="167" t="s">
        <v>350</v>
      </c>
      <c r="N153" s="167" t="s">
        <v>350</v>
      </c>
      <c r="O153" s="167"/>
      <c r="P153" s="144" t="s">
        <v>349</v>
      </c>
      <c r="Q153" s="171"/>
      <c r="R153" s="171"/>
      <c r="S153" s="171"/>
      <c r="T153" s="167" t="s">
        <v>348</v>
      </c>
      <c r="U153" s="144" t="s">
        <v>18</v>
      </c>
      <c r="V153" s="491" t="s">
        <v>348</v>
      </c>
      <c r="W153" s="167" t="s">
        <v>18</v>
      </c>
      <c r="X153" s="167" t="s">
        <v>18</v>
      </c>
      <c r="Y153" s="167" t="s">
        <v>18</v>
      </c>
      <c r="Z153" s="167" t="s">
        <v>18</v>
      </c>
      <c r="AA153" s="167" t="s">
        <v>18</v>
      </c>
      <c r="AB153" s="167" t="s">
        <v>18</v>
      </c>
      <c r="AC153" s="518">
        <v>45839</v>
      </c>
      <c r="AD153" s="519">
        <v>46568</v>
      </c>
      <c r="AE153" s="167"/>
      <c r="AF153" s="462"/>
      <c r="AG153" s="474"/>
      <c r="AH153" s="475"/>
      <c r="AI153" s="171" t="s">
        <v>18</v>
      </c>
      <c r="AJ153" s="171" t="s">
        <v>18</v>
      </c>
      <c r="AK153" s="462"/>
      <c r="AL153" s="144" t="s">
        <v>17</v>
      </c>
      <c r="AM153" s="193"/>
      <c r="AN153" s="193"/>
      <c r="AO153" s="194">
        <f>SUMIF('TK 15661.Bản quyền phim '!F:F,'KK2. Series'!C153,'TK 15661.Bản quyền phim '!K:K)</f>
        <v>0</v>
      </c>
      <c r="AP153" s="194">
        <f>COUNTIF('242.BQ Phim VOD'!$C$5:$C$8,'KK2. Series'!AM153)</f>
        <v>0</v>
      </c>
      <c r="AQ153" s="194">
        <f>COUNTIF('TK 15666. Phim SX'!$C$6:$C$13,'KK2. Series'!AM153)</f>
        <v>0</v>
      </c>
      <c r="AR153" s="193">
        <f>COUNTIF('TK 15661.Bản quyền phim '!F:F,'KK2. Series'!AM153)</f>
        <v>0</v>
      </c>
      <c r="AS153" s="193">
        <v>1</v>
      </c>
      <c r="AT153" s="197">
        <f t="shared" si="11"/>
        <v>1</v>
      </c>
      <c r="AU153" s="193"/>
      <c r="AV153" s="193"/>
      <c r="AW153" s="193"/>
      <c r="AX153" s="193"/>
      <c r="AY153" s="193"/>
    </row>
    <row r="154" spans="1:51" ht="409.6" x14ac:dyDescent="0.25">
      <c r="A154" s="141">
        <v>148</v>
      </c>
      <c r="B154" s="142" t="s">
        <v>425</v>
      </c>
      <c r="C154" s="520" t="s">
        <v>424</v>
      </c>
      <c r="D154" s="174" t="s">
        <v>423</v>
      </c>
      <c r="E154" s="167" t="s">
        <v>352</v>
      </c>
      <c r="F154" s="171" t="s">
        <v>351</v>
      </c>
      <c r="G154" s="167" t="s">
        <v>133</v>
      </c>
      <c r="H154" s="515">
        <v>2016</v>
      </c>
      <c r="I154" s="167">
        <v>50</v>
      </c>
      <c r="J154" s="167">
        <v>70</v>
      </c>
      <c r="K154" s="516">
        <f t="shared" si="12"/>
        <v>58.333333333333336</v>
      </c>
      <c r="L154" s="503">
        <f t="shared" si="13"/>
        <v>50</v>
      </c>
      <c r="M154" s="167" t="s">
        <v>350</v>
      </c>
      <c r="N154" s="167" t="s">
        <v>350</v>
      </c>
      <c r="O154" s="167"/>
      <c r="P154" s="144" t="s">
        <v>349</v>
      </c>
      <c r="Q154" s="171"/>
      <c r="R154" s="171"/>
      <c r="S154" s="171"/>
      <c r="T154" s="167" t="s">
        <v>348</v>
      </c>
      <c r="U154" s="144" t="s">
        <v>18</v>
      </c>
      <c r="V154" s="491" t="s">
        <v>348</v>
      </c>
      <c r="W154" s="167" t="s">
        <v>18</v>
      </c>
      <c r="X154" s="167" t="s">
        <v>18</v>
      </c>
      <c r="Y154" s="167" t="s">
        <v>18</v>
      </c>
      <c r="Z154" s="167" t="s">
        <v>18</v>
      </c>
      <c r="AA154" s="167" t="s">
        <v>18</v>
      </c>
      <c r="AB154" s="167" t="s">
        <v>18</v>
      </c>
      <c r="AC154" s="518">
        <v>45839</v>
      </c>
      <c r="AD154" s="519">
        <v>46568</v>
      </c>
      <c r="AE154" s="167"/>
      <c r="AF154" s="462"/>
      <c r="AG154" s="474"/>
      <c r="AH154" s="475"/>
      <c r="AI154" s="171" t="s">
        <v>18</v>
      </c>
      <c r="AJ154" s="171" t="s">
        <v>18</v>
      </c>
      <c r="AK154" s="462"/>
      <c r="AL154" s="144" t="s">
        <v>17</v>
      </c>
      <c r="AM154" s="193"/>
      <c r="AN154" s="193"/>
      <c r="AO154" s="194">
        <f>SUMIF('TK 15661.Bản quyền phim '!F:F,'KK2. Series'!C154,'TK 15661.Bản quyền phim '!K:K)</f>
        <v>0</v>
      </c>
      <c r="AP154" s="194">
        <f>COUNTIF('242.BQ Phim VOD'!$C$5:$C$8,'KK2. Series'!AM154)</f>
        <v>0</v>
      </c>
      <c r="AQ154" s="194">
        <f>COUNTIF('TK 15666. Phim SX'!$C$6:$C$13,'KK2. Series'!AM154)</f>
        <v>0</v>
      </c>
      <c r="AR154" s="193">
        <f>COUNTIF('TK 15661.Bản quyền phim '!F:F,'KK2. Series'!AM154)</f>
        <v>0</v>
      </c>
      <c r="AS154" s="193">
        <v>1</v>
      </c>
      <c r="AT154" s="197">
        <f t="shared" si="11"/>
        <v>1</v>
      </c>
      <c r="AU154" s="193"/>
      <c r="AV154" s="193"/>
      <c r="AW154" s="193"/>
      <c r="AX154" s="193"/>
      <c r="AY154" s="193"/>
    </row>
    <row r="155" spans="1:51" ht="409.6" x14ac:dyDescent="0.25">
      <c r="A155" s="141">
        <v>149</v>
      </c>
      <c r="B155" s="142" t="s">
        <v>422</v>
      </c>
      <c r="C155" s="515" t="s">
        <v>421</v>
      </c>
      <c r="D155" s="171" t="s">
        <v>420</v>
      </c>
      <c r="E155" s="442" t="s">
        <v>352</v>
      </c>
      <c r="F155" s="171" t="s">
        <v>351</v>
      </c>
      <c r="G155" s="167" t="s">
        <v>133</v>
      </c>
      <c r="H155" s="515">
        <v>2016</v>
      </c>
      <c r="I155" s="167">
        <v>51</v>
      </c>
      <c r="J155" s="167">
        <v>70</v>
      </c>
      <c r="K155" s="516">
        <f t="shared" si="12"/>
        <v>59.5</v>
      </c>
      <c r="L155" s="503">
        <f t="shared" si="13"/>
        <v>51</v>
      </c>
      <c r="M155" s="167" t="s">
        <v>350</v>
      </c>
      <c r="N155" s="167" t="s">
        <v>350</v>
      </c>
      <c r="O155" s="167"/>
      <c r="P155" s="144" t="s">
        <v>349</v>
      </c>
      <c r="Q155" s="171"/>
      <c r="R155" s="171"/>
      <c r="S155" s="171"/>
      <c r="T155" s="167" t="s">
        <v>348</v>
      </c>
      <c r="U155" s="144" t="s">
        <v>18</v>
      </c>
      <c r="V155" s="491" t="s">
        <v>348</v>
      </c>
      <c r="W155" s="167" t="s">
        <v>18</v>
      </c>
      <c r="X155" s="167" t="s">
        <v>18</v>
      </c>
      <c r="Y155" s="167" t="s">
        <v>18</v>
      </c>
      <c r="Z155" s="167" t="s">
        <v>18</v>
      </c>
      <c r="AA155" s="167" t="s">
        <v>18</v>
      </c>
      <c r="AB155" s="167" t="s">
        <v>18</v>
      </c>
      <c r="AC155" s="518">
        <v>45839</v>
      </c>
      <c r="AD155" s="519">
        <v>46568</v>
      </c>
      <c r="AE155" s="167"/>
      <c r="AF155" s="462"/>
      <c r="AG155" s="474"/>
      <c r="AH155" s="475"/>
      <c r="AI155" s="171" t="s">
        <v>18</v>
      </c>
      <c r="AJ155" s="171" t="s">
        <v>18</v>
      </c>
      <c r="AK155" s="462"/>
      <c r="AL155" s="144" t="s">
        <v>17</v>
      </c>
      <c r="AM155" s="193"/>
      <c r="AN155" s="193"/>
      <c r="AO155" s="194">
        <f>SUMIF('TK 15661.Bản quyền phim '!F:F,'KK2. Series'!C155,'TK 15661.Bản quyền phim '!K:K)</f>
        <v>0</v>
      </c>
      <c r="AP155" s="194">
        <f>COUNTIF('242.BQ Phim VOD'!$C$5:$C$8,'KK2. Series'!AM155)</f>
        <v>0</v>
      </c>
      <c r="AQ155" s="194">
        <f>COUNTIF('TK 15666. Phim SX'!$C$6:$C$13,'KK2. Series'!AM155)</f>
        <v>0</v>
      </c>
      <c r="AR155" s="193">
        <f>COUNTIF('TK 15661.Bản quyền phim '!F:F,'KK2. Series'!AM155)</f>
        <v>0</v>
      </c>
      <c r="AS155" s="193">
        <v>1</v>
      </c>
      <c r="AT155" s="197">
        <f t="shared" si="11"/>
        <v>1</v>
      </c>
      <c r="AU155" s="193"/>
      <c r="AV155" s="193"/>
      <c r="AW155" s="193"/>
      <c r="AX155" s="193"/>
      <c r="AY155" s="193"/>
    </row>
    <row r="156" spans="1:51" ht="409.6" x14ac:dyDescent="0.25">
      <c r="A156" s="141">
        <v>150</v>
      </c>
      <c r="B156" s="142" t="s">
        <v>419</v>
      </c>
      <c r="C156" s="515" t="s">
        <v>418</v>
      </c>
      <c r="D156" s="171" t="s">
        <v>417</v>
      </c>
      <c r="E156" s="442" t="s">
        <v>352</v>
      </c>
      <c r="F156" s="171" t="s">
        <v>351</v>
      </c>
      <c r="G156" s="167" t="s">
        <v>133</v>
      </c>
      <c r="H156" s="515">
        <v>2014</v>
      </c>
      <c r="I156" s="167">
        <v>149</v>
      </c>
      <c r="J156" s="167">
        <v>35</v>
      </c>
      <c r="K156" s="516">
        <f t="shared" si="12"/>
        <v>86.916666666666671</v>
      </c>
      <c r="L156" s="503">
        <f t="shared" si="13"/>
        <v>149</v>
      </c>
      <c r="M156" s="167" t="s">
        <v>350</v>
      </c>
      <c r="N156" s="167" t="s">
        <v>350</v>
      </c>
      <c r="O156" s="167"/>
      <c r="P156" s="144" t="s">
        <v>349</v>
      </c>
      <c r="Q156" s="171"/>
      <c r="R156" s="171"/>
      <c r="S156" s="171"/>
      <c r="T156" s="167" t="s">
        <v>348</v>
      </c>
      <c r="U156" s="144" t="s">
        <v>18</v>
      </c>
      <c r="V156" s="491" t="s">
        <v>348</v>
      </c>
      <c r="W156" s="167" t="s">
        <v>18</v>
      </c>
      <c r="X156" s="167" t="s">
        <v>18</v>
      </c>
      <c r="Y156" s="167" t="s">
        <v>18</v>
      </c>
      <c r="Z156" s="167" t="s">
        <v>18</v>
      </c>
      <c r="AA156" s="167" t="s">
        <v>18</v>
      </c>
      <c r="AB156" s="167" t="s">
        <v>18</v>
      </c>
      <c r="AC156" s="518">
        <v>45870</v>
      </c>
      <c r="AD156" s="519">
        <v>46599</v>
      </c>
      <c r="AE156" s="167"/>
      <c r="AF156" s="462"/>
      <c r="AG156" s="474"/>
      <c r="AH156" s="475"/>
      <c r="AI156" s="171" t="s">
        <v>18</v>
      </c>
      <c r="AJ156" s="171" t="s">
        <v>18</v>
      </c>
      <c r="AK156" s="462"/>
      <c r="AL156" s="144" t="s">
        <v>17</v>
      </c>
      <c r="AM156" s="193"/>
      <c r="AN156" s="193"/>
      <c r="AO156" s="194">
        <f>SUMIF('TK 15661.Bản quyền phim '!F:F,'KK2. Series'!C156,'TK 15661.Bản quyền phim '!K:K)</f>
        <v>0</v>
      </c>
      <c r="AP156" s="194">
        <f>COUNTIF('242.BQ Phim VOD'!$C$5:$C$8,'KK2. Series'!AM156)</f>
        <v>0</v>
      </c>
      <c r="AQ156" s="194">
        <f>COUNTIF('TK 15666. Phim SX'!$C$6:$C$13,'KK2. Series'!AM156)</f>
        <v>0</v>
      </c>
      <c r="AR156" s="193">
        <f>COUNTIF('TK 15661.Bản quyền phim '!F:F,'KK2. Series'!AM156)</f>
        <v>0</v>
      </c>
      <c r="AS156" s="193">
        <v>1</v>
      </c>
      <c r="AT156" s="197">
        <f t="shared" si="11"/>
        <v>1</v>
      </c>
      <c r="AU156" s="193"/>
      <c r="AV156" s="193"/>
      <c r="AW156" s="193"/>
      <c r="AX156" s="193"/>
      <c r="AY156" s="193"/>
    </row>
    <row r="157" spans="1:51" ht="409.6" x14ac:dyDescent="0.25">
      <c r="A157" s="141">
        <v>151</v>
      </c>
      <c r="B157" s="142" t="s">
        <v>416</v>
      </c>
      <c r="C157" s="520" t="s">
        <v>415</v>
      </c>
      <c r="D157" s="174" t="s">
        <v>414</v>
      </c>
      <c r="E157" s="443" t="s">
        <v>352</v>
      </c>
      <c r="F157" s="174" t="s">
        <v>351</v>
      </c>
      <c r="G157" s="175" t="s">
        <v>178</v>
      </c>
      <c r="H157" s="520">
        <v>2022</v>
      </c>
      <c r="I157" s="175">
        <v>40</v>
      </c>
      <c r="J157" s="175">
        <v>45</v>
      </c>
      <c r="K157" s="502">
        <f t="shared" si="12"/>
        <v>30</v>
      </c>
      <c r="L157" s="503">
        <f t="shared" si="13"/>
        <v>40</v>
      </c>
      <c r="M157" s="175" t="s">
        <v>350</v>
      </c>
      <c r="N157" s="175" t="s">
        <v>350</v>
      </c>
      <c r="O157" s="175"/>
      <c r="P157" s="181" t="s">
        <v>349</v>
      </c>
      <c r="Q157" s="174"/>
      <c r="R157" s="174"/>
      <c r="S157" s="174"/>
      <c r="T157" s="175" t="s">
        <v>348</v>
      </c>
      <c r="U157" s="181" t="s">
        <v>18</v>
      </c>
      <c r="V157" s="487" t="s">
        <v>348</v>
      </c>
      <c r="W157" s="175" t="s">
        <v>18</v>
      </c>
      <c r="X157" s="175" t="s">
        <v>18</v>
      </c>
      <c r="Y157" s="175" t="s">
        <v>18</v>
      </c>
      <c r="Z157" s="175" t="s">
        <v>18</v>
      </c>
      <c r="AA157" s="175" t="s">
        <v>18</v>
      </c>
      <c r="AB157" s="175" t="s">
        <v>18</v>
      </c>
      <c r="AC157" s="518">
        <v>45887</v>
      </c>
      <c r="AD157" s="521">
        <v>46643</v>
      </c>
      <c r="AE157" s="175"/>
      <c r="AF157" s="478"/>
      <c r="AG157" s="479"/>
      <c r="AH157" s="480"/>
      <c r="AI157" s="174" t="s">
        <v>18</v>
      </c>
      <c r="AJ157" s="174" t="s">
        <v>18</v>
      </c>
      <c r="AK157" s="478"/>
      <c r="AL157" s="144" t="s">
        <v>17</v>
      </c>
      <c r="AM157" s="193"/>
      <c r="AN157" s="193"/>
      <c r="AO157" s="194">
        <f>SUMIF('TK 15661.Bản quyền phim '!F:F,'KK2. Series'!C157,'TK 15661.Bản quyền phim '!K:K)</f>
        <v>0</v>
      </c>
      <c r="AP157" s="194">
        <f>COUNTIF('242.BQ Phim VOD'!$C$5:$C$8,'KK2. Series'!AM157)</f>
        <v>0</v>
      </c>
      <c r="AQ157" s="194">
        <f>COUNTIF('TK 15666. Phim SX'!$C$6:$C$13,'KK2. Series'!AM157)</f>
        <v>0</v>
      </c>
      <c r="AR157" s="193">
        <f>COUNTIF('TK 15661.Bản quyền phim '!F:F,'KK2. Series'!AM157)</f>
        <v>0</v>
      </c>
      <c r="AS157" s="193">
        <v>1</v>
      </c>
      <c r="AT157" s="197">
        <f t="shared" si="11"/>
        <v>1</v>
      </c>
      <c r="AU157" s="193"/>
      <c r="AV157" s="193"/>
      <c r="AW157" s="193"/>
      <c r="AX157" s="193"/>
      <c r="AY157" s="193"/>
    </row>
    <row r="158" spans="1:51" ht="409.6" x14ac:dyDescent="0.25">
      <c r="A158" s="141">
        <v>152</v>
      </c>
      <c r="B158" s="142" t="s">
        <v>413</v>
      </c>
      <c r="C158" s="522" t="s">
        <v>412</v>
      </c>
      <c r="D158" s="144" t="s">
        <v>411</v>
      </c>
      <c r="E158" s="164" t="s">
        <v>410</v>
      </c>
      <c r="F158" s="144" t="s">
        <v>409</v>
      </c>
      <c r="G158" s="164" t="s">
        <v>178</v>
      </c>
      <c r="H158" s="164">
        <v>2025</v>
      </c>
      <c r="I158" s="164">
        <v>24</v>
      </c>
      <c r="J158" s="164">
        <v>45</v>
      </c>
      <c r="K158" s="459">
        <f t="shared" si="12"/>
        <v>18</v>
      </c>
      <c r="L158" s="504">
        <f t="shared" ref="L158:L166" si="14">J158</f>
        <v>45</v>
      </c>
      <c r="M158" s="164" t="s">
        <v>403</v>
      </c>
      <c r="N158" s="164" t="s">
        <v>403</v>
      </c>
      <c r="O158" s="464">
        <v>45852</v>
      </c>
      <c r="P158" s="464">
        <v>47677</v>
      </c>
      <c r="Q158" s="144"/>
      <c r="R158" s="144"/>
      <c r="S158" s="144"/>
      <c r="T158" s="164" t="s">
        <v>18</v>
      </c>
      <c r="U158" s="144" t="s">
        <v>18</v>
      </c>
      <c r="V158" s="164" t="s">
        <v>18</v>
      </c>
      <c r="W158" s="164" t="s">
        <v>18</v>
      </c>
      <c r="X158" s="164" t="s">
        <v>18</v>
      </c>
      <c r="Y158" s="164" t="s">
        <v>18</v>
      </c>
      <c r="Z158" s="164" t="s">
        <v>18</v>
      </c>
      <c r="AA158" s="164" t="s">
        <v>18</v>
      </c>
      <c r="AB158" s="164" t="s">
        <v>18</v>
      </c>
      <c r="AC158" s="464">
        <v>45852</v>
      </c>
      <c r="AD158" s="464">
        <v>47677</v>
      </c>
      <c r="AE158" s="164" t="s">
        <v>218</v>
      </c>
      <c r="AF158" s="460"/>
      <c r="AG158" s="461"/>
      <c r="AH158" s="465"/>
      <c r="AI158" s="144" t="s">
        <v>18</v>
      </c>
      <c r="AJ158" s="144" t="s">
        <v>18</v>
      </c>
      <c r="AK158" s="460" t="s">
        <v>402</v>
      </c>
      <c r="AL158" s="144" t="s">
        <v>17</v>
      </c>
      <c r="AM158" s="193" t="s">
        <v>408</v>
      </c>
      <c r="AN158" s="193"/>
      <c r="AO158" s="194">
        <f>SUMIF('TK 15661.Bản quyền phim '!F:F,'KK2. Series'!C158,'TK 15661.Bản quyền phim '!K:K)</f>
        <v>0</v>
      </c>
      <c r="AP158" s="194">
        <f>COUNTIF('242.BQ Phim VOD'!$C$5:$C$8,'KK2. Series'!AM158)</f>
        <v>0</v>
      </c>
      <c r="AQ158" s="194">
        <f>COUNTIF('TK 15666. Phim SX'!$C$6:$C$13,'KK2. Series'!AM158)</f>
        <v>0</v>
      </c>
      <c r="AR158" s="193">
        <f>COUNTIF('TK 15661.Bản quyền phim '!F:F,'KK2. Series'!AM158)</f>
        <v>1</v>
      </c>
      <c r="AS158" s="193"/>
      <c r="AT158" s="197">
        <f t="shared" si="11"/>
        <v>1</v>
      </c>
      <c r="AU158" s="193"/>
      <c r="AV158" s="193"/>
      <c r="AW158" s="193"/>
      <c r="AX158" s="193"/>
      <c r="AY158" s="193"/>
    </row>
    <row r="159" spans="1:51" ht="158.4" x14ac:dyDescent="0.25">
      <c r="A159" s="141">
        <v>153</v>
      </c>
      <c r="B159" s="142" t="s">
        <v>407</v>
      </c>
      <c r="C159" s="164" t="s">
        <v>401</v>
      </c>
      <c r="D159" s="144" t="s">
        <v>406</v>
      </c>
      <c r="E159" s="164" t="s">
        <v>405</v>
      </c>
      <c r="F159" s="144" t="s">
        <v>404</v>
      </c>
      <c r="G159" s="164" t="s">
        <v>133</v>
      </c>
      <c r="H159" s="164">
        <v>2025</v>
      </c>
      <c r="I159" s="164">
        <v>12</v>
      </c>
      <c r="J159" s="164">
        <v>70</v>
      </c>
      <c r="K159" s="459">
        <f t="shared" si="12"/>
        <v>14</v>
      </c>
      <c r="L159" s="504">
        <f t="shared" si="14"/>
        <v>70</v>
      </c>
      <c r="M159" s="164" t="s">
        <v>403</v>
      </c>
      <c r="N159" s="164" t="s">
        <v>403</v>
      </c>
      <c r="O159" s="464">
        <v>45861</v>
      </c>
      <c r="P159" s="464">
        <v>47321</v>
      </c>
      <c r="Q159" s="144"/>
      <c r="R159" s="144"/>
      <c r="S159" s="144"/>
      <c r="T159" s="164" t="s">
        <v>18</v>
      </c>
      <c r="U159" s="144" t="s">
        <v>18</v>
      </c>
      <c r="V159" s="164" t="s">
        <v>18</v>
      </c>
      <c r="W159" s="164" t="s">
        <v>18</v>
      </c>
      <c r="X159" s="164" t="s">
        <v>18</v>
      </c>
      <c r="Y159" s="164" t="s">
        <v>18</v>
      </c>
      <c r="Z159" s="164" t="s">
        <v>18</v>
      </c>
      <c r="AA159" s="164" t="s">
        <v>18</v>
      </c>
      <c r="AB159" s="164" t="s">
        <v>18</v>
      </c>
      <c r="AC159" s="464">
        <v>45861</v>
      </c>
      <c r="AD159" s="464">
        <v>47321</v>
      </c>
      <c r="AE159" s="164" t="s">
        <v>218</v>
      </c>
      <c r="AF159" s="460"/>
      <c r="AG159" s="461"/>
      <c r="AH159" s="465"/>
      <c r="AI159" s="144" t="s">
        <v>18</v>
      </c>
      <c r="AJ159" s="144" t="s">
        <v>18</v>
      </c>
      <c r="AK159" s="460" t="s">
        <v>402</v>
      </c>
      <c r="AL159" s="144" t="s">
        <v>17</v>
      </c>
      <c r="AM159" s="196" t="s">
        <v>401</v>
      </c>
      <c r="AN159" s="193"/>
      <c r="AO159" s="194">
        <f>SUMIF('TK 15661.Bản quyền phim '!F:F,'KK2. Series'!C159,'TK 15661.Bản quyền phim '!K:K)</f>
        <v>1045400000</v>
      </c>
      <c r="AP159" s="194">
        <f>COUNTIF('242.BQ Phim VOD'!$C$5:$C$8,'KK2. Series'!AM159)</f>
        <v>0</v>
      </c>
      <c r="AQ159" s="194">
        <f>COUNTIF('TK 15666. Phim SX'!$C$6:$C$13,'KK2. Series'!AM159)</f>
        <v>0</v>
      </c>
      <c r="AR159" s="193">
        <f>COUNTIF('TK 15661.Bản quyền phim '!F:F,'KK2. Series'!AM159)</f>
        <v>1</v>
      </c>
      <c r="AS159" s="193"/>
      <c r="AT159" s="197">
        <f t="shared" si="11"/>
        <v>1</v>
      </c>
      <c r="AU159" s="193"/>
      <c r="AV159" s="193"/>
      <c r="AW159" s="193"/>
      <c r="AX159" s="193"/>
      <c r="AY159" s="193"/>
    </row>
    <row r="160" spans="1:51" ht="409.6" x14ac:dyDescent="0.25">
      <c r="A160" s="141">
        <v>154</v>
      </c>
      <c r="B160" s="142" t="s">
        <v>400</v>
      </c>
      <c r="C160" s="523" t="s">
        <v>399</v>
      </c>
      <c r="D160" s="446" t="s">
        <v>398</v>
      </c>
      <c r="E160" s="447" t="s">
        <v>25</v>
      </c>
      <c r="F160" s="190" t="s">
        <v>377</v>
      </c>
      <c r="G160" s="190" t="s">
        <v>24</v>
      </c>
      <c r="H160" s="446">
        <v>2021</v>
      </c>
      <c r="I160" s="446">
        <v>22</v>
      </c>
      <c r="J160" s="446">
        <v>60</v>
      </c>
      <c r="K160" s="507">
        <f t="shared" si="12"/>
        <v>22</v>
      </c>
      <c r="L160" s="524">
        <f t="shared" si="14"/>
        <v>60</v>
      </c>
      <c r="M160" s="190" t="s">
        <v>350</v>
      </c>
      <c r="N160" s="190"/>
      <c r="O160" s="446">
        <v>2021</v>
      </c>
      <c r="P160" s="190" t="s">
        <v>23</v>
      </c>
      <c r="Q160" s="190"/>
      <c r="R160" s="190"/>
      <c r="S160" s="190"/>
      <c r="T160" s="525" t="s">
        <v>18</v>
      </c>
      <c r="U160" s="144" t="s">
        <v>18</v>
      </c>
      <c r="V160" s="164" t="s">
        <v>18</v>
      </c>
      <c r="W160" s="446" t="s">
        <v>18</v>
      </c>
      <c r="X160" s="446" t="s">
        <v>18</v>
      </c>
      <c r="Y160" s="446" t="s">
        <v>18</v>
      </c>
      <c r="Z160" s="446" t="s">
        <v>18</v>
      </c>
      <c r="AA160" s="446" t="s">
        <v>18</v>
      </c>
      <c r="AB160" s="446" t="s">
        <v>18</v>
      </c>
      <c r="AC160" s="446">
        <v>2021</v>
      </c>
      <c r="AD160" s="190" t="s">
        <v>23</v>
      </c>
      <c r="AE160" s="446" t="s">
        <v>218</v>
      </c>
      <c r="AF160" s="512"/>
      <c r="AG160" s="513"/>
      <c r="AH160" s="514"/>
      <c r="AI160" s="190" t="s">
        <v>18</v>
      </c>
      <c r="AJ160" s="190" t="s">
        <v>18</v>
      </c>
      <c r="AK160" s="190"/>
      <c r="AL160" s="144" t="s">
        <v>17</v>
      </c>
      <c r="AM160" s="193" t="s">
        <v>2388</v>
      </c>
      <c r="AN160" s="193"/>
      <c r="AO160" s="194">
        <f>SUMIF('TK 15661.Bản quyền phim '!F:F,'KK2. Series'!C160,'TK 15661.Bản quyền phim '!K:K)</f>
        <v>0</v>
      </c>
      <c r="AP160" s="194">
        <f>COUNTIF('242.BQ Phim VOD'!$C$5:$C$8,'KK2. Series'!AM160)</f>
        <v>0</v>
      </c>
      <c r="AQ160" s="194">
        <f>COUNTIF('TK 15666. Phim SX'!$C$6:$C$13,'KK2. Series'!AM160)</f>
        <v>1</v>
      </c>
      <c r="AR160" s="193">
        <f>COUNTIF('TK 15661.Bản quyền phim '!F:F,'KK2. Series'!AM160)</f>
        <v>0</v>
      </c>
      <c r="AS160" s="193"/>
      <c r="AT160" s="197">
        <f t="shared" si="11"/>
        <v>1</v>
      </c>
      <c r="AU160" s="193"/>
      <c r="AV160" s="193"/>
      <c r="AW160" s="193"/>
      <c r="AX160" s="193"/>
      <c r="AY160" s="193"/>
    </row>
    <row r="161" spans="1:51" ht="211.2" x14ac:dyDescent="0.25">
      <c r="A161" s="141">
        <v>155</v>
      </c>
      <c r="B161" s="142" t="s">
        <v>397</v>
      </c>
      <c r="C161" s="526" t="s">
        <v>396</v>
      </c>
      <c r="D161" s="167" t="s">
        <v>395</v>
      </c>
      <c r="E161" s="433" t="s">
        <v>25</v>
      </c>
      <c r="F161" s="190" t="s">
        <v>377</v>
      </c>
      <c r="G161" s="171" t="s">
        <v>24</v>
      </c>
      <c r="H161" s="167">
        <v>2022</v>
      </c>
      <c r="I161" s="167">
        <v>8</v>
      </c>
      <c r="J161" s="167">
        <v>60</v>
      </c>
      <c r="K161" s="516">
        <f t="shared" si="12"/>
        <v>8</v>
      </c>
      <c r="L161" s="499">
        <f t="shared" si="14"/>
        <v>60</v>
      </c>
      <c r="M161" s="171" t="s">
        <v>394</v>
      </c>
      <c r="N161" s="171"/>
      <c r="O161" s="167">
        <v>2022</v>
      </c>
      <c r="P161" s="171" t="s">
        <v>23</v>
      </c>
      <c r="Q161" s="171"/>
      <c r="R161" s="171"/>
      <c r="S161" s="171"/>
      <c r="T161" s="175" t="s">
        <v>18</v>
      </c>
      <c r="U161" s="144" t="s">
        <v>18</v>
      </c>
      <c r="V161" s="164" t="s">
        <v>18</v>
      </c>
      <c r="W161" s="167" t="s">
        <v>18</v>
      </c>
      <c r="X161" s="167" t="s">
        <v>18</v>
      </c>
      <c r="Y161" s="167" t="s">
        <v>18</v>
      </c>
      <c r="Z161" s="167" t="s">
        <v>18</v>
      </c>
      <c r="AA161" s="167" t="s">
        <v>18</v>
      </c>
      <c r="AB161" s="167" t="s">
        <v>18</v>
      </c>
      <c r="AC161" s="167">
        <v>2022</v>
      </c>
      <c r="AD161" s="171" t="s">
        <v>23</v>
      </c>
      <c r="AE161" s="167" t="s">
        <v>218</v>
      </c>
      <c r="AF161" s="462"/>
      <c r="AG161" s="474"/>
      <c r="AH161" s="475"/>
      <c r="AI161" s="171" t="s">
        <v>18</v>
      </c>
      <c r="AJ161" s="171" t="s">
        <v>18</v>
      </c>
      <c r="AK161" s="171"/>
      <c r="AL161" s="144" t="s">
        <v>17</v>
      </c>
      <c r="AM161" s="193" t="s">
        <v>2386</v>
      </c>
      <c r="AN161" s="193"/>
      <c r="AO161" s="194">
        <f>SUMIF('TK 15661.Bản quyền phim '!F:F,'KK2. Series'!C161,'TK 15661.Bản quyền phim '!K:K)</f>
        <v>0</v>
      </c>
      <c r="AP161" s="194">
        <f>COUNTIF('242.BQ Phim VOD'!$C$5:$C$8,'KK2. Series'!AM161)</f>
        <v>0</v>
      </c>
      <c r="AQ161" s="194">
        <f>COUNTIF('TK 15666. Phim SX'!$C$6:$C$13,'KK2. Series'!AM161)</f>
        <v>1</v>
      </c>
      <c r="AR161" s="193">
        <f>COUNTIF('TK 15661.Bản quyền phim '!F:F,'KK2. Series'!AM161)</f>
        <v>0</v>
      </c>
      <c r="AS161" s="193"/>
      <c r="AT161" s="197">
        <f t="shared" si="11"/>
        <v>1</v>
      </c>
      <c r="AU161" s="193"/>
      <c r="AV161" s="193"/>
      <c r="AW161" s="193"/>
      <c r="AX161" s="193"/>
      <c r="AY161" s="193"/>
    </row>
    <row r="162" spans="1:51" ht="409.6" x14ac:dyDescent="0.25">
      <c r="A162" s="141">
        <v>156</v>
      </c>
      <c r="B162" s="142" t="s">
        <v>393</v>
      </c>
      <c r="C162" s="526" t="s">
        <v>392</v>
      </c>
      <c r="D162" s="167" t="s">
        <v>391</v>
      </c>
      <c r="E162" s="433" t="s">
        <v>25</v>
      </c>
      <c r="F162" s="190" t="s">
        <v>377</v>
      </c>
      <c r="G162" s="171" t="s">
        <v>24</v>
      </c>
      <c r="H162" s="167">
        <v>2022</v>
      </c>
      <c r="I162" s="167">
        <v>20</v>
      </c>
      <c r="J162" s="167">
        <v>40</v>
      </c>
      <c r="K162" s="516">
        <f t="shared" si="12"/>
        <v>13.333333333333334</v>
      </c>
      <c r="L162" s="499">
        <f t="shared" si="14"/>
        <v>40</v>
      </c>
      <c r="M162" s="171" t="s">
        <v>385</v>
      </c>
      <c r="N162" s="171"/>
      <c r="O162" s="167">
        <v>2022</v>
      </c>
      <c r="P162" s="171" t="s">
        <v>23</v>
      </c>
      <c r="Q162" s="171"/>
      <c r="R162" s="171"/>
      <c r="S162" s="171"/>
      <c r="T162" s="175" t="s">
        <v>18</v>
      </c>
      <c r="U162" s="144" t="s">
        <v>18</v>
      </c>
      <c r="V162" s="164" t="s">
        <v>18</v>
      </c>
      <c r="W162" s="167" t="s">
        <v>18</v>
      </c>
      <c r="X162" s="167" t="s">
        <v>18</v>
      </c>
      <c r="Y162" s="167" t="s">
        <v>18</v>
      </c>
      <c r="Z162" s="167" t="s">
        <v>18</v>
      </c>
      <c r="AA162" s="167" t="s">
        <v>18</v>
      </c>
      <c r="AB162" s="167" t="s">
        <v>18</v>
      </c>
      <c r="AC162" s="167">
        <v>2022</v>
      </c>
      <c r="AD162" s="171" t="s">
        <v>23</v>
      </c>
      <c r="AE162" s="167" t="s">
        <v>218</v>
      </c>
      <c r="AF162" s="462"/>
      <c r="AG162" s="474"/>
      <c r="AH162" s="475"/>
      <c r="AI162" s="171" t="s">
        <v>18</v>
      </c>
      <c r="AJ162" s="171" t="s">
        <v>18</v>
      </c>
      <c r="AK162" s="171"/>
      <c r="AL162" s="144" t="s">
        <v>17</v>
      </c>
      <c r="AM162" s="193" t="s">
        <v>2384</v>
      </c>
      <c r="AN162" s="193"/>
      <c r="AO162" s="194">
        <f>SUMIF('TK 15661.Bản quyền phim '!F:F,'KK2. Series'!C162,'TK 15661.Bản quyền phim '!K:K)</f>
        <v>0</v>
      </c>
      <c r="AP162" s="194">
        <f>COUNTIF('242.BQ Phim VOD'!$C$5:$C$8,'KK2. Series'!AM162)</f>
        <v>0</v>
      </c>
      <c r="AQ162" s="194">
        <f>COUNTIF('TK 15666. Phim SX'!$C$6:$C$13,'KK2. Series'!AM162)</f>
        <v>1</v>
      </c>
      <c r="AR162" s="193">
        <f>COUNTIF('TK 15661.Bản quyền phim '!F:F,'KK2. Series'!AM162)</f>
        <v>0</v>
      </c>
      <c r="AS162" s="193"/>
      <c r="AT162" s="197">
        <f t="shared" si="11"/>
        <v>1</v>
      </c>
      <c r="AU162" s="193"/>
      <c r="AV162" s="193"/>
      <c r="AW162" s="193"/>
      <c r="AX162" s="193"/>
      <c r="AY162" s="193"/>
    </row>
    <row r="163" spans="1:51" ht="52.8" x14ac:dyDescent="0.25">
      <c r="A163" s="141">
        <v>157</v>
      </c>
      <c r="B163" s="142" t="s">
        <v>390</v>
      </c>
      <c r="C163" s="526" t="s">
        <v>29</v>
      </c>
      <c r="D163" s="167" t="s">
        <v>28</v>
      </c>
      <c r="E163" s="433" t="s">
        <v>25</v>
      </c>
      <c r="F163" s="190" t="s">
        <v>377</v>
      </c>
      <c r="G163" s="171" t="s">
        <v>24</v>
      </c>
      <c r="H163" s="167">
        <v>2022</v>
      </c>
      <c r="I163" s="167">
        <v>1</v>
      </c>
      <c r="J163" s="167">
        <v>120</v>
      </c>
      <c r="K163" s="516">
        <f t="shared" si="12"/>
        <v>2</v>
      </c>
      <c r="L163" s="499">
        <f t="shared" si="14"/>
        <v>120</v>
      </c>
      <c r="M163" s="171" t="s">
        <v>389</v>
      </c>
      <c r="N163" s="171"/>
      <c r="O163" s="167">
        <v>2022</v>
      </c>
      <c r="P163" s="171" t="s">
        <v>23</v>
      </c>
      <c r="Q163" s="171"/>
      <c r="R163" s="171"/>
      <c r="S163" s="171"/>
      <c r="T163" s="175" t="s">
        <v>18</v>
      </c>
      <c r="U163" s="144" t="s">
        <v>18</v>
      </c>
      <c r="V163" s="164" t="s">
        <v>18</v>
      </c>
      <c r="W163" s="167" t="s">
        <v>18</v>
      </c>
      <c r="X163" s="167" t="s">
        <v>18</v>
      </c>
      <c r="Y163" s="167" t="s">
        <v>18</v>
      </c>
      <c r="Z163" s="167" t="s">
        <v>18</v>
      </c>
      <c r="AA163" s="167" t="s">
        <v>18</v>
      </c>
      <c r="AB163" s="167" t="s">
        <v>18</v>
      </c>
      <c r="AC163" s="167">
        <v>2022</v>
      </c>
      <c r="AD163" s="171" t="s">
        <v>23</v>
      </c>
      <c r="AE163" s="167" t="s">
        <v>218</v>
      </c>
      <c r="AF163" s="462"/>
      <c r="AG163" s="474"/>
      <c r="AH163" s="475"/>
      <c r="AI163" s="171" t="s">
        <v>18</v>
      </c>
      <c r="AJ163" s="171" t="s">
        <v>18</v>
      </c>
      <c r="AK163" s="171"/>
      <c r="AL163" s="144" t="s">
        <v>17</v>
      </c>
      <c r="AM163" s="193" t="s">
        <v>2382</v>
      </c>
      <c r="AN163" s="193"/>
      <c r="AO163" s="194">
        <f>SUMIF('TK 15661.Bản quyền phim '!F:F,'KK2. Series'!C163,'TK 15661.Bản quyền phim '!K:K)</f>
        <v>0</v>
      </c>
      <c r="AP163" s="194">
        <f>COUNTIF('242.BQ Phim VOD'!$C$5:$C$8,'KK2. Series'!AM163)</f>
        <v>0</v>
      </c>
      <c r="AQ163" s="194">
        <f>COUNTIF('TK 15666. Phim SX'!$C$6:$C$13,'KK2. Series'!AM163)</f>
        <v>1</v>
      </c>
      <c r="AR163" s="193">
        <f>COUNTIF('TK 15661.Bản quyền phim '!F:F,'KK2. Series'!AM163)</f>
        <v>0</v>
      </c>
      <c r="AS163" s="193"/>
      <c r="AT163" s="197">
        <f t="shared" si="11"/>
        <v>1</v>
      </c>
      <c r="AU163" s="193"/>
      <c r="AV163" s="193"/>
      <c r="AW163" s="193"/>
      <c r="AX163" s="193"/>
      <c r="AY163" s="193"/>
    </row>
    <row r="164" spans="1:51" ht="316.8" x14ac:dyDescent="0.25">
      <c r="A164" s="141">
        <v>158</v>
      </c>
      <c r="B164" s="142" t="s">
        <v>388</v>
      </c>
      <c r="C164" s="526" t="s">
        <v>387</v>
      </c>
      <c r="D164" s="167" t="s">
        <v>386</v>
      </c>
      <c r="E164" s="433" t="s">
        <v>25</v>
      </c>
      <c r="F164" s="190" t="s">
        <v>377</v>
      </c>
      <c r="G164" s="171" t="s">
        <v>24</v>
      </c>
      <c r="H164" s="167">
        <v>2023</v>
      </c>
      <c r="I164" s="167">
        <v>12</v>
      </c>
      <c r="J164" s="167">
        <v>60</v>
      </c>
      <c r="K164" s="516">
        <f t="shared" si="12"/>
        <v>12</v>
      </c>
      <c r="L164" s="499">
        <f t="shared" si="14"/>
        <v>60</v>
      </c>
      <c r="M164" s="171" t="s">
        <v>385</v>
      </c>
      <c r="N164" s="171"/>
      <c r="O164" s="167">
        <v>2023</v>
      </c>
      <c r="P164" s="462">
        <v>2033</v>
      </c>
      <c r="Q164" s="171"/>
      <c r="R164" s="171"/>
      <c r="S164" s="171"/>
      <c r="T164" s="175" t="s">
        <v>18</v>
      </c>
      <c r="U164" s="144" t="s">
        <v>18</v>
      </c>
      <c r="V164" s="164" t="s">
        <v>18</v>
      </c>
      <c r="W164" s="167" t="s">
        <v>18</v>
      </c>
      <c r="X164" s="167" t="s">
        <v>18</v>
      </c>
      <c r="Y164" s="167" t="s">
        <v>18</v>
      </c>
      <c r="Z164" s="167" t="s">
        <v>18</v>
      </c>
      <c r="AA164" s="167" t="s">
        <v>18</v>
      </c>
      <c r="AB164" s="167" t="s">
        <v>18</v>
      </c>
      <c r="AC164" s="167">
        <v>2023</v>
      </c>
      <c r="AD164" s="171" t="s">
        <v>23</v>
      </c>
      <c r="AE164" s="167" t="s">
        <v>218</v>
      </c>
      <c r="AF164" s="462"/>
      <c r="AG164" s="474"/>
      <c r="AH164" s="475"/>
      <c r="AI164" s="171" t="s">
        <v>18</v>
      </c>
      <c r="AJ164" s="171" t="s">
        <v>18</v>
      </c>
      <c r="AK164" s="171"/>
      <c r="AL164" s="144" t="s">
        <v>17</v>
      </c>
      <c r="AM164" s="193" t="s">
        <v>2380</v>
      </c>
      <c r="AN164" s="193"/>
      <c r="AO164" s="194">
        <f>SUMIF('TK 15661.Bản quyền phim '!F:F,'KK2. Series'!C164,'TK 15661.Bản quyền phim '!K:K)</f>
        <v>0</v>
      </c>
      <c r="AP164" s="194">
        <f>COUNTIF('242.BQ Phim VOD'!$C$5:$C$8,'KK2. Series'!AM164)</f>
        <v>0</v>
      </c>
      <c r="AQ164" s="194">
        <f>COUNTIF('TK 15666. Phim SX'!$C$6:$C$13,'KK2. Series'!AM164)</f>
        <v>1</v>
      </c>
      <c r="AR164" s="193">
        <f>COUNTIF('TK 15661.Bản quyền phim '!F:F,'KK2. Series'!AM164)</f>
        <v>0</v>
      </c>
      <c r="AS164" s="193"/>
      <c r="AT164" s="197">
        <f t="shared" si="11"/>
        <v>1</v>
      </c>
      <c r="AU164" s="193"/>
      <c r="AV164" s="193"/>
      <c r="AW164" s="193"/>
      <c r="AX164" s="193"/>
      <c r="AY164" s="193"/>
    </row>
    <row r="165" spans="1:51" ht="316.8" x14ac:dyDescent="0.25">
      <c r="A165" s="141">
        <v>159</v>
      </c>
      <c r="B165" s="142" t="s">
        <v>384</v>
      </c>
      <c r="C165" s="526" t="s">
        <v>383</v>
      </c>
      <c r="D165" s="167" t="s">
        <v>382</v>
      </c>
      <c r="E165" s="433" t="s">
        <v>25</v>
      </c>
      <c r="F165" s="190" t="s">
        <v>377</v>
      </c>
      <c r="G165" s="171" t="s">
        <v>24</v>
      </c>
      <c r="H165" s="167">
        <v>2023</v>
      </c>
      <c r="I165" s="167">
        <v>12</v>
      </c>
      <c r="J165" s="167">
        <v>45</v>
      </c>
      <c r="K165" s="516">
        <f t="shared" si="12"/>
        <v>9</v>
      </c>
      <c r="L165" s="499">
        <f t="shared" si="14"/>
        <v>45</v>
      </c>
      <c r="M165" s="171" t="s">
        <v>381</v>
      </c>
      <c r="N165" s="171"/>
      <c r="O165" s="167">
        <v>2023</v>
      </c>
      <c r="P165" s="171" t="s">
        <v>23</v>
      </c>
      <c r="Q165" s="171"/>
      <c r="R165" s="171"/>
      <c r="S165" s="171"/>
      <c r="T165" s="175" t="s">
        <v>18</v>
      </c>
      <c r="U165" s="144" t="s">
        <v>18</v>
      </c>
      <c r="V165" s="164" t="s">
        <v>18</v>
      </c>
      <c r="W165" s="167" t="s">
        <v>18</v>
      </c>
      <c r="X165" s="167" t="s">
        <v>18</v>
      </c>
      <c r="Y165" s="167" t="s">
        <v>18</v>
      </c>
      <c r="Z165" s="167" t="s">
        <v>18</v>
      </c>
      <c r="AA165" s="167" t="s">
        <v>18</v>
      </c>
      <c r="AB165" s="167" t="s">
        <v>18</v>
      </c>
      <c r="AC165" s="167">
        <v>2023</v>
      </c>
      <c r="AD165" s="171" t="s">
        <v>23</v>
      </c>
      <c r="AE165" s="167" t="s">
        <v>218</v>
      </c>
      <c r="AF165" s="462"/>
      <c r="AG165" s="474"/>
      <c r="AH165" s="475"/>
      <c r="AI165" s="171" t="s">
        <v>18</v>
      </c>
      <c r="AJ165" s="171" t="s">
        <v>18</v>
      </c>
      <c r="AK165" s="171"/>
      <c r="AL165" s="144" t="s">
        <v>17</v>
      </c>
      <c r="AM165" s="193" t="s">
        <v>2378</v>
      </c>
      <c r="AN165" s="193"/>
      <c r="AO165" s="194">
        <f>SUMIF('TK 15661.Bản quyền phim '!F:F,'KK2. Series'!C165,'TK 15661.Bản quyền phim '!K:K)</f>
        <v>0</v>
      </c>
      <c r="AP165" s="194">
        <f>COUNTIF('242.BQ Phim VOD'!$C$5:$C$8,'KK2. Series'!AM165)</f>
        <v>0</v>
      </c>
      <c r="AQ165" s="194">
        <f>COUNTIF('TK 15666. Phim SX'!$C$6:$C$13,'KK2. Series'!AM165)</f>
        <v>1</v>
      </c>
      <c r="AR165" s="193">
        <f>COUNTIF('TK 15661.Bản quyền phim '!F:F,'KK2. Series'!AM165)</f>
        <v>0</v>
      </c>
      <c r="AS165" s="193"/>
      <c r="AT165" s="197">
        <f t="shared" si="11"/>
        <v>1</v>
      </c>
      <c r="AU165" s="193"/>
      <c r="AV165" s="193"/>
      <c r="AW165" s="193"/>
      <c r="AX165" s="193"/>
      <c r="AY165" s="193"/>
    </row>
    <row r="166" spans="1:51" ht="264" x14ac:dyDescent="0.25">
      <c r="A166" s="141">
        <v>160</v>
      </c>
      <c r="B166" s="142" t="s">
        <v>380</v>
      </c>
      <c r="C166" s="527" t="s">
        <v>379</v>
      </c>
      <c r="D166" s="175" t="s">
        <v>378</v>
      </c>
      <c r="E166" s="434" t="s">
        <v>25</v>
      </c>
      <c r="F166" s="190" t="s">
        <v>377</v>
      </c>
      <c r="G166" s="174" t="s">
        <v>24</v>
      </c>
      <c r="H166" s="175">
        <v>2024</v>
      </c>
      <c r="I166" s="175">
        <v>10</v>
      </c>
      <c r="J166" s="175">
        <v>45</v>
      </c>
      <c r="K166" s="502">
        <f t="shared" si="12"/>
        <v>7.5</v>
      </c>
      <c r="L166" s="503">
        <f t="shared" si="14"/>
        <v>45</v>
      </c>
      <c r="M166" s="174" t="s">
        <v>350</v>
      </c>
      <c r="N166" s="174"/>
      <c r="O166" s="175">
        <v>2024</v>
      </c>
      <c r="P166" s="174" t="s">
        <v>23</v>
      </c>
      <c r="Q166" s="174"/>
      <c r="R166" s="174"/>
      <c r="S166" s="174"/>
      <c r="T166" s="175" t="s">
        <v>18</v>
      </c>
      <c r="U166" s="144" t="s">
        <v>18</v>
      </c>
      <c r="V166" s="164" t="s">
        <v>18</v>
      </c>
      <c r="W166" s="175" t="s">
        <v>18</v>
      </c>
      <c r="X166" s="175" t="s">
        <v>18</v>
      </c>
      <c r="Y166" s="175" t="s">
        <v>18</v>
      </c>
      <c r="Z166" s="175" t="s">
        <v>18</v>
      </c>
      <c r="AA166" s="175" t="s">
        <v>18</v>
      </c>
      <c r="AB166" s="175" t="s">
        <v>18</v>
      </c>
      <c r="AC166" s="175">
        <v>2024</v>
      </c>
      <c r="AD166" s="174" t="s">
        <v>23</v>
      </c>
      <c r="AE166" s="175" t="s">
        <v>218</v>
      </c>
      <c r="AF166" s="478"/>
      <c r="AG166" s="479"/>
      <c r="AH166" s="480"/>
      <c r="AI166" s="174" t="s">
        <v>18</v>
      </c>
      <c r="AJ166" s="174" t="s">
        <v>18</v>
      </c>
      <c r="AK166" s="174"/>
      <c r="AL166" s="144" t="s">
        <v>17</v>
      </c>
      <c r="AM166" s="193" t="s">
        <v>2376</v>
      </c>
      <c r="AN166" s="193"/>
      <c r="AO166" s="194">
        <f>SUMIF('TK 15661.Bản quyền phim '!F:F,'KK2. Series'!C166,'TK 15661.Bản quyền phim '!K:K)</f>
        <v>0</v>
      </c>
      <c r="AP166" s="194">
        <f>COUNTIF('242.BQ Phim VOD'!$C$5:$C$8,'KK2. Series'!AM166)</f>
        <v>0</v>
      </c>
      <c r="AQ166" s="194">
        <f>COUNTIF('TK 15666. Phim SX'!$C$6:$C$13,'KK2. Series'!AM166)</f>
        <v>1</v>
      </c>
      <c r="AR166" s="193">
        <f>COUNTIF('TK 15661.Bản quyền phim '!F:F,'KK2. Series'!AM166)</f>
        <v>0</v>
      </c>
      <c r="AS166" s="193"/>
      <c r="AT166" s="197">
        <f t="shared" si="11"/>
        <v>1</v>
      </c>
      <c r="AU166" s="193"/>
      <c r="AV166" s="193"/>
      <c r="AW166" s="193"/>
      <c r="AX166" s="193"/>
      <c r="AY166" s="193"/>
    </row>
    <row r="167" spans="1:51" ht="409.6" x14ac:dyDescent="0.25">
      <c r="A167" s="141">
        <v>161</v>
      </c>
      <c r="B167" s="142" t="s">
        <v>376</v>
      </c>
      <c r="C167" s="167" t="s">
        <v>375</v>
      </c>
      <c r="D167" s="171" t="s">
        <v>374</v>
      </c>
      <c r="E167" s="167" t="s">
        <v>352</v>
      </c>
      <c r="F167" s="171" t="s">
        <v>351</v>
      </c>
      <c r="G167" s="167" t="s">
        <v>133</v>
      </c>
      <c r="H167" s="167">
        <v>2013</v>
      </c>
      <c r="I167" s="167">
        <v>130</v>
      </c>
      <c r="J167" s="167">
        <v>35</v>
      </c>
      <c r="K167" s="502">
        <f t="shared" si="12"/>
        <v>75.833333333333329</v>
      </c>
      <c r="L167" s="499">
        <f t="shared" ref="L167:L174" si="15">I167</f>
        <v>130</v>
      </c>
      <c r="M167" s="167" t="s">
        <v>350</v>
      </c>
      <c r="N167" s="171"/>
      <c r="O167" s="171"/>
      <c r="P167" s="144" t="s">
        <v>349</v>
      </c>
      <c r="Q167" s="171"/>
      <c r="R167" s="171"/>
      <c r="S167" s="171"/>
      <c r="T167" s="167" t="s">
        <v>348</v>
      </c>
      <c r="U167" s="144" t="s">
        <v>18</v>
      </c>
      <c r="V167" s="167" t="s">
        <v>348</v>
      </c>
      <c r="W167" s="167" t="s">
        <v>18</v>
      </c>
      <c r="X167" s="167" t="s">
        <v>18</v>
      </c>
      <c r="Y167" s="167" t="s">
        <v>18</v>
      </c>
      <c r="Z167" s="167" t="s">
        <v>18</v>
      </c>
      <c r="AA167" s="167" t="s">
        <v>18</v>
      </c>
      <c r="AB167" s="167" t="s">
        <v>18</v>
      </c>
      <c r="AC167" s="490">
        <v>45901</v>
      </c>
      <c r="AD167" s="490">
        <v>46629</v>
      </c>
      <c r="AE167" s="171"/>
      <c r="AF167" s="462"/>
      <c r="AG167" s="474"/>
      <c r="AH167" s="475"/>
      <c r="AI167" s="174" t="s">
        <v>18</v>
      </c>
      <c r="AJ167" s="174" t="s">
        <v>18</v>
      </c>
      <c r="AK167" s="462"/>
      <c r="AL167" s="144" t="s">
        <v>17</v>
      </c>
      <c r="AM167" s="193"/>
      <c r="AN167" s="193"/>
      <c r="AO167" s="194">
        <f>SUMIF('TK 15661.Bản quyền phim '!F:F,'KK2. Series'!C167,'TK 15661.Bản quyền phim '!K:K)</f>
        <v>0</v>
      </c>
      <c r="AP167" s="194">
        <f>COUNTIF('242.BQ Phim VOD'!$C$5:$C$8,'KK2. Series'!AM167)</f>
        <v>0</v>
      </c>
      <c r="AQ167" s="194">
        <f>COUNTIF('TK 15666. Phim SX'!$C$6:$C$13,'KK2. Series'!AM167)</f>
        <v>0</v>
      </c>
      <c r="AR167" s="193">
        <f>COUNTIF('TK 15661.Bản quyền phim '!F:F,'KK2. Series'!AM167)</f>
        <v>0</v>
      </c>
      <c r="AS167" s="193">
        <v>1</v>
      </c>
      <c r="AT167" s="197">
        <f t="shared" si="11"/>
        <v>1</v>
      </c>
      <c r="AU167" s="193"/>
      <c r="AV167" s="193"/>
      <c r="AW167" s="193"/>
      <c r="AX167" s="193"/>
      <c r="AY167" s="193"/>
    </row>
    <row r="168" spans="1:51" ht="409.6" x14ac:dyDescent="0.25">
      <c r="A168" s="141">
        <v>162</v>
      </c>
      <c r="B168" s="142" t="s">
        <v>373</v>
      </c>
      <c r="C168" s="167" t="s">
        <v>372</v>
      </c>
      <c r="D168" s="171" t="s">
        <v>371</v>
      </c>
      <c r="E168" s="167" t="s">
        <v>352</v>
      </c>
      <c r="F168" s="171" t="s">
        <v>351</v>
      </c>
      <c r="G168" s="167" t="s">
        <v>133</v>
      </c>
      <c r="H168" s="167">
        <v>2014</v>
      </c>
      <c r="I168" s="167">
        <v>80</v>
      </c>
      <c r="J168" s="167">
        <v>35</v>
      </c>
      <c r="K168" s="502">
        <f t="shared" si="12"/>
        <v>46.666666666666664</v>
      </c>
      <c r="L168" s="499">
        <f t="shared" si="15"/>
        <v>80</v>
      </c>
      <c r="M168" s="167" t="s">
        <v>350</v>
      </c>
      <c r="N168" s="171"/>
      <c r="O168" s="171"/>
      <c r="P168" s="144" t="s">
        <v>349</v>
      </c>
      <c r="Q168" s="171"/>
      <c r="R168" s="171"/>
      <c r="S168" s="171"/>
      <c r="T168" s="167" t="s">
        <v>348</v>
      </c>
      <c r="U168" s="144" t="s">
        <v>18</v>
      </c>
      <c r="V168" s="167" t="s">
        <v>348</v>
      </c>
      <c r="W168" s="167" t="s">
        <v>18</v>
      </c>
      <c r="X168" s="167" t="s">
        <v>18</v>
      </c>
      <c r="Y168" s="167" t="s">
        <v>18</v>
      </c>
      <c r="Z168" s="167" t="s">
        <v>18</v>
      </c>
      <c r="AA168" s="167" t="s">
        <v>18</v>
      </c>
      <c r="AB168" s="167" t="s">
        <v>18</v>
      </c>
      <c r="AC168" s="490">
        <v>45901</v>
      </c>
      <c r="AD168" s="490">
        <v>46630</v>
      </c>
      <c r="AE168" s="171"/>
      <c r="AF168" s="462"/>
      <c r="AG168" s="474"/>
      <c r="AH168" s="475"/>
      <c r="AI168" s="174" t="s">
        <v>18</v>
      </c>
      <c r="AJ168" s="174" t="s">
        <v>18</v>
      </c>
      <c r="AK168" s="462"/>
      <c r="AL168" s="144" t="s">
        <v>17</v>
      </c>
      <c r="AM168" s="193"/>
      <c r="AN168" s="193"/>
      <c r="AO168" s="194">
        <f>SUMIF('TK 15661.Bản quyền phim '!F:F,'KK2. Series'!C168,'TK 15661.Bản quyền phim '!K:K)</f>
        <v>0</v>
      </c>
      <c r="AP168" s="194">
        <f>COUNTIF('242.BQ Phim VOD'!$C$5:$C$8,'KK2. Series'!AM168)</f>
        <v>0</v>
      </c>
      <c r="AQ168" s="194">
        <f>COUNTIF('TK 15666. Phim SX'!$C$6:$C$13,'KK2. Series'!AM168)</f>
        <v>0</v>
      </c>
      <c r="AR168" s="193">
        <f>COUNTIF('TK 15661.Bản quyền phim '!F:F,'KK2. Series'!AM168)</f>
        <v>0</v>
      </c>
      <c r="AS168" s="193">
        <v>1</v>
      </c>
      <c r="AT168" s="197">
        <f t="shared" si="11"/>
        <v>1</v>
      </c>
      <c r="AU168" s="193"/>
      <c r="AV168" s="193"/>
      <c r="AW168" s="193"/>
      <c r="AX168" s="193"/>
      <c r="AY168" s="193"/>
    </row>
    <row r="169" spans="1:51" ht="409.6" x14ac:dyDescent="0.25">
      <c r="A169" s="141">
        <v>163</v>
      </c>
      <c r="B169" s="142" t="s">
        <v>370</v>
      </c>
      <c r="C169" s="167" t="s">
        <v>369</v>
      </c>
      <c r="D169" s="171" t="s">
        <v>368</v>
      </c>
      <c r="E169" s="167" t="s">
        <v>352</v>
      </c>
      <c r="F169" s="171" t="s">
        <v>351</v>
      </c>
      <c r="G169" s="167" t="s">
        <v>133</v>
      </c>
      <c r="H169" s="167">
        <v>2020</v>
      </c>
      <c r="I169" s="167">
        <v>127</v>
      </c>
      <c r="J169" s="167">
        <v>35</v>
      </c>
      <c r="K169" s="502">
        <f t="shared" si="12"/>
        <v>74.083333333333329</v>
      </c>
      <c r="L169" s="499">
        <f t="shared" si="15"/>
        <v>127</v>
      </c>
      <c r="M169" s="167" t="s">
        <v>350</v>
      </c>
      <c r="N169" s="171"/>
      <c r="O169" s="171"/>
      <c r="P169" s="144" t="s">
        <v>349</v>
      </c>
      <c r="Q169" s="171"/>
      <c r="R169" s="171"/>
      <c r="S169" s="171"/>
      <c r="T169" s="167" t="s">
        <v>348</v>
      </c>
      <c r="U169" s="144" t="s">
        <v>18</v>
      </c>
      <c r="V169" s="167" t="s">
        <v>348</v>
      </c>
      <c r="W169" s="167" t="s">
        <v>18</v>
      </c>
      <c r="X169" s="167" t="s">
        <v>18</v>
      </c>
      <c r="Y169" s="167" t="s">
        <v>18</v>
      </c>
      <c r="Z169" s="167" t="s">
        <v>18</v>
      </c>
      <c r="AA169" s="167" t="s">
        <v>18</v>
      </c>
      <c r="AB169" s="167" t="s">
        <v>18</v>
      </c>
      <c r="AC169" s="490">
        <v>45901</v>
      </c>
      <c r="AD169" s="490">
        <v>46630</v>
      </c>
      <c r="AE169" s="171"/>
      <c r="AF169" s="462"/>
      <c r="AG169" s="474"/>
      <c r="AH169" s="475"/>
      <c r="AI169" s="174" t="s">
        <v>18</v>
      </c>
      <c r="AJ169" s="174" t="s">
        <v>18</v>
      </c>
      <c r="AK169" s="462"/>
      <c r="AL169" s="144" t="s">
        <v>17</v>
      </c>
      <c r="AM169" s="193"/>
      <c r="AN169" s="193"/>
      <c r="AO169" s="194">
        <f>SUMIF('TK 15661.Bản quyền phim '!F:F,'KK2. Series'!C169,'TK 15661.Bản quyền phim '!K:K)</f>
        <v>0</v>
      </c>
      <c r="AP169" s="194">
        <f>COUNTIF('242.BQ Phim VOD'!$C$5:$C$8,'KK2. Series'!AM169)</f>
        <v>0</v>
      </c>
      <c r="AQ169" s="194">
        <f>COUNTIF('TK 15666. Phim SX'!$C$6:$C$13,'KK2. Series'!AM169)</f>
        <v>0</v>
      </c>
      <c r="AR169" s="193">
        <f>COUNTIF('TK 15661.Bản quyền phim '!F:F,'KK2. Series'!AM169)</f>
        <v>0</v>
      </c>
      <c r="AS169" s="193">
        <v>1</v>
      </c>
      <c r="AT169" s="197">
        <f t="shared" si="11"/>
        <v>1</v>
      </c>
      <c r="AU169" s="193"/>
      <c r="AV169" s="193"/>
      <c r="AW169" s="193"/>
      <c r="AX169" s="193"/>
      <c r="AY169" s="193"/>
    </row>
    <row r="170" spans="1:51" ht="409.6" x14ac:dyDescent="0.25">
      <c r="A170" s="141">
        <v>164</v>
      </c>
      <c r="B170" s="142" t="s">
        <v>367</v>
      </c>
      <c r="C170" s="167" t="s">
        <v>366</v>
      </c>
      <c r="D170" s="171" t="s">
        <v>365</v>
      </c>
      <c r="E170" s="167" t="s">
        <v>352</v>
      </c>
      <c r="F170" s="171" t="s">
        <v>351</v>
      </c>
      <c r="G170" s="167" t="s">
        <v>133</v>
      </c>
      <c r="H170" s="167">
        <v>2016</v>
      </c>
      <c r="I170" s="167">
        <v>121</v>
      </c>
      <c r="J170" s="167">
        <v>35</v>
      </c>
      <c r="K170" s="502">
        <f t="shared" si="12"/>
        <v>70.583333333333329</v>
      </c>
      <c r="L170" s="499">
        <f t="shared" si="15"/>
        <v>121</v>
      </c>
      <c r="M170" s="167" t="s">
        <v>350</v>
      </c>
      <c r="N170" s="171"/>
      <c r="O170" s="171"/>
      <c r="P170" s="144" t="s">
        <v>349</v>
      </c>
      <c r="Q170" s="171"/>
      <c r="R170" s="171"/>
      <c r="S170" s="171"/>
      <c r="T170" s="167" t="s">
        <v>348</v>
      </c>
      <c r="U170" s="144" t="s">
        <v>18</v>
      </c>
      <c r="V170" s="167" t="s">
        <v>348</v>
      </c>
      <c r="W170" s="167" t="s">
        <v>18</v>
      </c>
      <c r="X170" s="167" t="s">
        <v>18</v>
      </c>
      <c r="Y170" s="167" t="s">
        <v>18</v>
      </c>
      <c r="Z170" s="167" t="s">
        <v>18</v>
      </c>
      <c r="AA170" s="167" t="s">
        <v>18</v>
      </c>
      <c r="AB170" s="167" t="s">
        <v>18</v>
      </c>
      <c r="AC170" s="490">
        <v>45931</v>
      </c>
      <c r="AD170" s="490">
        <v>46660</v>
      </c>
      <c r="AE170" s="171"/>
      <c r="AF170" s="462"/>
      <c r="AG170" s="474"/>
      <c r="AH170" s="475"/>
      <c r="AI170" s="174" t="s">
        <v>18</v>
      </c>
      <c r="AJ170" s="174" t="s">
        <v>18</v>
      </c>
      <c r="AK170" s="462"/>
      <c r="AL170" s="144" t="s">
        <v>17</v>
      </c>
      <c r="AM170" s="193"/>
      <c r="AN170" s="193"/>
      <c r="AO170" s="194">
        <f>SUMIF('TK 15661.Bản quyền phim '!F:F,'KK2. Series'!C170,'TK 15661.Bản quyền phim '!K:K)</f>
        <v>0</v>
      </c>
      <c r="AP170" s="194">
        <f>COUNTIF('242.BQ Phim VOD'!$C$5:$C$8,'KK2. Series'!AM170)</f>
        <v>0</v>
      </c>
      <c r="AQ170" s="194">
        <f>COUNTIF('TK 15666. Phim SX'!$C$6:$C$13,'KK2. Series'!AM170)</f>
        <v>0</v>
      </c>
      <c r="AR170" s="193">
        <f>COUNTIF('TK 15661.Bản quyền phim '!F:F,'KK2. Series'!AM170)</f>
        <v>0</v>
      </c>
      <c r="AS170" s="193">
        <v>1</v>
      </c>
      <c r="AT170" s="197">
        <f t="shared" si="11"/>
        <v>1</v>
      </c>
      <c r="AU170" s="193"/>
      <c r="AV170" s="193"/>
      <c r="AW170" s="193"/>
      <c r="AX170" s="193"/>
      <c r="AY170" s="193"/>
    </row>
    <row r="171" spans="1:51" ht="409.6" x14ac:dyDescent="0.25">
      <c r="A171" s="141">
        <v>165</v>
      </c>
      <c r="B171" s="142" t="s">
        <v>364</v>
      </c>
      <c r="C171" s="167" t="s">
        <v>363</v>
      </c>
      <c r="D171" s="171" t="s">
        <v>362</v>
      </c>
      <c r="E171" s="167" t="s">
        <v>352</v>
      </c>
      <c r="F171" s="171" t="s">
        <v>351</v>
      </c>
      <c r="G171" s="167" t="s">
        <v>133</v>
      </c>
      <c r="H171" s="167">
        <v>2015</v>
      </c>
      <c r="I171" s="167">
        <v>130</v>
      </c>
      <c r="J171" s="167">
        <v>35</v>
      </c>
      <c r="K171" s="502">
        <f t="shared" si="12"/>
        <v>75.833333333333329</v>
      </c>
      <c r="L171" s="499">
        <f t="shared" si="15"/>
        <v>130</v>
      </c>
      <c r="M171" s="167" t="s">
        <v>350</v>
      </c>
      <c r="N171" s="171"/>
      <c r="O171" s="171"/>
      <c r="P171" s="144" t="s">
        <v>349</v>
      </c>
      <c r="Q171" s="171"/>
      <c r="R171" s="171"/>
      <c r="S171" s="171"/>
      <c r="T171" s="167" t="s">
        <v>348</v>
      </c>
      <c r="U171" s="144" t="s">
        <v>18</v>
      </c>
      <c r="V171" s="167" t="s">
        <v>348</v>
      </c>
      <c r="W171" s="167" t="s">
        <v>18</v>
      </c>
      <c r="X171" s="167" t="s">
        <v>18</v>
      </c>
      <c r="Y171" s="167" t="s">
        <v>18</v>
      </c>
      <c r="Z171" s="167" t="s">
        <v>18</v>
      </c>
      <c r="AA171" s="167" t="s">
        <v>18</v>
      </c>
      <c r="AB171" s="167" t="s">
        <v>18</v>
      </c>
      <c r="AC171" s="490">
        <v>45931</v>
      </c>
      <c r="AD171" s="490">
        <v>46660</v>
      </c>
      <c r="AE171" s="171"/>
      <c r="AF171" s="462"/>
      <c r="AG171" s="474"/>
      <c r="AH171" s="475"/>
      <c r="AI171" s="174" t="s">
        <v>18</v>
      </c>
      <c r="AJ171" s="174" t="s">
        <v>18</v>
      </c>
      <c r="AK171" s="462"/>
      <c r="AL171" s="144" t="s">
        <v>17</v>
      </c>
      <c r="AM171" s="193"/>
      <c r="AN171" s="193"/>
      <c r="AO171" s="194">
        <f>SUMIF('TK 15661.Bản quyền phim '!F:F,'KK2. Series'!C171,'TK 15661.Bản quyền phim '!K:K)</f>
        <v>0</v>
      </c>
      <c r="AP171" s="194">
        <f>COUNTIF('242.BQ Phim VOD'!$C$5:$C$8,'KK2. Series'!AM171)</f>
        <v>0</v>
      </c>
      <c r="AQ171" s="194">
        <f>COUNTIF('TK 15666. Phim SX'!$C$6:$C$13,'KK2. Series'!AM171)</f>
        <v>0</v>
      </c>
      <c r="AR171" s="193">
        <f>COUNTIF('TK 15661.Bản quyền phim '!F:F,'KK2. Series'!AM171)</f>
        <v>0</v>
      </c>
      <c r="AS171" s="193">
        <v>1</v>
      </c>
      <c r="AT171" s="197">
        <f t="shared" si="11"/>
        <v>1</v>
      </c>
      <c r="AU171" s="193"/>
      <c r="AV171" s="193"/>
      <c r="AW171" s="193"/>
      <c r="AX171" s="193"/>
      <c r="AY171" s="193"/>
    </row>
    <row r="172" spans="1:51" ht="409.6" x14ac:dyDescent="0.25">
      <c r="A172" s="141">
        <v>166</v>
      </c>
      <c r="B172" s="142" t="s">
        <v>361</v>
      </c>
      <c r="C172" s="167" t="s">
        <v>360</v>
      </c>
      <c r="D172" s="171" t="s">
        <v>359</v>
      </c>
      <c r="E172" s="167" t="s">
        <v>352</v>
      </c>
      <c r="F172" s="171" t="s">
        <v>351</v>
      </c>
      <c r="G172" s="167" t="s">
        <v>133</v>
      </c>
      <c r="H172" s="167">
        <v>2021</v>
      </c>
      <c r="I172" s="167">
        <v>40</v>
      </c>
      <c r="J172" s="167">
        <v>45</v>
      </c>
      <c r="K172" s="502">
        <f t="shared" si="12"/>
        <v>30</v>
      </c>
      <c r="L172" s="499">
        <f t="shared" si="15"/>
        <v>40</v>
      </c>
      <c r="M172" s="167" t="s">
        <v>350</v>
      </c>
      <c r="N172" s="171"/>
      <c r="O172" s="171"/>
      <c r="P172" s="144" t="s">
        <v>349</v>
      </c>
      <c r="Q172" s="171"/>
      <c r="R172" s="171"/>
      <c r="S172" s="171"/>
      <c r="T172" s="167" t="s">
        <v>348</v>
      </c>
      <c r="U172" s="144" t="s">
        <v>18</v>
      </c>
      <c r="V172" s="167" t="s">
        <v>348</v>
      </c>
      <c r="W172" s="167" t="s">
        <v>18</v>
      </c>
      <c r="X172" s="167" t="s">
        <v>18</v>
      </c>
      <c r="Y172" s="167" t="s">
        <v>18</v>
      </c>
      <c r="Z172" s="167" t="s">
        <v>18</v>
      </c>
      <c r="AA172" s="167" t="s">
        <v>18</v>
      </c>
      <c r="AB172" s="167" t="s">
        <v>18</v>
      </c>
      <c r="AC172" s="490">
        <v>45931</v>
      </c>
      <c r="AD172" s="490">
        <v>46660</v>
      </c>
      <c r="AE172" s="171"/>
      <c r="AF172" s="462"/>
      <c r="AG172" s="474"/>
      <c r="AH172" s="475"/>
      <c r="AI172" s="174" t="s">
        <v>18</v>
      </c>
      <c r="AJ172" s="174" t="s">
        <v>18</v>
      </c>
      <c r="AK172" s="462"/>
      <c r="AL172" s="144" t="s">
        <v>17</v>
      </c>
      <c r="AM172" s="193"/>
      <c r="AN172" s="193"/>
      <c r="AO172" s="194">
        <f>SUMIF('TK 15661.Bản quyền phim '!F:F,'KK2. Series'!C172,'TK 15661.Bản quyền phim '!K:K)</f>
        <v>0</v>
      </c>
      <c r="AP172" s="194">
        <f>COUNTIF('242.BQ Phim VOD'!$C$5:$C$8,'KK2. Series'!AM172)</f>
        <v>0</v>
      </c>
      <c r="AQ172" s="194">
        <f>COUNTIF('TK 15666. Phim SX'!$C$6:$C$13,'KK2. Series'!AM172)</f>
        <v>0</v>
      </c>
      <c r="AR172" s="193">
        <f>COUNTIF('TK 15661.Bản quyền phim '!F:F,'KK2. Series'!AM172)</f>
        <v>0</v>
      </c>
      <c r="AS172" s="193">
        <v>1</v>
      </c>
      <c r="AT172" s="197">
        <f t="shared" si="11"/>
        <v>1</v>
      </c>
      <c r="AU172" s="193"/>
      <c r="AV172" s="193"/>
      <c r="AW172" s="193"/>
      <c r="AX172" s="193"/>
      <c r="AY172" s="193"/>
    </row>
    <row r="173" spans="1:51" ht="409.6" x14ac:dyDescent="0.25">
      <c r="A173" s="141">
        <v>167</v>
      </c>
      <c r="B173" s="142" t="s">
        <v>358</v>
      </c>
      <c r="C173" s="167" t="s">
        <v>357</v>
      </c>
      <c r="D173" s="171" t="s">
        <v>356</v>
      </c>
      <c r="E173" s="167" t="s">
        <v>352</v>
      </c>
      <c r="F173" s="171" t="s">
        <v>351</v>
      </c>
      <c r="G173" s="167" t="s">
        <v>178</v>
      </c>
      <c r="H173" s="167">
        <v>2021</v>
      </c>
      <c r="I173" s="167">
        <v>38</v>
      </c>
      <c r="J173" s="167">
        <v>45</v>
      </c>
      <c r="K173" s="502">
        <f t="shared" si="12"/>
        <v>28.5</v>
      </c>
      <c r="L173" s="499">
        <f t="shared" si="15"/>
        <v>38</v>
      </c>
      <c r="M173" s="167" t="s">
        <v>350</v>
      </c>
      <c r="N173" s="171"/>
      <c r="O173" s="171"/>
      <c r="P173" s="144" t="s">
        <v>349</v>
      </c>
      <c r="Q173" s="171"/>
      <c r="R173" s="171"/>
      <c r="S173" s="171"/>
      <c r="T173" s="167" t="s">
        <v>348</v>
      </c>
      <c r="U173" s="144" t="s">
        <v>18</v>
      </c>
      <c r="V173" s="167" t="s">
        <v>348</v>
      </c>
      <c r="W173" s="167" t="s">
        <v>18</v>
      </c>
      <c r="X173" s="167" t="s">
        <v>18</v>
      </c>
      <c r="Y173" s="167" t="s">
        <v>18</v>
      </c>
      <c r="Z173" s="167" t="s">
        <v>18</v>
      </c>
      <c r="AA173" s="167" t="s">
        <v>18</v>
      </c>
      <c r="AB173" s="167" t="s">
        <v>18</v>
      </c>
      <c r="AC173" s="490">
        <v>45979</v>
      </c>
      <c r="AD173" s="490">
        <v>46526</v>
      </c>
      <c r="AE173" s="171"/>
      <c r="AF173" s="462"/>
      <c r="AG173" s="474"/>
      <c r="AH173" s="475"/>
      <c r="AI173" s="174" t="s">
        <v>18</v>
      </c>
      <c r="AJ173" s="174" t="s">
        <v>18</v>
      </c>
      <c r="AK173" s="462"/>
      <c r="AL173" s="144" t="s">
        <v>17</v>
      </c>
      <c r="AM173" s="193"/>
      <c r="AN173" s="193"/>
      <c r="AO173" s="194">
        <f>SUMIF('TK 15661.Bản quyền phim '!F:F,'KK2. Series'!C173,'TK 15661.Bản quyền phim '!K:K)</f>
        <v>0</v>
      </c>
      <c r="AP173" s="194">
        <f>COUNTIF('242.BQ Phim VOD'!$C$5:$C$8,'KK2. Series'!AM173)</f>
        <v>0</v>
      </c>
      <c r="AQ173" s="194">
        <f>COUNTIF('TK 15666. Phim SX'!$C$6:$C$13,'KK2. Series'!AM173)</f>
        <v>0</v>
      </c>
      <c r="AR173" s="193">
        <f>COUNTIF('TK 15661.Bản quyền phim '!F:F,'KK2. Series'!AM173)</f>
        <v>0</v>
      </c>
      <c r="AS173" s="193">
        <v>1</v>
      </c>
      <c r="AT173" s="197">
        <f t="shared" si="11"/>
        <v>1</v>
      </c>
      <c r="AU173" s="193"/>
      <c r="AV173" s="193"/>
      <c r="AW173" s="193"/>
      <c r="AX173" s="193"/>
      <c r="AY173" s="193"/>
    </row>
    <row r="174" spans="1:51" ht="409.6" x14ac:dyDescent="0.25">
      <c r="A174" s="184">
        <v>168</v>
      </c>
      <c r="B174" s="172" t="s">
        <v>355</v>
      </c>
      <c r="C174" s="443" t="s">
        <v>354</v>
      </c>
      <c r="D174" s="174" t="s">
        <v>353</v>
      </c>
      <c r="E174" s="175" t="s">
        <v>352</v>
      </c>
      <c r="F174" s="174" t="s">
        <v>351</v>
      </c>
      <c r="G174" s="175" t="s">
        <v>178</v>
      </c>
      <c r="H174" s="175">
        <v>2022</v>
      </c>
      <c r="I174" s="175">
        <v>40</v>
      </c>
      <c r="J174" s="175">
        <v>45</v>
      </c>
      <c r="K174" s="502">
        <f t="shared" si="12"/>
        <v>30</v>
      </c>
      <c r="L174" s="503">
        <f t="shared" si="15"/>
        <v>40</v>
      </c>
      <c r="M174" s="175" t="s">
        <v>350</v>
      </c>
      <c r="N174" s="174"/>
      <c r="O174" s="174"/>
      <c r="P174" s="181" t="s">
        <v>349</v>
      </c>
      <c r="Q174" s="174"/>
      <c r="R174" s="174"/>
      <c r="S174" s="174"/>
      <c r="T174" s="175" t="s">
        <v>348</v>
      </c>
      <c r="U174" s="181" t="s">
        <v>18</v>
      </c>
      <c r="V174" s="175" t="s">
        <v>348</v>
      </c>
      <c r="W174" s="175" t="s">
        <v>18</v>
      </c>
      <c r="X174" s="175" t="s">
        <v>18</v>
      </c>
      <c r="Y174" s="175" t="s">
        <v>18</v>
      </c>
      <c r="Z174" s="175" t="s">
        <v>18</v>
      </c>
      <c r="AA174" s="175" t="s">
        <v>18</v>
      </c>
      <c r="AB174" s="175" t="s">
        <v>18</v>
      </c>
      <c r="AC174" s="496">
        <v>45985</v>
      </c>
      <c r="AD174" s="496">
        <v>46714</v>
      </c>
      <c r="AE174" s="174"/>
      <c r="AF174" s="478"/>
      <c r="AG174" s="479"/>
      <c r="AH174" s="480"/>
      <c r="AI174" s="174" t="s">
        <v>18</v>
      </c>
      <c r="AJ174" s="174" t="s">
        <v>18</v>
      </c>
      <c r="AK174" s="478"/>
      <c r="AL174" s="181" t="s">
        <v>17</v>
      </c>
      <c r="AM174" s="425"/>
      <c r="AN174" s="425"/>
      <c r="AO174" s="426">
        <f>SUMIF('TK 15661.Bản quyền phim '!F:F,'KK2. Series'!C174,'TK 15661.Bản quyền phim '!K:K)</f>
        <v>0</v>
      </c>
      <c r="AP174" s="426">
        <f>COUNTIF('242.BQ Phim VOD'!$C$5:$C$8,'KK2. Series'!AM174)</f>
        <v>0</v>
      </c>
      <c r="AQ174" s="426">
        <f>COUNTIF('TK 15666. Phim SX'!$C$6:$C$13,'KK2. Series'!AM174)</f>
        <v>0</v>
      </c>
      <c r="AR174" s="425">
        <f>COUNTIF('TK 15661.Bản quyền phim '!F:F,'KK2. Series'!AM174)</f>
        <v>0</v>
      </c>
      <c r="AS174" s="425">
        <v>1</v>
      </c>
      <c r="AT174" s="427">
        <f t="shared" si="11"/>
        <v>1</v>
      </c>
      <c r="AU174" s="425"/>
      <c r="AV174" s="425"/>
      <c r="AW174" s="425"/>
      <c r="AX174" s="425"/>
      <c r="AY174" s="425"/>
    </row>
    <row r="175" spans="1:51" ht="52.8" x14ac:dyDescent="0.25">
      <c r="A175" s="141" t="s">
        <v>3263</v>
      </c>
      <c r="B175" s="142" t="s">
        <v>3044</v>
      </c>
      <c r="C175" s="164" t="s">
        <v>3043</v>
      </c>
      <c r="D175" s="144"/>
      <c r="E175" s="164"/>
      <c r="F175" s="144" t="s">
        <v>2569</v>
      </c>
      <c r="G175" s="164"/>
      <c r="H175" s="164"/>
      <c r="I175" s="164"/>
      <c r="J175" s="164"/>
      <c r="K175" s="459"/>
      <c r="L175" s="504"/>
      <c r="M175" s="164"/>
      <c r="N175" s="144"/>
      <c r="O175" s="144"/>
      <c r="P175" s="144"/>
      <c r="Q175" s="144"/>
      <c r="R175" s="144"/>
      <c r="S175" s="144"/>
      <c r="T175" s="164"/>
      <c r="U175" s="144"/>
      <c r="V175" s="164"/>
      <c r="W175" s="164"/>
      <c r="X175" s="164"/>
      <c r="Y175" s="164"/>
      <c r="Z175" s="164"/>
      <c r="AA175" s="164"/>
      <c r="AB175" s="164"/>
      <c r="AC175" s="468">
        <v>44642</v>
      </c>
      <c r="AD175" s="468">
        <v>46102</v>
      </c>
      <c r="AE175" s="144"/>
      <c r="AF175" s="460"/>
      <c r="AG175" s="461"/>
      <c r="AH175" s="465"/>
      <c r="AI175" s="144"/>
      <c r="AJ175" s="144"/>
      <c r="AK175" s="460"/>
      <c r="AL175" s="144"/>
      <c r="AM175" s="193"/>
      <c r="AN175" s="193"/>
      <c r="AO175" s="194"/>
      <c r="AP175" s="194"/>
      <c r="AQ175" s="194"/>
      <c r="AR175" s="193"/>
      <c r="AS175" s="193"/>
      <c r="AT175" s="197"/>
      <c r="AU175" s="193"/>
      <c r="AV175" s="193"/>
      <c r="AW175" s="193"/>
      <c r="AX175" s="193"/>
      <c r="AY175" s="193"/>
    </row>
    <row r="176" spans="1:51" ht="52.8" x14ac:dyDescent="0.25">
      <c r="A176" s="141" t="s">
        <v>3263</v>
      </c>
      <c r="B176" s="142" t="s">
        <v>2718</v>
      </c>
      <c r="C176" s="164" t="s">
        <v>2717</v>
      </c>
      <c r="D176" s="144"/>
      <c r="E176" s="164"/>
      <c r="F176" s="144" t="s">
        <v>2535</v>
      </c>
      <c r="G176" s="164"/>
      <c r="H176" s="164"/>
      <c r="I176" s="164"/>
      <c r="J176" s="164"/>
      <c r="K176" s="459"/>
      <c r="L176" s="504"/>
      <c r="M176" s="164"/>
      <c r="N176" s="144"/>
      <c r="O176" s="144"/>
      <c r="P176" s="144"/>
      <c r="Q176" s="144"/>
      <c r="R176" s="144"/>
      <c r="S176" s="144"/>
      <c r="T176" s="164"/>
      <c r="U176" s="144"/>
      <c r="V176" s="164"/>
      <c r="W176" s="164"/>
      <c r="X176" s="164"/>
      <c r="Y176" s="164"/>
      <c r="Z176" s="164"/>
      <c r="AA176" s="164"/>
      <c r="AB176" s="164"/>
      <c r="AC176" s="468">
        <v>45614</v>
      </c>
      <c r="AD176" s="468">
        <v>47074</v>
      </c>
      <c r="AE176" s="144"/>
      <c r="AF176" s="460"/>
      <c r="AG176" s="461"/>
      <c r="AH176" s="465"/>
      <c r="AI176" s="144"/>
      <c r="AJ176" s="144"/>
      <c r="AK176" s="460"/>
      <c r="AL176" s="144"/>
      <c r="AM176" s="193"/>
      <c r="AN176" s="193"/>
      <c r="AO176" s="194"/>
      <c r="AP176" s="194"/>
      <c r="AQ176" s="194"/>
      <c r="AR176" s="193"/>
      <c r="AS176" s="193"/>
      <c r="AT176" s="197"/>
      <c r="AU176" s="193"/>
      <c r="AV176" s="193"/>
      <c r="AW176" s="193"/>
      <c r="AX176" s="193"/>
      <c r="AY176" s="193"/>
    </row>
    <row r="177" spans="1:51" ht="26.4" x14ac:dyDescent="0.25">
      <c r="A177" s="141" t="s">
        <v>3263</v>
      </c>
      <c r="B177" s="142" t="s">
        <v>2432</v>
      </c>
      <c r="C177" s="164" t="s">
        <v>2429</v>
      </c>
      <c r="D177" s="144"/>
      <c r="E177" s="164"/>
      <c r="F177" s="144" t="s">
        <v>2430</v>
      </c>
      <c r="G177" s="164"/>
      <c r="H177" s="164"/>
      <c r="I177" s="164"/>
      <c r="J177" s="164"/>
      <c r="K177" s="459"/>
      <c r="L177" s="504"/>
      <c r="M177" s="164"/>
      <c r="N177" s="144"/>
      <c r="O177" s="144"/>
      <c r="P177" s="144"/>
      <c r="Q177" s="144"/>
      <c r="R177" s="144"/>
      <c r="S177" s="144"/>
      <c r="T177" s="164"/>
      <c r="U177" s="144"/>
      <c r="V177" s="164"/>
      <c r="W177" s="164"/>
      <c r="X177" s="164"/>
      <c r="Y177" s="164"/>
      <c r="Z177" s="164"/>
      <c r="AA177" s="164"/>
      <c r="AB177" s="164"/>
      <c r="AC177" s="468">
        <v>45926</v>
      </c>
      <c r="AD177" s="468">
        <v>47751</v>
      </c>
      <c r="AE177" s="144"/>
      <c r="AF177" s="460"/>
      <c r="AG177" s="461"/>
      <c r="AH177" s="465"/>
      <c r="AI177" s="144"/>
      <c r="AJ177" s="144"/>
      <c r="AK177" s="460"/>
      <c r="AL177" s="144"/>
      <c r="AM177" s="193"/>
      <c r="AN177" s="193"/>
      <c r="AO177" s="194"/>
      <c r="AP177" s="194"/>
      <c r="AQ177" s="194"/>
      <c r="AR177" s="193"/>
      <c r="AS177" s="193"/>
      <c r="AT177" s="197"/>
      <c r="AU177" s="193"/>
      <c r="AV177" s="193"/>
      <c r="AW177" s="193"/>
      <c r="AX177" s="193"/>
      <c r="AY177" s="193"/>
    </row>
    <row r="180" spans="1:51" x14ac:dyDescent="0.25">
      <c r="A180" s="318" t="s">
        <v>3262</v>
      </c>
      <c r="B180" s="134"/>
    </row>
    <row r="181" spans="1:51" x14ac:dyDescent="0.25">
      <c r="A181" s="320" t="s">
        <v>3256</v>
      </c>
      <c r="B181" s="134"/>
    </row>
    <row r="182" spans="1:51" ht="26.4" x14ac:dyDescent="0.25">
      <c r="A182" s="321"/>
      <c r="B182" s="317" t="s">
        <v>3258</v>
      </c>
      <c r="C182" s="528" t="s">
        <v>3257</v>
      </c>
      <c r="D182" s="528" t="s">
        <v>3259</v>
      </c>
      <c r="E182" s="528" t="s">
        <v>3260</v>
      </c>
    </row>
    <row r="183" spans="1:51" ht="26.4" x14ac:dyDescent="0.25">
      <c r="A183" s="314"/>
      <c r="B183" s="272" t="s">
        <v>3261</v>
      </c>
      <c r="C183" s="367" t="s">
        <v>3261</v>
      </c>
      <c r="D183" s="367" t="s">
        <v>3261</v>
      </c>
      <c r="E183" s="367" t="s">
        <v>3261</v>
      </c>
    </row>
  </sheetData>
  <autoFilter ref="A6:AT178" xr:uid="{69538215-8025-4EB8-91CA-1FD87461C9BC}"/>
  <mergeCells count="10">
    <mergeCell ref="AO1:AS1"/>
    <mergeCell ref="AO2:AS2"/>
    <mergeCell ref="A3:AS3"/>
    <mergeCell ref="A4:AS4"/>
    <mergeCell ref="AU1:AY1"/>
    <mergeCell ref="AU2:AY2"/>
    <mergeCell ref="AT4:AT5"/>
    <mergeCell ref="AU5:AW5"/>
    <mergeCell ref="AX5:AX6"/>
    <mergeCell ref="AY5:AY6"/>
  </mergeCells>
  <conditionalFormatting sqref="C5:C177">
    <cfRule type="duplicateValues" dxfId="49" priority="94"/>
  </conditionalFormatting>
  <conditionalFormatting sqref="C134:C177 C5:C131">
    <cfRule type="duplicateValues" dxfId="48" priority="8"/>
  </conditionalFormatting>
  <conditionalFormatting sqref="AM10">
    <cfRule type="duplicateValues" dxfId="47" priority="6"/>
  </conditionalFormatting>
  <conditionalFormatting sqref="AM12">
    <cfRule type="duplicateValues" dxfId="46" priority="5"/>
  </conditionalFormatting>
  <conditionalFormatting sqref="AM15">
    <cfRule type="duplicateValues" dxfId="45" priority="4"/>
  </conditionalFormatting>
  <conditionalFormatting sqref="AM17">
    <cfRule type="duplicateValues" dxfId="44" priority="3"/>
  </conditionalFormatting>
  <conditionalFormatting sqref="AM19:AM20">
    <cfRule type="duplicateValues" dxfId="43" priority="2"/>
  </conditionalFormatting>
  <conditionalFormatting sqref="AM87">
    <cfRule type="duplicateValues" dxfId="42" priority="1"/>
  </conditionalFormatting>
  <pageMargins left="0.7" right="0.7" top="0.75" bottom="0.75" header="0.3" footer="0.3"/>
  <headerFooter>
    <oddFooter>&amp;L_x000D_&amp;1#&amp;"Aptos"&amp;10&amp;K000000 C0 - This document or email is owned by Canal+ Group.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454E-4802-47A3-A88B-64F5A1B0603C}">
  <sheetPr codeName="Sheet5">
    <tabColor rgb="FF92D050"/>
  </sheetPr>
  <dimension ref="A1:AS65"/>
  <sheetViews>
    <sheetView zoomScale="55" zoomScaleNormal="55" workbookViewId="0">
      <pane xSplit="4" ySplit="6" topLeftCell="W7" activePane="bottomRight" state="frozen"/>
      <selection pane="topRight" activeCell="E1" sqref="E1"/>
      <selection pane="bottomLeft" activeCell="A6" sqref="A6"/>
      <selection pane="bottomRight" activeCell="C11" sqref="C11"/>
    </sheetView>
  </sheetViews>
  <sheetFormatPr defaultColWidth="8.77734375" defaultRowHeight="13.2" x14ac:dyDescent="0.3"/>
  <cols>
    <col min="1" max="1" width="12.33203125" style="296" bestFit="1" customWidth="1"/>
    <col min="2" max="2" width="42.109375" style="367" customWidth="1"/>
    <col min="3" max="3" width="26" style="296" customWidth="1"/>
    <col min="4" max="4" width="22.21875" style="296" customWidth="1"/>
    <col min="5" max="5" width="15.44140625" style="296" customWidth="1"/>
    <col min="6" max="6" width="24.77734375" style="296" customWidth="1"/>
    <col min="7" max="7" width="19.77734375" style="296" customWidth="1"/>
    <col min="8" max="8" width="11.5546875" style="296" bestFit="1" customWidth="1"/>
    <col min="9" max="12" width="0" style="296" hidden="1" customWidth="1"/>
    <col min="13" max="15" width="14" style="296" customWidth="1"/>
    <col min="16" max="16" width="11.21875" style="296" customWidth="1"/>
    <col min="17" max="17" width="12.77734375" style="296" customWidth="1"/>
    <col min="18" max="24" width="8.77734375" style="296"/>
    <col min="25" max="25" width="17.77734375" style="296" customWidth="1"/>
    <col min="26" max="26" width="19.21875" style="296" customWidth="1"/>
    <col min="27" max="30" width="8.77734375" style="296"/>
    <col min="31" max="31" width="23.77734375" style="296" hidden="1" customWidth="1"/>
    <col min="32" max="32" width="22.109375" style="296" hidden="1" customWidth="1"/>
    <col min="33" max="33" width="0" style="296" hidden="1" customWidth="1"/>
    <col min="34" max="34" width="11.33203125" style="296" hidden="1" customWidth="1"/>
    <col min="35" max="35" width="21" style="296" hidden="1" customWidth="1"/>
    <col min="36" max="36" width="0" style="296" hidden="1" customWidth="1"/>
    <col min="37" max="37" width="8.77734375" style="296"/>
    <col min="38" max="39" width="12.5546875" style="296" customWidth="1"/>
    <col min="40" max="40" width="29.21875" style="296" customWidth="1"/>
    <col min="41" max="41" width="26.77734375" style="296" customWidth="1"/>
    <col min="42" max="16384" width="8.77734375" style="296"/>
  </cols>
  <sheetData>
    <row r="1" spans="1:45" ht="26.4" x14ac:dyDescent="0.25">
      <c r="A1" s="270" t="s">
        <v>3243</v>
      </c>
      <c r="B1" s="317" t="s">
        <v>3244</v>
      </c>
      <c r="AK1" s="538" t="s">
        <v>3245</v>
      </c>
      <c r="AL1" s="538"/>
      <c r="AM1" s="538"/>
      <c r="AN1" s="538"/>
      <c r="AO1" s="538"/>
    </row>
    <row r="2" spans="1:45" x14ac:dyDescent="0.25">
      <c r="AK2" s="539" t="s">
        <v>3246</v>
      </c>
      <c r="AL2" s="539"/>
      <c r="AM2" s="539"/>
      <c r="AN2" s="539"/>
      <c r="AO2" s="539"/>
    </row>
    <row r="3" spans="1:45" x14ac:dyDescent="0.3">
      <c r="A3" s="540" t="s">
        <v>3253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/>
      <c r="AD3" s="540"/>
      <c r="AE3" s="540"/>
      <c r="AF3" s="540"/>
      <c r="AG3" s="540"/>
      <c r="AH3" s="540"/>
      <c r="AI3" s="540"/>
      <c r="AJ3" s="540"/>
      <c r="AK3" s="540"/>
      <c r="AL3" s="540"/>
      <c r="AM3" s="540"/>
      <c r="AN3" s="540"/>
      <c r="AO3" s="540"/>
      <c r="AP3" s="271"/>
      <c r="AQ3" s="271"/>
      <c r="AR3" s="271"/>
      <c r="AS3" s="271"/>
    </row>
    <row r="4" spans="1:45" x14ac:dyDescent="0.3">
      <c r="A4" s="540" t="s">
        <v>3247</v>
      </c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0"/>
      <c r="AG4" s="540"/>
      <c r="AH4" s="540"/>
      <c r="AI4" s="540"/>
      <c r="AJ4" s="540"/>
      <c r="AK4" s="540"/>
      <c r="AL4" s="540"/>
      <c r="AM4" s="540"/>
      <c r="AN4" s="540"/>
      <c r="AO4" s="540"/>
      <c r="AP4" s="271"/>
      <c r="AQ4" s="271"/>
      <c r="AR4" s="271"/>
      <c r="AS4" s="271"/>
    </row>
    <row r="5" spans="1:45" x14ac:dyDescent="0.25">
      <c r="A5" s="129"/>
      <c r="B5" s="131"/>
      <c r="C5" s="368"/>
      <c r="D5" s="130"/>
      <c r="E5" s="369"/>
      <c r="F5" s="129"/>
      <c r="G5" s="129"/>
      <c r="H5" s="130"/>
      <c r="I5" s="132"/>
      <c r="J5" s="129"/>
      <c r="K5" s="129"/>
      <c r="L5" s="129"/>
      <c r="M5" s="129"/>
      <c r="N5" s="129"/>
      <c r="O5" s="133"/>
      <c r="P5" s="132"/>
      <c r="Q5" s="129"/>
      <c r="R5" s="132"/>
      <c r="S5" s="132"/>
      <c r="T5" s="132"/>
      <c r="U5" s="132"/>
      <c r="V5" s="132"/>
      <c r="W5" s="132"/>
      <c r="X5" s="132"/>
      <c r="Y5" s="132"/>
      <c r="Z5" s="370"/>
      <c r="AA5" s="371"/>
      <c r="AB5" s="553" t="s">
        <v>86</v>
      </c>
      <c r="AC5" s="553"/>
      <c r="AD5" s="553"/>
      <c r="AE5" s="372"/>
      <c r="AF5" s="554" t="s">
        <v>3218</v>
      </c>
      <c r="AG5" s="554"/>
      <c r="AH5" s="554"/>
      <c r="AI5" s="554"/>
      <c r="AJ5" s="295"/>
      <c r="AK5" s="541" t="s">
        <v>3248</v>
      </c>
      <c r="AL5" s="541"/>
      <c r="AM5" s="541"/>
      <c r="AN5" s="542" t="s">
        <v>3249</v>
      </c>
      <c r="AO5" s="542" t="s">
        <v>3250</v>
      </c>
    </row>
    <row r="6" spans="1:45" ht="44.1" customHeight="1" x14ac:dyDescent="0.3">
      <c r="A6" s="135" t="s">
        <v>347</v>
      </c>
      <c r="B6" s="136" t="s">
        <v>346</v>
      </c>
      <c r="C6" s="135" t="s">
        <v>84</v>
      </c>
      <c r="D6" s="135" t="s">
        <v>83</v>
      </c>
      <c r="E6" s="135" t="s">
        <v>345</v>
      </c>
      <c r="F6" s="135" t="s">
        <v>82</v>
      </c>
      <c r="G6" s="135" t="s">
        <v>344</v>
      </c>
      <c r="H6" s="136" t="s">
        <v>81</v>
      </c>
      <c r="I6" s="135" t="s">
        <v>80</v>
      </c>
      <c r="J6" s="135" t="s">
        <v>79</v>
      </c>
      <c r="K6" s="135" t="s">
        <v>78</v>
      </c>
      <c r="L6" s="135" t="s">
        <v>343</v>
      </c>
      <c r="M6" s="373" t="s">
        <v>342</v>
      </c>
      <c r="N6" s="373" t="s">
        <v>341</v>
      </c>
      <c r="O6" s="135" t="s">
        <v>340</v>
      </c>
      <c r="P6" s="135" t="s">
        <v>339</v>
      </c>
      <c r="Q6" s="135" t="s">
        <v>338</v>
      </c>
      <c r="R6" s="135" t="s">
        <v>76</v>
      </c>
      <c r="S6" s="135" t="s">
        <v>337</v>
      </c>
      <c r="T6" s="135" t="s">
        <v>336</v>
      </c>
      <c r="U6" s="138" t="s">
        <v>75</v>
      </c>
      <c r="V6" s="138" t="s">
        <v>74</v>
      </c>
      <c r="W6" s="138" t="s">
        <v>73</v>
      </c>
      <c r="X6" s="138" t="s">
        <v>72</v>
      </c>
      <c r="Y6" s="374" t="s">
        <v>335</v>
      </c>
      <c r="Z6" s="135" t="s">
        <v>334</v>
      </c>
      <c r="AA6" s="375" t="s">
        <v>333</v>
      </c>
      <c r="AB6" s="138" t="s">
        <v>67</v>
      </c>
      <c r="AC6" s="138" t="s">
        <v>66</v>
      </c>
      <c r="AD6" s="138" t="s">
        <v>332</v>
      </c>
      <c r="AE6" s="138" t="s">
        <v>64</v>
      </c>
      <c r="AF6" s="290" t="s">
        <v>331</v>
      </c>
      <c r="AG6" s="295" t="s">
        <v>330</v>
      </c>
      <c r="AH6" s="195" t="s">
        <v>329</v>
      </c>
      <c r="AI6" s="290" t="s">
        <v>3212</v>
      </c>
      <c r="AJ6" s="295"/>
      <c r="AK6" s="291" t="s">
        <v>3208</v>
      </c>
      <c r="AL6" s="291" t="s">
        <v>69</v>
      </c>
      <c r="AM6" s="291" t="s">
        <v>68</v>
      </c>
      <c r="AN6" s="542"/>
      <c r="AO6" s="542"/>
    </row>
    <row r="7" spans="1:45" ht="45.75" customHeight="1" x14ac:dyDescent="0.3">
      <c r="A7" s="376">
        <v>1</v>
      </c>
      <c r="B7" s="377" t="s">
        <v>3264</v>
      </c>
      <c r="C7" s="378" t="s">
        <v>328</v>
      </c>
      <c r="D7" s="379" t="s">
        <v>323</v>
      </c>
      <c r="E7" s="380" t="s">
        <v>136</v>
      </c>
      <c r="F7" s="381" t="s">
        <v>322</v>
      </c>
      <c r="G7" s="379" t="s">
        <v>321</v>
      </c>
      <c r="H7" s="382" t="s">
        <v>320</v>
      </c>
      <c r="I7" s="383">
        <v>2009</v>
      </c>
      <c r="J7" s="383">
        <v>26</v>
      </c>
      <c r="K7" s="383">
        <v>7</v>
      </c>
      <c r="L7" s="383">
        <v>3.0333333333333332</v>
      </c>
      <c r="M7" s="384">
        <v>44501</v>
      </c>
      <c r="N7" s="384">
        <v>46143</v>
      </c>
      <c r="O7" s="385">
        <v>44604</v>
      </c>
      <c r="P7" s="386" t="s">
        <v>132</v>
      </c>
      <c r="Q7" s="387">
        <v>0</v>
      </c>
      <c r="R7" s="380" t="s">
        <v>20</v>
      </c>
      <c r="S7" s="380" t="s">
        <v>18</v>
      </c>
      <c r="T7" s="380" t="s">
        <v>18</v>
      </c>
      <c r="U7" s="380" t="s">
        <v>18</v>
      </c>
      <c r="V7" s="380" t="s">
        <v>319</v>
      </c>
      <c r="W7" s="380" t="s">
        <v>319</v>
      </c>
      <c r="X7" s="380" t="s">
        <v>319</v>
      </c>
      <c r="Y7" s="380" t="s">
        <v>20</v>
      </c>
      <c r="Z7" s="380" t="s">
        <v>129</v>
      </c>
      <c r="AA7" s="388" t="s">
        <v>129</v>
      </c>
      <c r="AB7" s="381" t="s">
        <v>18</v>
      </c>
      <c r="AC7" s="381" t="s">
        <v>18</v>
      </c>
      <c r="AD7" s="379"/>
      <c r="AE7" s="379" t="s">
        <v>17</v>
      </c>
      <c r="AF7" s="389" t="s">
        <v>327</v>
      </c>
      <c r="AG7" s="295"/>
      <c r="AH7" s="195">
        <f>SUMIF('TK 15661.Bản quyền phim '!F:F,'KK3. Kids'!C7,'TK 15661.Bản quyền phim '!X:X)</f>
        <v>0</v>
      </c>
      <c r="AI7" s="295">
        <f>COUNTIF('TK 15661.Bản quyền phim '!F:F,'KK3. Kids'!AF7)</f>
        <v>1</v>
      </c>
      <c r="AJ7" s="295"/>
      <c r="AK7" s="295"/>
      <c r="AL7" s="295"/>
      <c r="AM7" s="295"/>
      <c r="AN7" s="295"/>
      <c r="AO7" s="295"/>
    </row>
    <row r="8" spans="1:45" ht="67.5" customHeight="1" x14ac:dyDescent="0.3">
      <c r="A8" s="376">
        <v>2</v>
      </c>
      <c r="B8" s="377" t="s">
        <v>3265</v>
      </c>
      <c r="C8" s="378" t="s">
        <v>326</v>
      </c>
      <c r="D8" s="379" t="s">
        <v>323</v>
      </c>
      <c r="E8" s="380" t="s">
        <v>136</v>
      </c>
      <c r="F8" s="381" t="s">
        <v>322</v>
      </c>
      <c r="G8" s="379" t="s">
        <v>321</v>
      </c>
      <c r="H8" s="382" t="s">
        <v>320</v>
      </c>
      <c r="I8" s="383">
        <v>2012</v>
      </c>
      <c r="J8" s="383">
        <v>26</v>
      </c>
      <c r="K8" s="383">
        <v>7</v>
      </c>
      <c r="L8" s="383">
        <v>3.0333333333333332</v>
      </c>
      <c r="M8" s="384">
        <v>44501</v>
      </c>
      <c r="N8" s="384">
        <v>46143</v>
      </c>
      <c r="O8" s="385">
        <v>44598</v>
      </c>
      <c r="P8" s="386" t="s">
        <v>132</v>
      </c>
      <c r="Q8" s="387">
        <v>0</v>
      </c>
      <c r="R8" s="380" t="s">
        <v>20</v>
      </c>
      <c r="S8" s="380" t="s">
        <v>18</v>
      </c>
      <c r="T8" s="380" t="s">
        <v>18</v>
      </c>
      <c r="U8" s="380" t="s">
        <v>18</v>
      </c>
      <c r="V8" s="380" t="s">
        <v>319</v>
      </c>
      <c r="W8" s="380" t="s">
        <v>319</v>
      </c>
      <c r="X8" s="380" t="s">
        <v>319</v>
      </c>
      <c r="Y8" s="380" t="s">
        <v>20</v>
      </c>
      <c r="Z8" s="380" t="s">
        <v>129</v>
      </c>
      <c r="AA8" s="388" t="s">
        <v>129</v>
      </c>
      <c r="AB8" s="381" t="s">
        <v>18</v>
      </c>
      <c r="AC8" s="381" t="s">
        <v>18</v>
      </c>
      <c r="AD8" s="379"/>
      <c r="AE8" s="379" t="s">
        <v>17</v>
      </c>
      <c r="AF8" s="389" t="s">
        <v>325</v>
      </c>
      <c r="AG8" s="295"/>
      <c r="AH8" s="195">
        <f>SUMIF('TK 15661.Bản quyền phim '!F:F,'KK3. Kids'!C8,'TK 15661.Bản quyền phim '!X:X)</f>
        <v>0</v>
      </c>
      <c r="AI8" s="295">
        <f>COUNTIF('TK 15661.Bản quyền phim '!F:F,'KK3. Kids'!AF8)</f>
        <v>1</v>
      </c>
      <c r="AJ8" s="295"/>
      <c r="AK8" s="295"/>
      <c r="AL8" s="295"/>
      <c r="AM8" s="295"/>
      <c r="AN8" s="295"/>
      <c r="AO8" s="295"/>
    </row>
    <row r="9" spans="1:45" ht="55.5" customHeight="1" x14ac:dyDescent="0.3">
      <c r="A9" s="376">
        <v>3</v>
      </c>
      <c r="B9" s="377" t="s">
        <v>3266</v>
      </c>
      <c r="C9" s="378" t="s">
        <v>324</v>
      </c>
      <c r="D9" s="379" t="s">
        <v>323</v>
      </c>
      <c r="E9" s="380" t="s">
        <v>136</v>
      </c>
      <c r="F9" s="381" t="s">
        <v>322</v>
      </c>
      <c r="G9" s="379" t="s">
        <v>321</v>
      </c>
      <c r="H9" s="382" t="s">
        <v>320</v>
      </c>
      <c r="I9" s="383">
        <v>2015</v>
      </c>
      <c r="J9" s="383">
        <v>26</v>
      </c>
      <c r="K9" s="383">
        <v>7</v>
      </c>
      <c r="L9" s="383">
        <v>3.0333333333333332</v>
      </c>
      <c r="M9" s="384">
        <v>44501</v>
      </c>
      <c r="N9" s="384">
        <v>46143</v>
      </c>
      <c r="O9" s="385">
        <v>44595</v>
      </c>
      <c r="P9" s="386" t="s">
        <v>132</v>
      </c>
      <c r="Q9" s="387">
        <v>0</v>
      </c>
      <c r="R9" s="380" t="s">
        <v>20</v>
      </c>
      <c r="S9" s="380" t="s">
        <v>18</v>
      </c>
      <c r="T9" s="380" t="s">
        <v>18</v>
      </c>
      <c r="U9" s="380" t="s">
        <v>18</v>
      </c>
      <c r="V9" s="380" t="s">
        <v>319</v>
      </c>
      <c r="W9" s="380" t="s">
        <v>319</v>
      </c>
      <c r="X9" s="380" t="s">
        <v>319</v>
      </c>
      <c r="Y9" s="380" t="s">
        <v>20</v>
      </c>
      <c r="Z9" s="380" t="s">
        <v>129</v>
      </c>
      <c r="AA9" s="388" t="s">
        <v>129</v>
      </c>
      <c r="AB9" s="381" t="s">
        <v>18</v>
      </c>
      <c r="AC9" s="381" t="s">
        <v>18</v>
      </c>
      <c r="AD9" s="379"/>
      <c r="AE9" s="379" t="s">
        <v>17</v>
      </c>
      <c r="AF9" s="389" t="s">
        <v>318</v>
      </c>
      <c r="AG9" s="295"/>
      <c r="AH9" s="195">
        <f>SUMIF('TK 15661.Bản quyền phim '!F:F,'KK3. Kids'!C9,'TK 15661.Bản quyền phim '!X:X)</f>
        <v>0</v>
      </c>
      <c r="AI9" s="295">
        <f>COUNTIF('TK 15661.Bản quyền phim '!F:F,'KK3. Kids'!AF9)</f>
        <v>1</v>
      </c>
      <c r="AJ9" s="295"/>
      <c r="AK9" s="295"/>
      <c r="AL9" s="295"/>
      <c r="AM9" s="295"/>
      <c r="AN9" s="295"/>
      <c r="AO9" s="295"/>
    </row>
    <row r="10" spans="1:45" ht="56.25" customHeight="1" x14ac:dyDescent="0.3">
      <c r="A10" s="376">
        <v>4</v>
      </c>
      <c r="B10" s="390" t="s">
        <v>3267</v>
      </c>
      <c r="C10" s="378" t="s">
        <v>317</v>
      </c>
      <c r="D10" s="379" t="s">
        <v>316</v>
      </c>
      <c r="E10" s="380" t="s">
        <v>299</v>
      </c>
      <c r="F10" s="380" t="s">
        <v>308</v>
      </c>
      <c r="G10" s="379" t="s">
        <v>307</v>
      </c>
      <c r="H10" s="378" t="s">
        <v>306</v>
      </c>
      <c r="I10" s="383">
        <v>2012</v>
      </c>
      <c r="J10" s="383">
        <v>80</v>
      </c>
      <c r="K10" s="383">
        <v>11</v>
      </c>
      <c r="L10" s="383">
        <v>14.666666666666666</v>
      </c>
      <c r="M10" s="391">
        <v>44760</v>
      </c>
      <c r="N10" s="391">
        <v>46220</v>
      </c>
      <c r="O10" s="385">
        <v>44767</v>
      </c>
      <c r="P10" s="386" t="s">
        <v>132</v>
      </c>
      <c r="Q10" s="380" t="s">
        <v>305</v>
      </c>
      <c r="R10" s="380" t="s">
        <v>20</v>
      </c>
      <c r="S10" s="380" t="s">
        <v>18</v>
      </c>
      <c r="T10" s="380" t="s">
        <v>18</v>
      </c>
      <c r="U10" s="380" t="s">
        <v>18</v>
      </c>
      <c r="V10" s="380" t="s">
        <v>18</v>
      </c>
      <c r="W10" s="380" t="s">
        <v>18</v>
      </c>
      <c r="X10" s="380" t="s">
        <v>18</v>
      </c>
      <c r="Y10" s="392" t="s">
        <v>20</v>
      </c>
      <c r="Z10" s="380" t="s">
        <v>129</v>
      </c>
      <c r="AA10" s="388" t="s">
        <v>129</v>
      </c>
      <c r="AB10" s="381" t="s">
        <v>18</v>
      </c>
      <c r="AC10" s="381" t="s">
        <v>18</v>
      </c>
      <c r="AD10" s="379"/>
      <c r="AE10" s="379" t="s">
        <v>17</v>
      </c>
      <c r="AF10" s="295" t="s">
        <v>315</v>
      </c>
      <c r="AG10" s="295"/>
      <c r="AH10" s="195">
        <f>SUMIF('TK 15661.Bản quyền phim '!F:F,'KK3. Kids'!C10,'TK 15661.Bản quyền phim '!X:X)</f>
        <v>0</v>
      </c>
      <c r="AI10" s="295">
        <f>COUNTIF('TK 15661.Bản quyền phim '!F:F,'KK3. Kids'!AF10)</f>
        <v>1</v>
      </c>
      <c r="AJ10" s="295"/>
      <c r="AK10" s="295"/>
      <c r="AL10" s="295"/>
      <c r="AM10" s="295"/>
      <c r="AN10" s="295"/>
      <c r="AO10" s="295"/>
    </row>
    <row r="11" spans="1:45" ht="41.25" customHeight="1" x14ac:dyDescent="0.3">
      <c r="A11" s="376">
        <v>5</v>
      </c>
      <c r="B11" s="377" t="s">
        <v>3268</v>
      </c>
      <c r="C11" s="378" t="s">
        <v>313</v>
      </c>
      <c r="D11" s="379" t="s">
        <v>314</v>
      </c>
      <c r="E11" s="380" t="s">
        <v>299</v>
      </c>
      <c r="F11" s="380" t="s">
        <v>308</v>
      </c>
      <c r="G11" s="379" t="s">
        <v>307</v>
      </c>
      <c r="H11" s="378" t="s">
        <v>306</v>
      </c>
      <c r="I11" s="383">
        <v>2011</v>
      </c>
      <c r="J11" s="383">
        <v>40</v>
      </c>
      <c r="K11" s="383">
        <v>22</v>
      </c>
      <c r="L11" s="383">
        <v>14.666666666666666</v>
      </c>
      <c r="M11" s="391">
        <v>44849</v>
      </c>
      <c r="N11" s="391">
        <v>46309</v>
      </c>
      <c r="O11" s="385">
        <v>44858</v>
      </c>
      <c r="P11" s="386" t="s">
        <v>132</v>
      </c>
      <c r="Q11" s="380" t="s">
        <v>305</v>
      </c>
      <c r="R11" s="380" t="s">
        <v>20</v>
      </c>
      <c r="S11" s="380" t="s">
        <v>18</v>
      </c>
      <c r="T11" s="380" t="s">
        <v>18</v>
      </c>
      <c r="U11" s="380" t="s">
        <v>18</v>
      </c>
      <c r="V11" s="380" t="s">
        <v>18</v>
      </c>
      <c r="W11" s="380" t="s">
        <v>18</v>
      </c>
      <c r="X11" s="380" t="s">
        <v>18</v>
      </c>
      <c r="Y11" s="392" t="s">
        <v>20</v>
      </c>
      <c r="Z11" s="380" t="s">
        <v>129</v>
      </c>
      <c r="AA11" s="388" t="s">
        <v>129</v>
      </c>
      <c r="AB11" s="381" t="s">
        <v>18</v>
      </c>
      <c r="AC11" s="381" t="s">
        <v>18</v>
      </c>
      <c r="AD11" s="379"/>
      <c r="AE11" s="379" t="s">
        <v>17</v>
      </c>
      <c r="AF11" s="393" t="s">
        <v>313</v>
      </c>
      <c r="AG11" s="295"/>
      <c r="AH11" s="195">
        <f>SUMIF('TK 15661.Bản quyền phim '!F:F,'KK3. Kids'!C11,'TK 15661.Bản quyền phim '!X:X)</f>
        <v>63180000</v>
      </c>
      <c r="AI11" s="295">
        <f>COUNTIF('TK 15661.Bản quyền phim '!F:F,'KK3. Kids'!AF11)</f>
        <v>1</v>
      </c>
      <c r="AJ11" s="295"/>
      <c r="AK11" s="295"/>
      <c r="AL11" s="295"/>
      <c r="AM11" s="295"/>
      <c r="AN11" s="295"/>
      <c r="AO11" s="295"/>
    </row>
    <row r="12" spans="1:45" ht="39.75" customHeight="1" x14ac:dyDescent="0.3">
      <c r="A12" s="376">
        <v>6</v>
      </c>
      <c r="B12" s="377" t="s">
        <v>3269</v>
      </c>
      <c r="C12" s="378" t="s">
        <v>312</v>
      </c>
      <c r="D12" s="379" t="s">
        <v>309</v>
      </c>
      <c r="E12" s="380" t="s">
        <v>299</v>
      </c>
      <c r="F12" s="380" t="s">
        <v>308</v>
      </c>
      <c r="G12" s="379" t="s">
        <v>307</v>
      </c>
      <c r="H12" s="378" t="s">
        <v>306</v>
      </c>
      <c r="I12" s="383">
        <v>2013</v>
      </c>
      <c r="J12" s="383">
        <v>80</v>
      </c>
      <c r="K12" s="383">
        <v>11</v>
      </c>
      <c r="L12" s="383">
        <v>14.666666666666666</v>
      </c>
      <c r="M12" s="391">
        <v>44784</v>
      </c>
      <c r="N12" s="391">
        <v>46244</v>
      </c>
      <c r="O12" s="385">
        <v>44793</v>
      </c>
      <c r="P12" s="386" t="s">
        <v>132</v>
      </c>
      <c r="Q12" s="380" t="s">
        <v>305</v>
      </c>
      <c r="R12" s="380" t="s">
        <v>20</v>
      </c>
      <c r="S12" s="380" t="s">
        <v>18</v>
      </c>
      <c r="T12" s="380" t="s">
        <v>18</v>
      </c>
      <c r="U12" s="380" t="s">
        <v>18</v>
      </c>
      <c r="V12" s="380" t="s">
        <v>18</v>
      </c>
      <c r="W12" s="380" t="s">
        <v>18</v>
      </c>
      <c r="X12" s="380" t="s">
        <v>18</v>
      </c>
      <c r="Y12" s="392" t="s">
        <v>20</v>
      </c>
      <c r="Z12" s="380" t="s">
        <v>129</v>
      </c>
      <c r="AA12" s="388" t="s">
        <v>129</v>
      </c>
      <c r="AB12" s="381" t="s">
        <v>18</v>
      </c>
      <c r="AC12" s="381" t="s">
        <v>18</v>
      </c>
      <c r="AD12" s="379"/>
      <c r="AE12" s="379" t="s">
        <v>17</v>
      </c>
      <c r="AF12" s="295" t="s">
        <v>311</v>
      </c>
      <c r="AG12" s="295"/>
      <c r="AH12" s="195">
        <f>SUMIF('TK 15661.Bản quyền phim '!F:F,'KK3. Kids'!C12,'TK 15661.Bản quyền phim '!X:X)</f>
        <v>0</v>
      </c>
      <c r="AI12" s="295">
        <f>COUNTIF('TK 15661.Bản quyền phim '!F:F,'KK3. Kids'!AF12)</f>
        <v>1</v>
      </c>
      <c r="AJ12" s="295"/>
      <c r="AK12" s="295"/>
      <c r="AL12" s="295"/>
      <c r="AM12" s="295"/>
      <c r="AN12" s="295"/>
      <c r="AO12" s="295"/>
    </row>
    <row r="13" spans="1:45" ht="49.5" customHeight="1" x14ac:dyDescent="0.3">
      <c r="A13" s="376">
        <v>7</v>
      </c>
      <c r="B13" s="377" t="s">
        <v>3270</v>
      </c>
      <c r="C13" s="378" t="s">
        <v>310</v>
      </c>
      <c r="D13" s="379" t="s">
        <v>309</v>
      </c>
      <c r="E13" s="380" t="s">
        <v>299</v>
      </c>
      <c r="F13" s="380" t="s">
        <v>308</v>
      </c>
      <c r="G13" s="379" t="s">
        <v>307</v>
      </c>
      <c r="H13" s="378" t="s">
        <v>306</v>
      </c>
      <c r="I13" s="383">
        <v>2016</v>
      </c>
      <c r="J13" s="383">
        <v>50</v>
      </c>
      <c r="K13" s="383">
        <v>11</v>
      </c>
      <c r="L13" s="383">
        <v>9.1666666666666661</v>
      </c>
      <c r="M13" s="391">
        <v>44824</v>
      </c>
      <c r="N13" s="391">
        <v>46284</v>
      </c>
      <c r="O13" s="385">
        <v>44833</v>
      </c>
      <c r="P13" s="386" t="s">
        <v>132</v>
      </c>
      <c r="Q13" s="380" t="s">
        <v>305</v>
      </c>
      <c r="R13" s="380" t="s">
        <v>20</v>
      </c>
      <c r="S13" s="380" t="s">
        <v>18</v>
      </c>
      <c r="T13" s="380" t="s">
        <v>18</v>
      </c>
      <c r="U13" s="380" t="s">
        <v>18</v>
      </c>
      <c r="V13" s="380" t="s">
        <v>18</v>
      </c>
      <c r="W13" s="380" t="s">
        <v>18</v>
      </c>
      <c r="X13" s="380" t="s">
        <v>18</v>
      </c>
      <c r="Y13" s="392" t="s">
        <v>20</v>
      </c>
      <c r="Z13" s="380" t="s">
        <v>129</v>
      </c>
      <c r="AA13" s="388" t="s">
        <v>129</v>
      </c>
      <c r="AB13" s="381" t="s">
        <v>18</v>
      </c>
      <c r="AC13" s="381" t="s">
        <v>18</v>
      </c>
      <c r="AD13" s="379"/>
      <c r="AE13" s="379" t="s">
        <v>17</v>
      </c>
      <c r="AF13" s="295" t="s">
        <v>304</v>
      </c>
      <c r="AG13" s="295"/>
      <c r="AH13" s="195">
        <f>SUMIF('TK 15661.Bản quyền phim '!F:F,'KK3. Kids'!C13,'TK 15661.Bản quyền phim '!X:X)</f>
        <v>0</v>
      </c>
      <c r="AI13" s="295">
        <f>COUNTIF('TK 15661.Bản quyền phim '!F:F,'KK3. Kids'!AF13)</f>
        <v>1</v>
      </c>
      <c r="AJ13" s="295"/>
      <c r="AK13" s="295"/>
      <c r="AL13" s="295"/>
      <c r="AM13" s="295"/>
      <c r="AN13" s="295"/>
      <c r="AO13" s="295"/>
    </row>
    <row r="14" spans="1:45" ht="47.25" customHeight="1" x14ac:dyDescent="0.3">
      <c r="A14" s="376">
        <v>8</v>
      </c>
      <c r="B14" s="377" t="s">
        <v>3271</v>
      </c>
      <c r="C14" s="378" t="s">
        <v>303</v>
      </c>
      <c r="D14" s="382" t="s">
        <v>300</v>
      </c>
      <c r="E14" s="394" t="s">
        <v>299</v>
      </c>
      <c r="F14" s="380" t="s">
        <v>298</v>
      </c>
      <c r="G14" s="379" t="s">
        <v>297</v>
      </c>
      <c r="H14" s="378" t="s">
        <v>133</v>
      </c>
      <c r="I14" s="376">
        <v>2014</v>
      </c>
      <c r="J14" s="383">
        <v>26</v>
      </c>
      <c r="K14" s="383">
        <v>11</v>
      </c>
      <c r="L14" s="383">
        <v>4.7666666666666666</v>
      </c>
      <c r="M14" s="395">
        <v>44936</v>
      </c>
      <c r="N14" s="395">
        <v>46031</v>
      </c>
      <c r="O14" s="385">
        <v>44936</v>
      </c>
      <c r="P14" s="386" t="s">
        <v>132</v>
      </c>
      <c r="Q14" s="380" t="s">
        <v>270</v>
      </c>
      <c r="R14" s="381" t="s">
        <v>20</v>
      </c>
      <c r="S14" s="380" t="s">
        <v>18</v>
      </c>
      <c r="T14" s="380" t="s">
        <v>18</v>
      </c>
      <c r="U14" s="380" t="s">
        <v>18</v>
      </c>
      <c r="V14" s="380" t="s">
        <v>18</v>
      </c>
      <c r="W14" s="380" t="s">
        <v>18</v>
      </c>
      <c r="X14" s="380" t="s">
        <v>18</v>
      </c>
      <c r="Y14" s="392" t="s">
        <v>20</v>
      </c>
      <c r="Z14" s="380" t="s">
        <v>218</v>
      </c>
      <c r="AA14" s="388" t="s">
        <v>129</v>
      </c>
      <c r="AB14" s="381" t="s">
        <v>18</v>
      </c>
      <c r="AC14" s="381" t="s">
        <v>18</v>
      </c>
      <c r="AD14" s="379"/>
      <c r="AE14" s="379" t="s">
        <v>17</v>
      </c>
      <c r="AF14" s="295" t="s">
        <v>302</v>
      </c>
      <c r="AG14" s="295"/>
      <c r="AH14" s="195">
        <f>SUMIF('TK 15661.Bản quyền phim '!F:F,'KK3. Kids'!C14,'TK 15661.Bản quyền phim '!X:X)</f>
        <v>0</v>
      </c>
      <c r="AI14" s="295">
        <f>COUNTIF('TK 15661.Bản quyền phim '!F:F,'KK3. Kids'!AF14)</f>
        <v>1</v>
      </c>
      <c r="AJ14" s="295"/>
      <c r="AK14" s="295"/>
      <c r="AL14" s="295"/>
      <c r="AM14" s="295"/>
      <c r="AN14" s="295"/>
      <c r="AO14" s="295"/>
    </row>
    <row r="15" spans="1:45" ht="49.5" customHeight="1" x14ac:dyDescent="0.3">
      <c r="A15" s="376">
        <v>9</v>
      </c>
      <c r="B15" s="377" t="s">
        <v>3272</v>
      </c>
      <c r="C15" s="378" t="s">
        <v>301</v>
      </c>
      <c r="D15" s="382" t="s">
        <v>300</v>
      </c>
      <c r="E15" s="394" t="s">
        <v>299</v>
      </c>
      <c r="F15" s="380" t="s">
        <v>298</v>
      </c>
      <c r="G15" s="379" t="s">
        <v>297</v>
      </c>
      <c r="H15" s="378" t="s">
        <v>133</v>
      </c>
      <c r="I15" s="376">
        <v>2015</v>
      </c>
      <c r="J15" s="383">
        <v>26</v>
      </c>
      <c r="K15" s="383">
        <v>11</v>
      </c>
      <c r="L15" s="383">
        <v>4.7666666666666666</v>
      </c>
      <c r="M15" s="395">
        <v>44953</v>
      </c>
      <c r="N15" s="395">
        <v>46048</v>
      </c>
      <c r="O15" s="385">
        <v>44953</v>
      </c>
      <c r="P15" s="386" t="s">
        <v>132</v>
      </c>
      <c r="Q15" s="380" t="s">
        <v>270</v>
      </c>
      <c r="R15" s="381" t="s">
        <v>20</v>
      </c>
      <c r="S15" s="380" t="s">
        <v>18</v>
      </c>
      <c r="T15" s="380" t="s">
        <v>18</v>
      </c>
      <c r="U15" s="380" t="s">
        <v>18</v>
      </c>
      <c r="V15" s="380" t="s">
        <v>18</v>
      </c>
      <c r="W15" s="380" t="s">
        <v>18</v>
      </c>
      <c r="X15" s="380" t="s">
        <v>18</v>
      </c>
      <c r="Y15" s="392" t="s">
        <v>20</v>
      </c>
      <c r="Z15" s="380" t="s">
        <v>218</v>
      </c>
      <c r="AA15" s="388" t="s">
        <v>129</v>
      </c>
      <c r="AB15" s="381" t="s">
        <v>18</v>
      </c>
      <c r="AC15" s="381" t="s">
        <v>18</v>
      </c>
      <c r="AD15" s="379"/>
      <c r="AE15" s="379" t="s">
        <v>17</v>
      </c>
      <c r="AF15" s="295" t="s">
        <v>296</v>
      </c>
      <c r="AG15" s="295"/>
      <c r="AH15" s="195">
        <f>SUMIF('TK 15661.Bản quyền phim '!F:F,'KK3. Kids'!C15,'TK 15661.Bản quyền phim '!X:X)</f>
        <v>0</v>
      </c>
      <c r="AI15" s="295">
        <f>COUNTIF('TK 15661.Bản quyền phim '!F:F,'KK3. Kids'!AF15)</f>
        <v>1</v>
      </c>
      <c r="AJ15" s="295"/>
      <c r="AK15" s="295"/>
      <c r="AL15" s="295"/>
      <c r="AM15" s="295"/>
      <c r="AN15" s="295"/>
      <c r="AO15" s="295"/>
    </row>
    <row r="16" spans="1:45" ht="42" customHeight="1" x14ac:dyDescent="0.3">
      <c r="A16" s="376">
        <v>10</v>
      </c>
      <c r="B16" s="377" t="s">
        <v>3273</v>
      </c>
      <c r="C16" s="378" t="s">
        <v>295</v>
      </c>
      <c r="D16" s="382" t="s">
        <v>292</v>
      </c>
      <c r="E16" s="394" t="s">
        <v>274</v>
      </c>
      <c r="F16" s="379" t="s">
        <v>291</v>
      </c>
      <c r="G16" s="379" t="s">
        <v>290</v>
      </c>
      <c r="H16" s="382" t="s">
        <v>161</v>
      </c>
      <c r="I16" s="376">
        <v>2019</v>
      </c>
      <c r="J16" s="383">
        <v>78</v>
      </c>
      <c r="K16" s="383">
        <v>7</v>
      </c>
      <c r="L16" s="383">
        <v>9.1</v>
      </c>
      <c r="M16" s="384">
        <v>45108</v>
      </c>
      <c r="N16" s="395">
        <v>46203</v>
      </c>
      <c r="O16" s="385">
        <v>45117</v>
      </c>
      <c r="P16" s="386" t="s">
        <v>132</v>
      </c>
      <c r="Q16" s="379" t="s">
        <v>270</v>
      </c>
      <c r="R16" s="381" t="s">
        <v>20</v>
      </c>
      <c r="S16" s="380" t="s">
        <v>18</v>
      </c>
      <c r="T16" s="380" t="s">
        <v>18</v>
      </c>
      <c r="U16" s="380" t="s">
        <v>18</v>
      </c>
      <c r="V16" s="392" t="s">
        <v>20</v>
      </c>
      <c r="W16" s="392" t="s">
        <v>20</v>
      </c>
      <c r="X16" s="392" t="s">
        <v>20</v>
      </c>
      <c r="Y16" s="392" t="s">
        <v>20</v>
      </c>
      <c r="Z16" s="380" t="s">
        <v>218</v>
      </c>
      <c r="AA16" s="388" t="s">
        <v>129</v>
      </c>
      <c r="AB16" s="381" t="s">
        <v>18</v>
      </c>
      <c r="AC16" s="381" t="s">
        <v>18</v>
      </c>
      <c r="AD16" s="379"/>
      <c r="AE16" s="379" t="s">
        <v>17</v>
      </c>
      <c r="AF16" s="295" t="s">
        <v>294</v>
      </c>
      <c r="AG16" s="295"/>
      <c r="AH16" s="195">
        <f>SUMIF('TK 15661.Bản quyền phim '!F:F,'KK3. Kids'!C16,'TK 15661.Bản quyền phim '!X:X)</f>
        <v>0</v>
      </c>
      <c r="AI16" s="295">
        <f>COUNTIF('TK 15661.Bản quyền phim '!F:F,'KK3. Kids'!AF16)</f>
        <v>1</v>
      </c>
      <c r="AJ16" s="295"/>
      <c r="AK16" s="295"/>
      <c r="AL16" s="295"/>
      <c r="AM16" s="295"/>
      <c r="AN16" s="295"/>
      <c r="AO16" s="295"/>
    </row>
    <row r="17" spans="1:41" ht="45" customHeight="1" x14ac:dyDescent="0.3">
      <c r="A17" s="376">
        <v>11</v>
      </c>
      <c r="B17" s="377" t="s">
        <v>3274</v>
      </c>
      <c r="C17" s="378" t="s">
        <v>293</v>
      </c>
      <c r="D17" s="382" t="s">
        <v>292</v>
      </c>
      <c r="E17" s="394" t="s">
        <v>274</v>
      </c>
      <c r="F17" s="379" t="s">
        <v>291</v>
      </c>
      <c r="G17" s="379" t="s">
        <v>290</v>
      </c>
      <c r="H17" s="382" t="s">
        <v>161</v>
      </c>
      <c r="I17" s="376">
        <v>2022</v>
      </c>
      <c r="J17" s="383">
        <v>78</v>
      </c>
      <c r="K17" s="383">
        <v>7</v>
      </c>
      <c r="L17" s="383">
        <v>9.1</v>
      </c>
      <c r="M17" s="384">
        <v>45108</v>
      </c>
      <c r="N17" s="395">
        <v>46203</v>
      </c>
      <c r="O17" s="385">
        <v>45144</v>
      </c>
      <c r="P17" s="386" t="s">
        <v>132</v>
      </c>
      <c r="Q17" s="379" t="s">
        <v>270</v>
      </c>
      <c r="R17" s="381" t="s">
        <v>20</v>
      </c>
      <c r="S17" s="380" t="s">
        <v>18</v>
      </c>
      <c r="T17" s="380" t="s">
        <v>18</v>
      </c>
      <c r="U17" s="380" t="s">
        <v>18</v>
      </c>
      <c r="V17" s="392" t="s">
        <v>20</v>
      </c>
      <c r="W17" s="392" t="s">
        <v>20</v>
      </c>
      <c r="X17" s="392" t="s">
        <v>20</v>
      </c>
      <c r="Y17" s="392" t="s">
        <v>20</v>
      </c>
      <c r="Z17" s="380" t="s">
        <v>218</v>
      </c>
      <c r="AA17" s="388" t="s">
        <v>129</v>
      </c>
      <c r="AB17" s="381" t="s">
        <v>18</v>
      </c>
      <c r="AC17" s="381" t="s">
        <v>18</v>
      </c>
      <c r="AD17" s="379"/>
      <c r="AE17" s="379" t="s">
        <v>17</v>
      </c>
      <c r="AF17" s="295" t="s">
        <v>289</v>
      </c>
      <c r="AG17" s="295"/>
      <c r="AH17" s="195">
        <f>SUMIF('TK 15661.Bản quyền phim '!F:F,'KK3. Kids'!C17,'TK 15661.Bản quyền phim '!X:X)</f>
        <v>0</v>
      </c>
      <c r="AI17" s="295">
        <f>COUNTIF('TK 15661.Bản quyền phim '!F:F,'KK3. Kids'!AF17)</f>
        <v>1</v>
      </c>
      <c r="AJ17" s="295"/>
      <c r="AK17" s="295"/>
      <c r="AL17" s="295"/>
      <c r="AM17" s="295"/>
      <c r="AN17" s="295"/>
      <c r="AO17" s="295"/>
    </row>
    <row r="18" spans="1:41" ht="39.75" customHeight="1" x14ac:dyDescent="0.3">
      <c r="A18" s="376">
        <v>12</v>
      </c>
      <c r="B18" s="377" t="s">
        <v>3275</v>
      </c>
      <c r="C18" s="378" t="s">
        <v>286</v>
      </c>
      <c r="D18" s="382" t="s">
        <v>288</v>
      </c>
      <c r="E18" s="394" t="s">
        <v>287</v>
      </c>
      <c r="F18" s="380" t="s">
        <v>273</v>
      </c>
      <c r="G18" s="379" t="s">
        <v>272</v>
      </c>
      <c r="H18" s="378" t="s">
        <v>196</v>
      </c>
      <c r="I18" s="376">
        <v>2020</v>
      </c>
      <c r="J18" s="383">
        <v>180</v>
      </c>
      <c r="K18" s="383">
        <v>3</v>
      </c>
      <c r="L18" s="383">
        <v>9</v>
      </c>
      <c r="M18" s="395">
        <v>45027</v>
      </c>
      <c r="N18" s="395">
        <v>46122</v>
      </c>
      <c r="O18" s="385">
        <v>45027</v>
      </c>
      <c r="P18" s="386" t="s">
        <v>132</v>
      </c>
      <c r="Q18" s="380" t="s">
        <v>270</v>
      </c>
      <c r="R18" s="380" t="s">
        <v>20</v>
      </c>
      <c r="S18" s="380" t="s">
        <v>18</v>
      </c>
      <c r="T18" s="380" t="s">
        <v>18</v>
      </c>
      <c r="U18" s="380" t="s">
        <v>18</v>
      </c>
      <c r="V18" s="380" t="s">
        <v>18</v>
      </c>
      <c r="W18" s="380" t="s">
        <v>18</v>
      </c>
      <c r="X18" s="380" t="s">
        <v>18</v>
      </c>
      <c r="Y18" s="392" t="s">
        <v>20</v>
      </c>
      <c r="Z18" s="380" t="s">
        <v>218</v>
      </c>
      <c r="AA18" s="388" t="s">
        <v>129</v>
      </c>
      <c r="AB18" s="381" t="s">
        <v>18</v>
      </c>
      <c r="AC18" s="381" t="s">
        <v>18</v>
      </c>
      <c r="AD18" s="379"/>
      <c r="AE18" s="379" t="s">
        <v>17</v>
      </c>
      <c r="AF18" s="393" t="s">
        <v>286</v>
      </c>
      <c r="AG18" s="295"/>
      <c r="AH18" s="195">
        <f>SUMIF('TK 15661.Bản quyền phim '!F:F,'KK3. Kids'!C18,'TK 15661.Bản quyền phim '!X:X)</f>
        <v>0</v>
      </c>
      <c r="AI18" s="295">
        <f>COUNTIF('TK 15661.Bản quyền phim '!F:F,'KK3. Kids'!AF18)</f>
        <v>1</v>
      </c>
      <c r="AJ18" s="295"/>
      <c r="AK18" s="295"/>
      <c r="AL18" s="295"/>
      <c r="AM18" s="295"/>
      <c r="AN18" s="295"/>
      <c r="AO18" s="295"/>
    </row>
    <row r="19" spans="1:41" ht="41.25" customHeight="1" x14ac:dyDescent="0.3">
      <c r="A19" s="376">
        <v>13</v>
      </c>
      <c r="B19" s="377" t="s">
        <v>3276</v>
      </c>
      <c r="C19" s="378" t="s">
        <v>285</v>
      </c>
      <c r="D19" s="382" t="s">
        <v>283</v>
      </c>
      <c r="E19" s="394" t="s">
        <v>274</v>
      </c>
      <c r="F19" s="380" t="s">
        <v>273</v>
      </c>
      <c r="G19" s="379" t="s">
        <v>272</v>
      </c>
      <c r="H19" s="378" t="s">
        <v>271</v>
      </c>
      <c r="I19" s="376">
        <v>2013</v>
      </c>
      <c r="J19" s="383">
        <v>60</v>
      </c>
      <c r="K19" s="383">
        <v>7</v>
      </c>
      <c r="L19" s="383">
        <v>7</v>
      </c>
      <c r="M19" s="395">
        <v>44998</v>
      </c>
      <c r="N19" s="395">
        <v>46093</v>
      </c>
      <c r="O19" s="385">
        <v>44998</v>
      </c>
      <c r="P19" s="386" t="s">
        <v>132</v>
      </c>
      <c r="Q19" s="380" t="s">
        <v>270</v>
      </c>
      <c r="R19" s="380" t="s">
        <v>20</v>
      </c>
      <c r="S19" s="380" t="s">
        <v>18</v>
      </c>
      <c r="T19" s="380" t="s">
        <v>18</v>
      </c>
      <c r="U19" s="380" t="s">
        <v>18</v>
      </c>
      <c r="V19" s="380" t="s">
        <v>18</v>
      </c>
      <c r="W19" s="380" t="s">
        <v>18</v>
      </c>
      <c r="X19" s="380" t="s">
        <v>18</v>
      </c>
      <c r="Y19" s="392" t="s">
        <v>20</v>
      </c>
      <c r="Z19" s="380" t="s">
        <v>218</v>
      </c>
      <c r="AA19" s="388" t="s">
        <v>129</v>
      </c>
      <c r="AB19" s="381" t="s">
        <v>18</v>
      </c>
      <c r="AC19" s="381" t="s">
        <v>18</v>
      </c>
      <c r="AD19" s="379"/>
      <c r="AE19" s="379" t="s">
        <v>17</v>
      </c>
      <c r="AF19" s="393" t="s">
        <v>285</v>
      </c>
      <c r="AG19" s="295"/>
      <c r="AH19" s="195">
        <f>SUMIF('TK 15661.Bản quyền phim '!F:F,'KK3. Kids'!C19,'TK 15661.Bản quyền phim '!X:X)</f>
        <v>0</v>
      </c>
      <c r="AI19" s="295">
        <f>COUNTIF('TK 15661.Bản quyền phim '!F:F,'KK3. Kids'!AF19)</f>
        <v>1</v>
      </c>
      <c r="AJ19" s="295"/>
      <c r="AK19" s="295"/>
      <c r="AL19" s="295"/>
      <c r="AM19" s="295"/>
      <c r="AN19" s="295"/>
      <c r="AO19" s="295"/>
    </row>
    <row r="20" spans="1:41" ht="49.5" customHeight="1" x14ac:dyDescent="0.3">
      <c r="A20" s="376">
        <v>14</v>
      </c>
      <c r="B20" s="377" t="s">
        <v>3277</v>
      </c>
      <c r="C20" s="378" t="s">
        <v>284</v>
      </c>
      <c r="D20" s="382" t="s">
        <v>283</v>
      </c>
      <c r="E20" s="394" t="s">
        <v>274</v>
      </c>
      <c r="F20" s="380" t="s">
        <v>273</v>
      </c>
      <c r="G20" s="379" t="s">
        <v>272</v>
      </c>
      <c r="H20" s="378" t="s">
        <v>271</v>
      </c>
      <c r="I20" s="376">
        <v>2016</v>
      </c>
      <c r="J20" s="383">
        <v>60</v>
      </c>
      <c r="K20" s="383">
        <v>7</v>
      </c>
      <c r="L20" s="383">
        <v>7</v>
      </c>
      <c r="M20" s="395">
        <v>45026</v>
      </c>
      <c r="N20" s="395">
        <v>46121</v>
      </c>
      <c r="O20" s="385">
        <v>45026</v>
      </c>
      <c r="P20" s="386" t="s">
        <v>132</v>
      </c>
      <c r="Q20" s="380" t="s">
        <v>270</v>
      </c>
      <c r="R20" s="380" t="s">
        <v>20</v>
      </c>
      <c r="S20" s="380" t="s">
        <v>18</v>
      </c>
      <c r="T20" s="380" t="s">
        <v>18</v>
      </c>
      <c r="U20" s="380" t="s">
        <v>18</v>
      </c>
      <c r="V20" s="380" t="s">
        <v>18</v>
      </c>
      <c r="W20" s="380" t="s">
        <v>18</v>
      </c>
      <c r="X20" s="380" t="s">
        <v>18</v>
      </c>
      <c r="Y20" s="392" t="s">
        <v>20</v>
      </c>
      <c r="Z20" s="380" t="s">
        <v>218</v>
      </c>
      <c r="AA20" s="388" t="s">
        <v>129</v>
      </c>
      <c r="AB20" s="381" t="s">
        <v>18</v>
      </c>
      <c r="AC20" s="381" t="s">
        <v>18</v>
      </c>
      <c r="AD20" s="379"/>
      <c r="AE20" s="379" t="s">
        <v>17</v>
      </c>
      <c r="AF20" s="393" t="s">
        <v>284</v>
      </c>
      <c r="AG20" s="295"/>
      <c r="AH20" s="195">
        <f>SUMIF('TK 15661.Bản quyền phim '!F:F,'KK3. Kids'!C20,'TK 15661.Bản quyền phim '!X:X)</f>
        <v>0</v>
      </c>
      <c r="AI20" s="295">
        <f>COUNTIF('TK 15661.Bản quyền phim '!F:F,'KK3. Kids'!AF20)</f>
        <v>1</v>
      </c>
      <c r="AJ20" s="295"/>
      <c r="AK20" s="295"/>
      <c r="AL20" s="295"/>
      <c r="AM20" s="295"/>
      <c r="AN20" s="295"/>
      <c r="AO20" s="295"/>
    </row>
    <row r="21" spans="1:41" ht="41.25" customHeight="1" x14ac:dyDescent="0.3">
      <c r="A21" s="376">
        <v>15</v>
      </c>
      <c r="B21" s="377" t="s">
        <v>3278</v>
      </c>
      <c r="C21" s="378" t="s">
        <v>282</v>
      </c>
      <c r="D21" s="382" t="s">
        <v>283</v>
      </c>
      <c r="E21" s="394" t="s">
        <v>274</v>
      </c>
      <c r="F21" s="380" t="s">
        <v>273</v>
      </c>
      <c r="G21" s="379" t="s">
        <v>272</v>
      </c>
      <c r="H21" s="378" t="s">
        <v>271</v>
      </c>
      <c r="I21" s="376">
        <v>2022</v>
      </c>
      <c r="J21" s="383">
        <v>60</v>
      </c>
      <c r="K21" s="383">
        <v>7</v>
      </c>
      <c r="L21" s="383">
        <v>7</v>
      </c>
      <c r="M21" s="395">
        <v>45054</v>
      </c>
      <c r="N21" s="395">
        <v>46149</v>
      </c>
      <c r="O21" s="385">
        <v>45054</v>
      </c>
      <c r="P21" s="386" t="s">
        <v>132</v>
      </c>
      <c r="Q21" s="380" t="s">
        <v>270</v>
      </c>
      <c r="R21" s="380" t="s">
        <v>20</v>
      </c>
      <c r="S21" s="380" t="s">
        <v>18</v>
      </c>
      <c r="T21" s="380" t="s">
        <v>18</v>
      </c>
      <c r="U21" s="380" t="s">
        <v>18</v>
      </c>
      <c r="V21" s="380" t="s">
        <v>18</v>
      </c>
      <c r="W21" s="380" t="s">
        <v>18</v>
      </c>
      <c r="X21" s="380" t="s">
        <v>18</v>
      </c>
      <c r="Y21" s="392" t="s">
        <v>20</v>
      </c>
      <c r="Z21" s="380" t="s">
        <v>218</v>
      </c>
      <c r="AA21" s="388" t="s">
        <v>129</v>
      </c>
      <c r="AB21" s="381" t="s">
        <v>18</v>
      </c>
      <c r="AC21" s="381" t="s">
        <v>18</v>
      </c>
      <c r="AD21" s="379"/>
      <c r="AE21" s="379" t="s">
        <v>17</v>
      </c>
      <c r="AF21" s="393" t="s">
        <v>282</v>
      </c>
      <c r="AG21" s="295"/>
      <c r="AH21" s="195">
        <f>SUMIF('TK 15661.Bản quyền phim '!F:F,'KK3. Kids'!C21,'TK 15661.Bản quyền phim '!X:X)</f>
        <v>0</v>
      </c>
      <c r="AI21" s="295">
        <f>COUNTIF('TK 15661.Bản quyền phim '!F:F,'KK3. Kids'!AF21)</f>
        <v>1</v>
      </c>
      <c r="AJ21" s="295"/>
      <c r="AK21" s="295"/>
      <c r="AL21" s="295"/>
      <c r="AM21" s="295"/>
      <c r="AN21" s="295"/>
      <c r="AO21" s="295"/>
    </row>
    <row r="22" spans="1:41" ht="30" customHeight="1" x14ac:dyDescent="0.3">
      <c r="A22" s="376">
        <v>16</v>
      </c>
      <c r="B22" s="396" t="s">
        <v>281</v>
      </c>
      <c r="C22" s="378" t="s">
        <v>280</v>
      </c>
      <c r="D22" s="378" t="s">
        <v>279</v>
      </c>
      <c r="E22" s="394" t="s">
        <v>274</v>
      </c>
      <c r="F22" s="380" t="s">
        <v>273</v>
      </c>
      <c r="G22" s="379" t="s">
        <v>272</v>
      </c>
      <c r="H22" s="378" t="s">
        <v>271</v>
      </c>
      <c r="I22" s="397">
        <v>2018</v>
      </c>
      <c r="J22" s="383">
        <v>1</v>
      </c>
      <c r="K22" s="383">
        <v>22</v>
      </c>
      <c r="L22" s="383">
        <v>0.36666666666666664</v>
      </c>
      <c r="M22" s="395">
        <v>45024</v>
      </c>
      <c r="N22" s="395">
        <v>46119</v>
      </c>
      <c r="O22" s="385">
        <v>45135</v>
      </c>
      <c r="P22" s="386" t="s">
        <v>132</v>
      </c>
      <c r="Q22" s="380" t="s">
        <v>270</v>
      </c>
      <c r="R22" s="380" t="s">
        <v>20</v>
      </c>
      <c r="S22" s="380" t="s">
        <v>18</v>
      </c>
      <c r="T22" s="380" t="s">
        <v>18</v>
      </c>
      <c r="U22" s="380" t="s">
        <v>18</v>
      </c>
      <c r="V22" s="380" t="s">
        <v>18</v>
      </c>
      <c r="W22" s="380" t="s">
        <v>18</v>
      </c>
      <c r="X22" s="380" t="s">
        <v>18</v>
      </c>
      <c r="Y22" s="392" t="s">
        <v>20</v>
      </c>
      <c r="Z22" s="380" t="s">
        <v>218</v>
      </c>
      <c r="AA22" s="388" t="s">
        <v>129</v>
      </c>
      <c r="AB22" s="381" t="s">
        <v>18</v>
      </c>
      <c r="AC22" s="381" t="s">
        <v>18</v>
      </c>
      <c r="AD22" s="379"/>
      <c r="AE22" s="379" t="s">
        <v>17</v>
      </c>
      <c r="AF22" s="295" t="s">
        <v>278</v>
      </c>
      <c r="AG22" s="295"/>
      <c r="AH22" s="195">
        <f>SUMIF('TK 15661.Bản quyền phim '!F:F,'KK3. Kids'!C22,'TK 15661.Bản quyền phim '!X:X)</f>
        <v>0</v>
      </c>
      <c r="AI22" s="295">
        <f>COUNTIF('TK 15661.Bản quyền phim '!F:F,'KK3. Kids'!AF22)</f>
        <v>1</v>
      </c>
      <c r="AJ22" s="295"/>
      <c r="AK22" s="295"/>
      <c r="AL22" s="295"/>
      <c r="AM22" s="295"/>
      <c r="AN22" s="295"/>
      <c r="AO22" s="295"/>
    </row>
    <row r="23" spans="1:41" ht="42.75" customHeight="1" x14ac:dyDescent="0.3">
      <c r="A23" s="376">
        <v>17</v>
      </c>
      <c r="B23" s="396" t="s">
        <v>277</v>
      </c>
      <c r="C23" s="378" t="s">
        <v>276</v>
      </c>
      <c r="D23" s="378" t="s">
        <v>275</v>
      </c>
      <c r="E23" s="394" t="s">
        <v>274</v>
      </c>
      <c r="F23" s="380" t="s">
        <v>273</v>
      </c>
      <c r="G23" s="379" t="s">
        <v>272</v>
      </c>
      <c r="H23" s="378" t="s">
        <v>271</v>
      </c>
      <c r="I23" s="397">
        <v>2018</v>
      </c>
      <c r="J23" s="383">
        <v>1</v>
      </c>
      <c r="K23" s="383">
        <v>22</v>
      </c>
      <c r="L23" s="383">
        <v>0.36666666666666664</v>
      </c>
      <c r="M23" s="395">
        <v>45025</v>
      </c>
      <c r="N23" s="395">
        <v>46120</v>
      </c>
      <c r="O23" s="385">
        <v>45278</v>
      </c>
      <c r="P23" s="386" t="s">
        <v>132</v>
      </c>
      <c r="Q23" s="380" t="s">
        <v>270</v>
      </c>
      <c r="R23" s="380" t="s">
        <v>20</v>
      </c>
      <c r="S23" s="380" t="s">
        <v>18</v>
      </c>
      <c r="T23" s="380" t="s">
        <v>18</v>
      </c>
      <c r="U23" s="380" t="s">
        <v>18</v>
      </c>
      <c r="V23" s="380" t="s">
        <v>18</v>
      </c>
      <c r="W23" s="380" t="s">
        <v>18</v>
      </c>
      <c r="X23" s="380" t="s">
        <v>18</v>
      </c>
      <c r="Y23" s="392" t="s">
        <v>20</v>
      </c>
      <c r="Z23" s="380" t="s">
        <v>218</v>
      </c>
      <c r="AA23" s="388" t="s">
        <v>129</v>
      </c>
      <c r="AB23" s="381" t="s">
        <v>18</v>
      </c>
      <c r="AC23" s="381" t="s">
        <v>18</v>
      </c>
      <c r="AD23" s="379"/>
      <c r="AE23" s="379" t="s">
        <v>17</v>
      </c>
      <c r="AF23" s="295" t="s">
        <v>269</v>
      </c>
      <c r="AG23" s="295"/>
      <c r="AH23" s="195">
        <f>SUMIF('TK 15661.Bản quyền phim '!F:F,'KK3. Kids'!C23,'TK 15661.Bản quyền phim '!X:X)</f>
        <v>0</v>
      </c>
      <c r="AI23" s="295">
        <f>COUNTIF('TK 15661.Bản quyền phim '!F:F,'KK3. Kids'!AF23)</f>
        <v>1</v>
      </c>
      <c r="AJ23" s="295"/>
      <c r="AK23" s="295"/>
      <c r="AL23" s="295"/>
      <c r="AM23" s="295"/>
      <c r="AN23" s="295"/>
      <c r="AO23" s="295"/>
    </row>
    <row r="24" spans="1:41" ht="52.5" customHeight="1" x14ac:dyDescent="0.3">
      <c r="A24" s="376">
        <v>18</v>
      </c>
      <c r="B24" s="377" t="s">
        <v>3279</v>
      </c>
      <c r="C24" s="378" t="s">
        <v>268</v>
      </c>
      <c r="D24" s="382" t="s">
        <v>267</v>
      </c>
      <c r="E24" s="380" t="s">
        <v>136</v>
      </c>
      <c r="F24" s="379" t="s">
        <v>213</v>
      </c>
      <c r="G24" s="379" t="s">
        <v>260</v>
      </c>
      <c r="H24" s="382" t="s">
        <v>161</v>
      </c>
      <c r="I24" s="397">
        <v>2022</v>
      </c>
      <c r="J24" s="383">
        <v>52</v>
      </c>
      <c r="K24" s="383">
        <v>12</v>
      </c>
      <c r="L24" s="383">
        <v>10.4</v>
      </c>
      <c r="M24" s="395">
        <v>45201</v>
      </c>
      <c r="N24" s="395">
        <v>46296</v>
      </c>
      <c r="O24" s="385">
        <v>45201</v>
      </c>
      <c r="P24" s="386" t="s">
        <v>132</v>
      </c>
      <c r="Q24" s="379" t="s">
        <v>226</v>
      </c>
      <c r="R24" s="380" t="s">
        <v>20</v>
      </c>
      <c r="S24" s="380" t="s">
        <v>18</v>
      </c>
      <c r="T24" s="380" t="s">
        <v>18</v>
      </c>
      <c r="U24" s="380" t="s">
        <v>18</v>
      </c>
      <c r="V24" s="392" t="s">
        <v>20</v>
      </c>
      <c r="W24" s="392" t="s">
        <v>20</v>
      </c>
      <c r="X24" s="392" t="s">
        <v>20</v>
      </c>
      <c r="Y24" s="392" t="s">
        <v>20</v>
      </c>
      <c r="Z24" s="383">
        <v>12</v>
      </c>
      <c r="AA24" s="388">
        <v>7</v>
      </c>
      <c r="AB24" s="381" t="s">
        <v>18</v>
      </c>
      <c r="AC24" s="381" t="s">
        <v>18</v>
      </c>
      <c r="AD24" s="379"/>
      <c r="AE24" s="379" t="s">
        <v>17</v>
      </c>
      <c r="AF24" s="295" t="s">
        <v>266</v>
      </c>
      <c r="AG24" s="295"/>
      <c r="AH24" s="195">
        <f>SUMIF('TK 15661.Bản quyền phim '!F:F,'KK3. Kids'!C24,'TK 15661.Bản quyền phim '!X:X)</f>
        <v>0</v>
      </c>
      <c r="AI24" s="295">
        <f>COUNTIF('TK 15661.Bản quyền phim '!F:F,'KK3. Kids'!AF24)</f>
        <v>1</v>
      </c>
      <c r="AJ24" s="295"/>
      <c r="AK24" s="295"/>
      <c r="AL24" s="295"/>
      <c r="AM24" s="295"/>
      <c r="AN24" s="295"/>
      <c r="AO24" s="295"/>
    </row>
    <row r="25" spans="1:41" ht="56.25" customHeight="1" x14ac:dyDescent="0.3">
      <c r="A25" s="376">
        <v>19</v>
      </c>
      <c r="B25" s="377" t="s">
        <v>3280</v>
      </c>
      <c r="C25" s="378" t="s">
        <v>265</v>
      </c>
      <c r="D25" s="382" t="s">
        <v>264</v>
      </c>
      <c r="E25" s="380" t="s">
        <v>136</v>
      </c>
      <c r="F25" s="379" t="s">
        <v>213</v>
      </c>
      <c r="G25" s="379" t="s">
        <v>260</v>
      </c>
      <c r="H25" s="382" t="s">
        <v>161</v>
      </c>
      <c r="I25" s="397">
        <v>2009</v>
      </c>
      <c r="J25" s="383">
        <v>78</v>
      </c>
      <c r="K25" s="383">
        <v>8</v>
      </c>
      <c r="L25" s="383">
        <v>10.4</v>
      </c>
      <c r="M25" s="395">
        <v>45065</v>
      </c>
      <c r="N25" s="395">
        <v>46160</v>
      </c>
      <c r="O25" s="385">
        <v>45209</v>
      </c>
      <c r="P25" s="386" t="s">
        <v>132</v>
      </c>
      <c r="Q25" s="379" t="s">
        <v>226</v>
      </c>
      <c r="R25" s="380" t="s">
        <v>20</v>
      </c>
      <c r="S25" s="380" t="s">
        <v>18</v>
      </c>
      <c r="T25" s="380" t="s">
        <v>18</v>
      </c>
      <c r="U25" s="380" t="s">
        <v>18</v>
      </c>
      <c r="V25" s="392" t="s">
        <v>20</v>
      </c>
      <c r="W25" s="392" t="s">
        <v>20</v>
      </c>
      <c r="X25" s="392" t="s">
        <v>20</v>
      </c>
      <c r="Y25" s="392" t="s">
        <v>20</v>
      </c>
      <c r="Z25" s="383">
        <v>12</v>
      </c>
      <c r="AA25" s="388">
        <v>7</v>
      </c>
      <c r="AB25" s="381" t="s">
        <v>18</v>
      </c>
      <c r="AC25" s="381" t="s">
        <v>18</v>
      </c>
      <c r="AD25" s="379"/>
      <c r="AE25" s="379" t="s">
        <v>17</v>
      </c>
      <c r="AF25" s="295" t="s">
        <v>263</v>
      </c>
      <c r="AG25" s="295"/>
      <c r="AH25" s="195">
        <f>SUMIF('TK 15661.Bản quyền phim '!F:F,'KK3. Kids'!C25,'TK 15661.Bản quyền phim '!X:X)</f>
        <v>0</v>
      </c>
      <c r="AI25" s="295">
        <f>COUNTIF('TK 15661.Bản quyền phim '!F:F,'KK3. Kids'!AF25)</f>
        <v>1</v>
      </c>
      <c r="AJ25" s="295"/>
      <c r="AK25" s="295"/>
      <c r="AL25" s="295"/>
      <c r="AM25" s="295"/>
      <c r="AN25" s="295"/>
      <c r="AO25" s="295"/>
    </row>
    <row r="26" spans="1:41" ht="56.25" customHeight="1" x14ac:dyDescent="0.3">
      <c r="A26" s="376">
        <v>20</v>
      </c>
      <c r="B26" s="377" t="s">
        <v>3281</v>
      </c>
      <c r="C26" s="378" t="s">
        <v>262</v>
      </c>
      <c r="D26" s="382" t="s">
        <v>261</v>
      </c>
      <c r="E26" s="398" t="s">
        <v>245</v>
      </c>
      <c r="F26" s="379" t="s">
        <v>213</v>
      </c>
      <c r="G26" s="379" t="s">
        <v>260</v>
      </c>
      <c r="H26" s="382" t="s">
        <v>161</v>
      </c>
      <c r="I26" s="397">
        <v>2010</v>
      </c>
      <c r="J26" s="383">
        <v>52</v>
      </c>
      <c r="K26" s="383">
        <v>12</v>
      </c>
      <c r="L26" s="383">
        <v>10.4</v>
      </c>
      <c r="M26" s="395">
        <v>45065</v>
      </c>
      <c r="N26" s="395">
        <v>46160</v>
      </c>
      <c r="O26" s="385">
        <v>45166</v>
      </c>
      <c r="P26" s="386" t="s">
        <v>132</v>
      </c>
      <c r="Q26" s="379" t="s">
        <v>226</v>
      </c>
      <c r="R26" s="380" t="s">
        <v>20</v>
      </c>
      <c r="S26" s="380" t="s">
        <v>18</v>
      </c>
      <c r="T26" s="380" t="s">
        <v>18</v>
      </c>
      <c r="U26" s="380" t="s">
        <v>18</v>
      </c>
      <c r="V26" s="392" t="s">
        <v>20</v>
      </c>
      <c r="W26" s="392" t="s">
        <v>20</v>
      </c>
      <c r="X26" s="392" t="s">
        <v>20</v>
      </c>
      <c r="Y26" s="392" t="s">
        <v>20</v>
      </c>
      <c r="Z26" s="383">
        <v>12</v>
      </c>
      <c r="AA26" s="388">
        <v>7</v>
      </c>
      <c r="AB26" s="381" t="s">
        <v>18</v>
      </c>
      <c r="AC26" s="381" t="s">
        <v>18</v>
      </c>
      <c r="AD26" s="379"/>
      <c r="AE26" s="379" t="s">
        <v>17</v>
      </c>
      <c r="AF26" s="295" t="s">
        <v>259</v>
      </c>
      <c r="AG26" s="295"/>
      <c r="AH26" s="195">
        <f>SUMIF('TK 15661.Bản quyền phim '!F:F,'KK3. Kids'!C26,'TK 15661.Bản quyền phim '!X:X)</f>
        <v>0</v>
      </c>
      <c r="AI26" s="295">
        <f>COUNTIF('TK 15661.Bản quyền phim '!F:F,'KK3. Kids'!AF26)</f>
        <v>1</v>
      </c>
      <c r="AJ26" s="295"/>
      <c r="AK26" s="295"/>
      <c r="AL26" s="295"/>
      <c r="AM26" s="295"/>
      <c r="AN26" s="295"/>
      <c r="AO26" s="295"/>
    </row>
    <row r="27" spans="1:41" ht="46.5" customHeight="1" x14ac:dyDescent="0.3">
      <c r="A27" s="376">
        <v>21</v>
      </c>
      <c r="B27" s="377" t="s">
        <v>3282</v>
      </c>
      <c r="C27" s="378" t="s">
        <v>258</v>
      </c>
      <c r="D27" s="382" t="s">
        <v>253</v>
      </c>
      <c r="E27" s="398" t="s">
        <v>245</v>
      </c>
      <c r="F27" s="379" t="s">
        <v>252</v>
      </c>
      <c r="G27" s="379" t="s">
        <v>251</v>
      </c>
      <c r="H27" s="382" t="s">
        <v>161</v>
      </c>
      <c r="I27" s="397">
        <v>2017</v>
      </c>
      <c r="J27" s="383">
        <v>76</v>
      </c>
      <c r="K27" s="383">
        <v>7</v>
      </c>
      <c r="L27" s="383">
        <v>8.8666666666666671</v>
      </c>
      <c r="M27" s="384">
        <v>45078</v>
      </c>
      <c r="N27" s="384">
        <v>46173</v>
      </c>
      <c r="O27" s="399">
        <v>45078</v>
      </c>
      <c r="P27" s="386" t="s">
        <v>132</v>
      </c>
      <c r="Q27" s="379" t="s">
        <v>226</v>
      </c>
      <c r="R27" s="380" t="s">
        <v>20</v>
      </c>
      <c r="S27" s="380" t="s">
        <v>18</v>
      </c>
      <c r="T27" s="380" t="s">
        <v>18</v>
      </c>
      <c r="U27" s="380" t="s">
        <v>18</v>
      </c>
      <c r="V27" s="392" t="s">
        <v>20</v>
      </c>
      <c r="W27" s="392" t="s">
        <v>20</v>
      </c>
      <c r="X27" s="392" t="s">
        <v>20</v>
      </c>
      <c r="Y27" s="392" t="s">
        <v>20</v>
      </c>
      <c r="Z27" s="381" t="s">
        <v>218</v>
      </c>
      <c r="AA27" s="388" t="s">
        <v>129</v>
      </c>
      <c r="AB27" s="381" t="s">
        <v>18</v>
      </c>
      <c r="AC27" s="381" t="s">
        <v>18</v>
      </c>
      <c r="AD27" s="379"/>
      <c r="AE27" s="379" t="s">
        <v>17</v>
      </c>
      <c r="AF27" s="295" t="s">
        <v>257</v>
      </c>
      <c r="AG27" s="295"/>
      <c r="AH27" s="195">
        <f>SUMIF('TK 15661.Bản quyền phim '!F:F,'KK3. Kids'!C27,'TK 15661.Bản quyền phim '!X:X)</f>
        <v>0</v>
      </c>
      <c r="AI27" s="295">
        <f>COUNTIF('TK 15661.Bản quyền phim '!F:F,'KK3. Kids'!AF27)</f>
        <v>1</v>
      </c>
      <c r="AJ27" s="295"/>
      <c r="AK27" s="295"/>
      <c r="AL27" s="295"/>
      <c r="AM27" s="295"/>
      <c r="AN27" s="295"/>
      <c r="AO27" s="295"/>
    </row>
    <row r="28" spans="1:41" ht="47.25" customHeight="1" x14ac:dyDescent="0.3">
      <c r="A28" s="376">
        <v>22</v>
      </c>
      <c r="B28" s="377" t="s">
        <v>3283</v>
      </c>
      <c r="C28" s="378" t="s">
        <v>256</v>
      </c>
      <c r="D28" s="382" t="s">
        <v>253</v>
      </c>
      <c r="E28" s="398" t="s">
        <v>245</v>
      </c>
      <c r="F28" s="379" t="s">
        <v>252</v>
      </c>
      <c r="G28" s="379" t="s">
        <v>251</v>
      </c>
      <c r="H28" s="382" t="s">
        <v>161</v>
      </c>
      <c r="I28" s="397">
        <v>2017</v>
      </c>
      <c r="J28" s="383">
        <v>78</v>
      </c>
      <c r="K28" s="383">
        <v>7</v>
      </c>
      <c r="L28" s="383">
        <v>9.1</v>
      </c>
      <c r="M28" s="384">
        <v>45078</v>
      </c>
      <c r="N28" s="384">
        <v>46173</v>
      </c>
      <c r="O28" s="399">
        <v>45091</v>
      </c>
      <c r="P28" s="386" t="s">
        <v>132</v>
      </c>
      <c r="Q28" s="398" t="s">
        <v>226</v>
      </c>
      <c r="R28" s="380" t="s">
        <v>20</v>
      </c>
      <c r="S28" s="380" t="s">
        <v>18</v>
      </c>
      <c r="T28" s="380" t="s">
        <v>18</v>
      </c>
      <c r="U28" s="380" t="s">
        <v>18</v>
      </c>
      <c r="V28" s="392" t="s">
        <v>20</v>
      </c>
      <c r="W28" s="392" t="s">
        <v>20</v>
      </c>
      <c r="X28" s="392" t="s">
        <v>20</v>
      </c>
      <c r="Y28" s="392" t="s">
        <v>20</v>
      </c>
      <c r="Z28" s="381" t="s">
        <v>218</v>
      </c>
      <c r="AA28" s="388" t="s">
        <v>129</v>
      </c>
      <c r="AB28" s="381" t="s">
        <v>18</v>
      </c>
      <c r="AC28" s="381" t="s">
        <v>18</v>
      </c>
      <c r="AD28" s="379"/>
      <c r="AE28" s="379" t="s">
        <v>17</v>
      </c>
      <c r="AF28" s="295" t="s">
        <v>255</v>
      </c>
      <c r="AG28" s="295"/>
      <c r="AH28" s="195">
        <f>SUMIF('TK 15661.Bản quyền phim '!F:F,'KK3. Kids'!C28,'TK 15661.Bản quyền phim '!X:X)</f>
        <v>0</v>
      </c>
      <c r="AI28" s="295">
        <f>COUNTIF('TK 15661.Bản quyền phim '!F:F,'KK3. Kids'!AF28)</f>
        <v>1</v>
      </c>
      <c r="AJ28" s="295"/>
      <c r="AK28" s="295"/>
      <c r="AL28" s="295"/>
      <c r="AM28" s="295"/>
      <c r="AN28" s="295"/>
      <c r="AO28" s="295"/>
    </row>
    <row r="29" spans="1:41" ht="50.25" customHeight="1" x14ac:dyDescent="0.3">
      <c r="A29" s="376">
        <v>23</v>
      </c>
      <c r="B29" s="377" t="s">
        <v>3284</v>
      </c>
      <c r="C29" s="378" t="s">
        <v>254</v>
      </c>
      <c r="D29" s="382" t="s">
        <v>253</v>
      </c>
      <c r="E29" s="398" t="s">
        <v>245</v>
      </c>
      <c r="F29" s="379" t="s">
        <v>252</v>
      </c>
      <c r="G29" s="379" t="s">
        <v>251</v>
      </c>
      <c r="H29" s="382" t="s">
        <v>161</v>
      </c>
      <c r="I29" s="397">
        <v>2018</v>
      </c>
      <c r="J29" s="383">
        <v>78</v>
      </c>
      <c r="K29" s="383">
        <v>7</v>
      </c>
      <c r="L29" s="383">
        <v>9.1</v>
      </c>
      <c r="M29" s="384">
        <v>45078</v>
      </c>
      <c r="N29" s="384">
        <v>46173</v>
      </c>
      <c r="O29" s="399">
        <v>45104</v>
      </c>
      <c r="P29" s="386" t="s">
        <v>132</v>
      </c>
      <c r="Q29" s="398" t="s">
        <v>226</v>
      </c>
      <c r="R29" s="380" t="s">
        <v>20</v>
      </c>
      <c r="S29" s="380" t="s">
        <v>18</v>
      </c>
      <c r="T29" s="380" t="s">
        <v>18</v>
      </c>
      <c r="U29" s="380" t="s">
        <v>18</v>
      </c>
      <c r="V29" s="392" t="s">
        <v>20</v>
      </c>
      <c r="W29" s="392" t="s">
        <v>20</v>
      </c>
      <c r="X29" s="392" t="s">
        <v>20</v>
      </c>
      <c r="Y29" s="392" t="s">
        <v>20</v>
      </c>
      <c r="Z29" s="381" t="s">
        <v>218</v>
      </c>
      <c r="AA29" s="388" t="s">
        <v>129</v>
      </c>
      <c r="AB29" s="381" t="s">
        <v>18</v>
      </c>
      <c r="AC29" s="381" t="s">
        <v>18</v>
      </c>
      <c r="AD29" s="379"/>
      <c r="AE29" s="379" t="s">
        <v>17</v>
      </c>
      <c r="AF29" s="295" t="s">
        <v>250</v>
      </c>
      <c r="AG29" s="295"/>
      <c r="AH29" s="195">
        <f>SUMIF('TK 15661.Bản quyền phim '!F:F,'KK3. Kids'!C29,'TK 15661.Bản quyền phim '!X:X)</f>
        <v>0</v>
      </c>
      <c r="AI29" s="295">
        <f>COUNTIF('TK 15661.Bản quyền phim '!F:F,'KK3. Kids'!AF29)</f>
        <v>1</v>
      </c>
      <c r="AJ29" s="295"/>
      <c r="AK29" s="295"/>
      <c r="AL29" s="295"/>
      <c r="AM29" s="295"/>
      <c r="AN29" s="295"/>
      <c r="AO29" s="295"/>
    </row>
    <row r="30" spans="1:41" ht="52.5" customHeight="1" x14ac:dyDescent="0.3">
      <c r="A30" s="376">
        <v>24</v>
      </c>
      <c r="B30" s="377" t="s">
        <v>3285</v>
      </c>
      <c r="C30" s="378" t="s">
        <v>249</v>
      </c>
      <c r="D30" s="382" t="s">
        <v>248</v>
      </c>
      <c r="E30" s="398" t="s">
        <v>245</v>
      </c>
      <c r="F30" s="400" t="s">
        <v>244</v>
      </c>
      <c r="G30" s="379" t="s">
        <v>243</v>
      </c>
      <c r="H30" s="382" t="s">
        <v>242</v>
      </c>
      <c r="I30" s="397">
        <v>2021</v>
      </c>
      <c r="J30" s="383">
        <v>26</v>
      </c>
      <c r="K30" s="383">
        <v>7</v>
      </c>
      <c r="L30" s="383">
        <v>3.0333333333333332</v>
      </c>
      <c r="M30" s="384">
        <v>45187</v>
      </c>
      <c r="N30" s="384">
        <v>46282</v>
      </c>
      <c r="O30" s="399">
        <v>45187</v>
      </c>
      <c r="P30" s="386" t="s">
        <v>132</v>
      </c>
      <c r="Q30" s="398" t="s">
        <v>241</v>
      </c>
      <c r="R30" s="380" t="s">
        <v>20</v>
      </c>
      <c r="S30" s="380" t="s">
        <v>18</v>
      </c>
      <c r="T30" s="380" t="s">
        <v>18</v>
      </c>
      <c r="U30" s="380" t="s">
        <v>18</v>
      </c>
      <c r="V30" s="392" t="s">
        <v>20</v>
      </c>
      <c r="W30" s="380" t="s">
        <v>18</v>
      </c>
      <c r="X30" s="392" t="s">
        <v>20</v>
      </c>
      <c r="Y30" s="392" t="s">
        <v>20</v>
      </c>
      <c r="Z30" s="381" t="s">
        <v>218</v>
      </c>
      <c r="AA30" s="388" t="s">
        <v>129</v>
      </c>
      <c r="AB30" s="381" t="s">
        <v>18</v>
      </c>
      <c r="AC30" s="381" t="s">
        <v>18</v>
      </c>
      <c r="AD30" s="379"/>
      <c r="AE30" s="379" t="s">
        <v>17</v>
      </c>
      <c r="AF30" s="295" t="s">
        <v>247</v>
      </c>
      <c r="AG30" s="295"/>
      <c r="AH30" s="195">
        <f>SUMIF('TK 15661.Bản quyền phim '!F:F,'KK3. Kids'!C30,'TK 15661.Bản quyền phim '!X:X)</f>
        <v>0</v>
      </c>
      <c r="AI30" s="295">
        <f>COUNTIF('TK 15661.Bản quyền phim '!F:F,'KK3. Kids'!AF30)</f>
        <v>1</v>
      </c>
      <c r="AJ30" s="295"/>
      <c r="AK30" s="295"/>
      <c r="AL30" s="295"/>
      <c r="AM30" s="295"/>
      <c r="AN30" s="295"/>
      <c r="AO30" s="295"/>
    </row>
    <row r="31" spans="1:41" ht="47.25" customHeight="1" x14ac:dyDescent="0.3">
      <c r="A31" s="376">
        <v>25</v>
      </c>
      <c r="B31" s="377" t="s">
        <v>3286</v>
      </c>
      <c r="C31" s="378" t="s">
        <v>240</v>
      </c>
      <c r="D31" s="382" t="s">
        <v>246</v>
      </c>
      <c r="E31" s="398" t="s">
        <v>245</v>
      </c>
      <c r="F31" s="400" t="s">
        <v>244</v>
      </c>
      <c r="G31" s="379" t="s">
        <v>243</v>
      </c>
      <c r="H31" s="382" t="s">
        <v>242</v>
      </c>
      <c r="I31" s="397">
        <v>2021</v>
      </c>
      <c r="J31" s="383">
        <v>52</v>
      </c>
      <c r="K31" s="383">
        <v>7</v>
      </c>
      <c r="L31" s="383">
        <v>6.0666666666666664</v>
      </c>
      <c r="M31" s="384">
        <v>45152</v>
      </c>
      <c r="N31" s="384">
        <v>46247</v>
      </c>
      <c r="O31" s="399">
        <v>45152</v>
      </c>
      <c r="P31" s="386" t="s">
        <v>132</v>
      </c>
      <c r="Q31" s="398" t="s">
        <v>241</v>
      </c>
      <c r="R31" s="380" t="s">
        <v>20</v>
      </c>
      <c r="S31" s="380" t="s">
        <v>18</v>
      </c>
      <c r="T31" s="380" t="s">
        <v>18</v>
      </c>
      <c r="U31" s="380" t="s">
        <v>18</v>
      </c>
      <c r="V31" s="392" t="s">
        <v>20</v>
      </c>
      <c r="W31" s="380" t="s">
        <v>18</v>
      </c>
      <c r="X31" s="392" t="s">
        <v>20</v>
      </c>
      <c r="Y31" s="392" t="s">
        <v>20</v>
      </c>
      <c r="Z31" s="381" t="s">
        <v>218</v>
      </c>
      <c r="AA31" s="388" t="s">
        <v>129</v>
      </c>
      <c r="AB31" s="381" t="s">
        <v>18</v>
      </c>
      <c r="AC31" s="381" t="s">
        <v>18</v>
      </c>
      <c r="AD31" s="379"/>
      <c r="AE31" s="379" t="s">
        <v>17</v>
      </c>
      <c r="AF31" s="393" t="s">
        <v>240</v>
      </c>
      <c r="AG31" s="295"/>
      <c r="AH31" s="195">
        <f>SUMIF('TK 15661.Bản quyền phim '!F:F,'KK3. Kids'!C31,'TK 15661.Bản quyền phim '!X:X)</f>
        <v>0</v>
      </c>
      <c r="AI31" s="295">
        <f>COUNTIF('TK 15661.Bản quyền phim '!F:F,'KK3. Kids'!AF31)</f>
        <v>1</v>
      </c>
      <c r="AJ31" s="295"/>
      <c r="AK31" s="295"/>
      <c r="AL31" s="295"/>
      <c r="AM31" s="295"/>
      <c r="AN31" s="295"/>
      <c r="AO31" s="295"/>
    </row>
    <row r="32" spans="1:41" ht="55.5" customHeight="1" x14ac:dyDescent="0.3">
      <c r="A32" s="376">
        <v>26</v>
      </c>
      <c r="B32" s="377" t="s">
        <v>3287</v>
      </c>
      <c r="C32" s="401" t="s">
        <v>233</v>
      </c>
      <c r="D32" s="382" t="s">
        <v>237</v>
      </c>
      <c r="E32" s="401" t="s">
        <v>236</v>
      </c>
      <c r="F32" s="401" t="s">
        <v>235</v>
      </c>
      <c r="G32" s="379" t="s">
        <v>234</v>
      </c>
      <c r="H32" s="402" t="s">
        <v>196</v>
      </c>
      <c r="I32" s="401">
        <v>2021</v>
      </c>
      <c r="J32" s="401">
        <v>52</v>
      </c>
      <c r="K32" s="401">
        <v>11</v>
      </c>
      <c r="L32" s="383">
        <v>9.5333333333333332</v>
      </c>
      <c r="M32" s="403">
        <v>45200</v>
      </c>
      <c r="N32" s="403">
        <v>46295</v>
      </c>
      <c r="O32" s="404">
        <v>45243</v>
      </c>
      <c r="P32" s="386" t="s">
        <v>132</v>
      </c>
      <c r="Q32" s="401" t="s">
        <v>226</v>
      </c>
      <c r="R32" s="392" t="s">
        <v>20</v>
      </c>
      <c r="S32" s="380" t="s">
        <v>18</v>
      </c>
      <c r="T32" s="380" t="s">
        <v>18</v>
      </c>
      <c r="U32" s="380" t="s">
        <v>18</v>
      </c>
      <c r="V32" s="392" t="s">
        <v>20</v>
      </c>
      <c r="W32" s="392" t="s">
        <v>20</v>
      </c>
      <c r="X32" s="392" t="s">
        <v>20</v>
      </c>
      <c r="Y32" s="392" t="s">
        <v>20</v>
      </c>
      <c r="Z32" s="392" t="s">
        <v>218</v>
      </c>
      <c r="AA32" s="388" t="s">
        <v>129</v>
      </c>
      <c r="AB32" s="381" t="s">
        <v>18</v>
      </c>
      <c r="AC32" s="381" t="s">
        <v>18</v>
      </c>
      <c r="AD32" s="379"/>
      <c r="AE32" s="379" t="s">
        <v>17</v>
      </c>
      <c r="AF32" s="393" t="s">
        <v>233</v>
      </c>
      <c r="AG32" s="295"/>
      <c r="AH32" s="195">
        <f>SUMIF('TK 15661.Bản quyền phim '!F:F,'KK3. Kids'!C32,'TK 15661.Bản quyền phim '!X:X)</f>
        <v>0</v>
      </c>
      <c r="AI32" s="295">
        <f>COUNTIF('TK 15661.Bản quyền phim '!F:F,'KK3. Kids'!AF32)</f>
        <v>1</v>
      </c>
      <c r="AJ32" s="295"/>
      <c r="AK32" s="295"/>
      <c r="AL32" s="295"/>
      <c r="AM32" s="295"/>
      <c r="AN32" s="295"/>
      <c r="AO32" s="295"/>
    </row>
    <row r="33" spans="1:41" ht="42.75" customHeight="1" x14ac:dyDescent="0.3">
      <c r="A33" s="376">
        <v>27</v>
      </c>
      <c r="B33" s="405" t="s">
        <v>239</v>
      </c>
      <c r="C33" s="401" t="s">
        <v>238</v>
      </c>
      <c r="D33" s="382" t="s">
        <v>237</v>
      </c>
      <c r="E33" s="401" t="s">
        <v>236</v>
      </c>
      <c r="F33" s="401" t="s">
        <v>235</v>
      </c>
      <c r="G33" s="379" t="s">
        <v>234</v>
      </c>
      <c r="H33" s="402" t="s">
        <v>196</v>
      </c>
      <c r="I33" s="401">
        <v>2021</v>
      </c>
      <c r="J33" s="401">
        <v>1</v>
      </c>
      <c r="K33" s="401">
        <v>60</v>
      </c>
      <c r="L33" s="383">
        <v>1</v>
      </c>
      <c r="M33" s="403">
        <v>45200</v>
      </c>
      <c r="N33" s="403">
        <v>46295</v>
      </c>
      <c r="O33" s="404">
        <v>45241</v>
      </c>
      <c r="P33" s="386" t="s">
        <v>132</v>
      </c>
      <c r="Q33" s="401" t="s">
        <v>226</v>
      </c>
      <c r="R33" s="392" t="s">
        <v>20</v>
      </c>
      <c r="S33" s="380" t="s">
        <v>18</v>
      </c>
      <c r="T33" s="380" t="s">
        <v>18</v>
      </c>
      <c r="U33" s="380" t="s">
        <v>18</v>
      </c>
      <c r="V33" s="392" t="s">
        <v>20</v>
      </c>
      <c r="W33" s="392" t="s">
        <v>20</v>
      </c>
      <c r="X33" s="392" t="s">
        <v>20</v>
      </c>
      <c r="Y33" s="392" t="s">
        <v>20</v>
      </c>
      <c r="Z33" s="392" t="s">
        <v>218</v>
      </c>
      <c r="AA33" s="388" t="s">
        <v>129</v>
      </c>
      <c r="AB33" s="381" t="s">
        <v>18</v>
      </c>
      <c r="AC33" s="381" t="s">
        <v>18</v>
      </c>
      <c r="AD33" s="379"/>
      <c r="AE33" s="379" t="s">
        <v>17</v>
      </c>
      <c r="AF33" s="295" t="s">
        <v>233</v>
      </c>
      <c r="AG33" s="295"/>
      <c r="AH33" s="195">
        <f>SUMIF('TK 15661.Bản quyền phim '!F:F,'KK3. Kids'!C33,'TK 15661.Bản quyền phim '!X:X)</f>
        <v>0</v>
      </c>
      <c r="AI33" s="295">
        <f>COUNTIF('TK 15661.Bản quyền phim '!F:F,'KK3. Kids'!AF33)</f>
        <v>1</v>
      </c>
      <c r="AJ33" s="295"/>
      <c r="AK33" s="295"/>
      <c r="AL33" s="295"/>
      <c r="AM33" s="295"/>
      <c r="AN33" s="295"/>
      <c r="AO33" s="295"/>
    </row>
    <row r="34" spans="1:41" ht="60" customHeight="1" x14ac:dyDescent="0.3">
      <c r="A34" s="376">
        <v>28</v>
      </c>
      <c r="B34" s="377" t="s">
        <v>3288</v>
      </c>
      <c r="C34" s="400" t="s">
        <v>232</v>
      </c>
      <c r="D34" s="382" t="s">
        <v>230</v>
      </c>
      <c r="E34" s="400" t="s">
        <v>229</v>
      </c>
      <c r="F34" s="400" t="s">
        <v>228</v>
      </c>
      <c r="G34" s="398" t="s">
        <v>227</v>
      </c>
      <c r="H34" s="382"/>
      <c r="I34" s="397">
        <v>2017</v>
      </c>
      <c r="J34" s="400">
        <v>26</v>
      </c>
      <c r="K34" s="400">
        <v>11</v>
      </c>
      <c r="L34" s="383">
        <v>4.7666666666666666</v>
      </c>
      <c r="M34" s="406">
        <v>45261</v>
      </c>
      <c r="N34" s="406">
        <v>46356</v>
      </c>
      <c r="O34" s="404">
        <v>45278</v>
      </c>
      <c r="P34" s="381" t="s">
        <v>132</v>
      </c>
      <c r="Q34" s="400" t="s">
        <v>226</v>
      </c>
      <c r="R34" s="392" t="s">
        <v>20</v>
      </c>
      <c r="S34" s="380" t="s">
        <v>18</v>
      </c>
      <c r="T34" s="380" t="s">
        <v>18</v>
      </c>
      <c r="U34" s="380" t="s">
        <v>18</v>
      </c>
      <c r="V34" s="392" t="s">
        <v>20</v>
      </c>
      <c r="W34" s="392" t="s">
        <v>20</v>
      </c>
      <c r="X34" s="392" t="s">
        <v>20</v>
      </c>
      <c r="Y34" s="392" t="s">
        <v>20</v>
      </c>
      <c r="Z34" s="392" t="s">
        <v>218</v>
      </c>
      <c r="AA34" s="388" t="s">
        <v>129</v>
      </c>
      <c r="AB34" s="381" t="s">
        <v>18</v>
      </c>
      <c r="AC34" s="381" t="s">
        <v>18</v>
      </c>
      <c r="AD34" s="379"/>
      <c r="AE34" s="379" t="s">
        <v>17</v>
      </c>
      <c r="AF34" s="295" t="s">
        <v>231</v>
      </c>
      <c r="AG34" s="295"/>
      <c r="AH34" s="195">
        <f>SUMIF('TK 15661.Bản quyền phim '!F:F,'KK3. Kids'!C34,'TK 15661.Bản quyền phim '!X:X)</f>
        <v>0</v>
      </c>
      <c r="AI34" s="295">
        <f>COUNTIF('TK 15661.Bản quyền phim '!F:F,'KK3. Kids'!AF34)</f>
        <v>1</v>
      </c>
      <c r="AJ34" s="295"/>
      <c r="AK34" s="295"/>
      <c r="AL34" s="295"/>
      <c r="AM34" s="295"/>
      <c r="AN34" s="295"/>
      <c r="AO34" s="295"/>
    </row>
    <row r="35" spans="1:41" ht="50.25" customHeight="1" x14ac:dyDescent="0.3">
      <c r="A35" s="376">
        <v>29</v>
      </c>
      <c r="B35" s="377" t="s">
        <v>3289</v>
      </c>
      <c r="C35" s="400" t="s">
        <v>225</v>
      </c>
      <c r="D35" s="382" t="s">
        <v>230</v>
      </c>
      <c r="E35" s="400" t="s">
        <v>229</v>
      </c>
      <c r="F35" s="400" t="s">
        <v>228</v>
      </c>
      <c r="G35" s="398" t="s">
        <v>227</v>
      </c>
      <c r="H35" s="382"/>
      <c r="I35" s="397">
        <v>2018</v>
      </c>
      <c r="J35" s="400">
        <v>26</v>
      </c>
      <c r="K35" s="400">
        <v>11</v>
      </c>
      <c r="L35" s="383">
        <v>4.7666666666666666</v>
      </c>
      <c r="M35" s="406">
        <v>45261</v>
      </c>
      <c r="N35" s="406">
        <v>46356</v>
      </c>
      <c r="O35" s="404">
        <v>45295</v>
      </c>
      <c r="P35" s="381" t="s">
        <v>132</v>
      </c>
      <c r="Q35" s="400" t="s">
        <v>226</v>
      </c>
      <c r="R35" s="392" t="s">
        <v>20</v>
      </c>
      <c r="S35" s="380" t="s">
        <v>18</v>
      </c>
      <c r="T35" s="380" t="s">
        <v>18</v>
      </c>
      <c r="U35" s="380" t="s">
        <v>18</v>
      </c>
      <c r="V35" s="392" t="s">
        <v>20</v>
      </c>
      <c r="W35" s="392" t="s">
        <v>20</v>
      </c>
      <c r="X35" s="392" t="s">
        <v>20</v>
      </c>
      <c r="Y35" s="392" t="s">
        <v>20</v>
      </c>
      <c r="Z35" s="392" t="s">
        <v>218</v>
      </c>
      <c r="AA35" s="388" t="s">
        <v>129</v>
      </c>
      <c r="AB35" s="381" t="s">
        <v>18</v>
      </c>
      <c r="AC35" s="381" t="s">
        <v>18</v>
      </c>
      <c r="AD35" s="379"/>
      <c r="AE35" s="379" t="s">
        <v>17</v>
      </c>
      <c r="AF35" s="393" t="s">
        <v>225</v>
      </c>
      <c r="AG35" s="295"/>
      <c r="AH35" s="195">
        <f>SUMIF('TK 15661.Bản quyền phim '!F:F,'KK3. Kids'!C35,'TK 15661.Bản quyền phim '!X:X)</f>
        <v>0</v>
      </c>
      <c r="AI35" s="295">
        <f>COUNTIF('TK 15661.Bản quyền phim '!F:F,'KK3. Kids'!AF35)</f>
        <v>1</v>
      </c>
      <c r="AJ35" s="295"/>
      <c r="AK35" s="295"/>
      <c r="AL35" s="295"/>
      <c r="AM35" s="295"/>
      <c r="AN35" s="295"/>
      <c r="AO35" s="295"/>
    </row>
    <row r="36" spans="1:41" ht="45.75" customHeight="1" x14ac:dyDescent="0.3">
      <c r="A36" s="376">
        <v>30</v>
      </c>
      <c r="B36" s="377" t="s">
        <v>3290</v>
      </c>
      <c r="C36" s="400" t="s">
        <v>224</v>
      </c>
      <c r="D36" s="382" t="s">
        <v>223</v>
      </c>
      <c r="E36" s="400" t="s">
        <v>222</v>
      </c>
      <c r="F36" s="400" t="s">
        <v>221</v>
      </c>
      <c r="G36" s="379" t="s">
        <v>220</v>
      </c>
      <c r="H36" s="407" t="s">
        <v>219</v>
      </c>
      <c r="I36" s="400">
        <v>2023</v>
      </c>
      <c r="J36" s="400">
        <v>52</v>
      </c>
      <c r="K36" s="400">
        <v>25</v>
      </c>
      <c r="L36" s="383">
        <v>21.666666666666668</v>
      </c>
      <c r="M36" s="406">
        <v>45345</v>
      </c>
      <c r="N36" s="406">
        <v>46440</v>
      </c>
      <c r="O36" s="404">
        <v>45345</v>
      </c>
      <c r="P36" s="381" t="s">
        <v>132</v>
      </c>
      <c r="Q36" s="400" t="s">
        <v>211</v>
      </c>
      <c r="R36" s="397" t="s">
        <v>20</v>
      </c>
      <c r="S36" s="380" t="s">
        <v>18</v>
      </c>
      <c r="T36" s="380" t="s">
        <v>18</v>
      </c>
      <c r="U36" s="380" t="s">
        <v>18</v>
      </c>
      <c r="V36" s="397" t="s">
        <v>20</v>
      </c>
      <c r="W36" s="397" t="s">
        <v>20</v>
      </c>
      <c r="X36" s="397" t="s">
        <v>20</v>
      </c>
      <c r="Y36" s="397" t="s">
        <v>20</v>
      </c>
      <c r="Z36" s="392" t="s">
        <v>218</v>
      </c>
      <c r="AA36" s="388" t="s">
        <v>129</v>
      </c>
      <c r="AB36" s="381" t="s">
        <v>18</v>
      </c>
      <c r="AC36" s="381" t="s">
        <v>18</v>
      </c>
      <c r="AD36" s="379"/>
      <c r="AE36" s="379" t="s">
        <v>17</v>
      </c>
      <c r="AF36" s="295" t="s">
        <v>217</v>
      </c>
      <c r="AG36" s="295"/>
      <c r="AH36" s="195">
        <f>SUMIF('TK 15661.Bản quyền phim '!F:F,'KK3. Kids'!C36,'TK 15661.Bản quyền phim '!X:X)</f>
        <v>0</v>
      </c>
      <c r="AI36" s="295">
        <f>COUNTIF('TK 15661.Bản quyền phim '!F:F,'KK3. Kids'!AF36)</f>
        <v>1</v>
      </c>
      <c r="AJ36" s="295"/>
      <c r="AK36" s="295"/>
      <c r="AL36" s="295"/>
      <c r="AM36" s="295"/>
      <c r="AN36" s="295"/>
      <c r="AO36" s="295"/>
    </row>
    <row r="37" spans="1:41" ht="61.5" customHeight="1" x14ac:dyDescent="0.3">
      <c r="A37" s="376">
        <v>31</v>
      </c>
      <c r="B37" s="377" t="s">
        <v>3291</v>
      </c>
      <c r="C37" s="400" t="s">
        <v>215</v>
      </c>
      <c r="D37" s="382" t="s">
        <v>216</v>
      </c>
      <c r="E37" s="400" t="s">
        <v>144</v>
      </c>
      <c r="F37" s="400" t="s">
        <v>213</v>
      </c>
      <c r="G37" s="379" t="s">
        <v>212</v>
      </c>
      <c r="H37" s="407" t="s">
        <v>161</v>
      </c>
      <c r="I37" s="397">
        <v>2018</v>
      </c>
      <c r="J37" s="400">
        <v>52</v>
      </c>
      <c r="K37" s="400">
        <v>12</v>
      </c>
      <c r="L37" s="383">
        <v>10.4</v>
      </c>
      <c r="M37" s="406">
        <v>45390</v>
      </c>
      <c r="N37" s="406">
        <v>46484</v>
      </c>
      <c r="O37" s="404">
        <v>45413</v>
      </c>
      <c r="P37" s="381" t="s">
        <v>132</v>
      </c>
      <c r="Q37" s="400" t="s">
        <v>211</v>
      </c>
      <c r="R37" s="397" t="s">
        <v>20</v>
      </c>
      <c r="S37" s="380" t="s">
        <v>18</v>
      </c>
      <c r="T37" s="380" t="s">
        <v>18</v>
      </c>
      <c r="U37" s="380" t="s">
        <v>18</v>
      </c>
      <c r="V37" s="397" t="s">
        <v>20</v>
      </c>
      <c r="W37" s="380" t="s">
        <v>18</v>
      </c>
      <c r="X37" s="397" t="s">
        <v>20</v>
      </c>
      <c r="Y37" s="381" t="s">
        <v>194</v>
      </c>
      <c r="Z37" s="397" t="s">
        <v>130</v>
      </c>
      <c r="AA37" s="388" t="s">
        <v>129</v>
      </c>
      <c r="AB37" s="381" t="s">
        <v>18</v>
      </c>
      <c r="AC37" s="381" t="s">
        <v>18</v>
      </c>
      <c r="AD37" s="379"/>
      <c r="AE37" s="379" t="s">
        <v>17</v>
      </c>
      <c r="AF37" s="393" t="s">
        <v>215</v>
      </c>
      <c r="AG37" s="295"/>
      <c r="AH37" s="195">
        <f>SUMIF('TK 15661.Bản quyền phim '!F:F,'KK3. Kids'!C37,'TK 15661.Bản quyền phim '!X:X)</f>
        <v>85903999.999999985</v>
      </c>
      <c r="AI37" s="295">
        <f>COUNTIF('TK 15661.Bản quyền phim '!F:F,'KK3. Kids'!AF37)</f>
        <v>1</v>
      </c>
      <c r="AJ37" s="295"/>
      <c r="AK37" s="295"/>
      <c r="AL37" s="295"/>
      <c r="AM37" s="295"/>
      <c r="AN37" s="295"/>
      <c r="AO37" s="295"/>
    </row>
    <row r="38" spans="1:41" ht="44.25" customHeight="1" x14ac:dyDescent="0.3">
      <c r="A38" s="376">
        <v>32</v>
      </c>
      <c r="B38" s="377" t="s">
        <v>3292</v>
      </c>
      <c r="C38" s="400" t="s">
        <v>210</v>
      </c>
      <c r="D38" s="400" t="s">
        <v>214</v>
      </c>
      <c r="E38" s="400" t="s">
        <v>144</v>
      </c>
      <c r="F38" s="400" t="s">
        <v>213</v>
      </c>
      <c r="G38" s="379" t="s">
        <v>212</v>
      </c>
      <c r="H38" s="407" t="s">
        <v>161</v>
      </c>
      <c r="I38" s="397">
        <v>2018</v>
      </c>
      <c r="J38" s="400">
        <v>52</v>
      </c>
      <c r="K38" s="400">
        <v>12</v>
      </c>
      <c r="L38" s="383">
        <v>10.4</v>
      </c>
      <c r="M38" s="406">
        <v>45416</v>
      </c>
      <c r="N38" s="406">
        <v>46510</v>
      </c>
      <c r="O38" s="404">
        <v>45558</v>
      </c>
      <c r="P38" s="381" t="s">
        <v>132</v>
      </c>
      <c r="Q38" s="400" t="s">
        <v>211</v>
      </c>
      <c r="R38" s="397" t="s">
        <v>20</v>
      </c>
      <c r="S38" s="380" t="s">
        <v>18</v>
      </c>
      <c r="T38" s="380" t="s">
        <v>18</v>
      </c>
      <c r="U38" s="380" t="s">
        <v>18</v>
      </c>
      <c r="V38" s="397" t="s">
        <v>20</v>
      </c>
      <c r="W38" s="380" t="s">
        <v>18</v>
      </c>
      <c r="X38" s="397" t="s">
        <v>20</v>
      </c>
      <c r="Y38" s="381" t="s">
        <v>194</v>
      </c>
      <c r="Z38" s="397" t="s">
        <v>130</v>
      </c>
      <c r="AA38" s="388" t="s">
        <v>129</v>
      </c>
      <c r="AB38" s="381" t="s">
        <v>18</v>
      </c>
      <c r="AC38" s="381" t="s">
        <v>18</v>
      </c>
      <c r="AD38" s="379"/>
      <c r="AE38" s="379" t="s">
        <v>17</v>
      </c>
      <c r="AF38" s="393" t="s">
        <v>210</v>
      </c>
      <c r="AG38" s="295"/>
      <c r="AH38" s="195">
        <f>SUMIF('TK 15661.Bản quyền phim '!F:F,'KK3. Kids'!C38,'TK 15661.Bản quyền phim '!X:X)</f>
        <v>64428000</v>
      </c>
      <c r="AI38" s="295">
        <f>COUNTIF('TK 15661.Bản quyền phim '!F:F,'KK3. Kids'!AF38)</f>
        <v>1</v>
      </c>
      <c r="AJ38" s="295"/>
      <c r="AK38" s="295"/>
      <c r="AL38" s="295"/>
      <c r="AM38" s="295"/>
      <c r="AN38" s="295"/>
      <c r="AO38" s="295"/>
    </row>
    <row r="39" spans="1:41" ht="43.5" customHeight="1" x14ac:dyDescent="0.3">
      <c r="A39" s="376">
        <v>33</v>
      </c>
      <c r="B39" s="377" t="s">
        <v>3293</v>
      </c>
      <c r="C39" s="400" t="s">
        <v>209</v>
      </c>
      <c r="D39" s="400" t="s">
        <v>208</v>
      </c>
      <c r="E39" s="400" t="s">
        <v>144</v>
      </c>
      <c r="F39" s="400" t="s">
        <v>198</v>
      </c>
      <c r="G39" s="392" t="s">
        <v>197</v>
      </c>
      <c r="H39" s="407" t="s">
        <v>196</v>
      </c>
      <c r="I39" s="397">
        <v>2012</v>
      </c>
      <c r="J39" s="400">
        <v>20</v>
      </c>
      <c r="K39" s="400">
        <v>30</v>
      </c>
      <c r="L39" s="383">
        <v>10</v>
      </c>
      <c r="M39" s="406">
        <v>45383</v>
      </c>
      <c r="N39" s="406">
        <v>46112</v>
      </c>
      <c r="O39" s="404">
        <v>45383</v>
      </c>
      <c r="P39" s="386" t="s">
        <v>132</v>
      </c>
      <c r="Q39" s="400" t="s">
        <v>195</v>
      </c>
      <c r="R39" s="397" t="s">
        <v>20</v>
      </c>
      <c r="S39" s="380" t="s">
        <v>18</v>
      </c>
      <c r="T39" s="380" t="s">
        <v>18</v>
      </c>
      <c r="U39" s="380" t="s">
        <v>18</v>
      </c>
      <c r="V39" s="397" t="s">
        <v>20</v>
      </c>
      <c r="W39" s="397" t="s">
        <v>20</v>
      </c>
      <c r="X39" s="397" t="s">
        <v>20</v>
      </c>
      <c r="Y39" s="381" t="s">
        <v>194</v>
      </c>
      <c r="Z39" s="397" t="s">
        <v>193</v>
      </c>
      <c r="AA39" s="388">
        <v>6</v>
      </c>
      <c r="AB39" s="381" t="s">
        <v>18</v>
      </c>
      <c r="AC39" s="381" t="s">
        <v>18</v>
      </c>
      <c r="AD39" s="379"/>
      <c r="AE39" s="379" t="s">
        <v>17</v>
      </c>
      <c r="AF39" s="295" t="s">
        <v>207</v>
      </c>
      <c r="AG39" s="295"/>
      <c r="AH39" s="195">
        <f>SUMIF('TK 15661.Bản quyền phim '!F:F,'KK3. Kids'!C39,'TK 15661.Bản quyền phim '!X:X)</f>
        <v>0</v>
      </c>
      <c r="AI39" s="295">
        <f>COUNTIF('TK 15661.Bản quyền phim '!F:F,'KK3. Kids'!AF39)</f>
        <v>1</v>
      </c>
      <c r="AJ39" s="295"/>
      <c r="AK39" s="295"/>
      <c r="AL39" s="295"/>
      <c r="AM39" s="295"/>
      <c r="AN39" s="295"/>
      <c r="AO39" s="295"/>
    </row>
    <row r="40" spans="1:41" ht="45.75" customHeight="1" x14ac:dyDescent="0.3">
      <c r="A40" s="376">
        <v>34</v>
      </c>
      <c r="B40" s="377" t="s">
        <v>3294</v>
      </c>
      <c r="C40" s="400" t="s">
        <v>206</v>
      </c>
      <c r="D40" s="400" t="s">
        <v>205</v>
      </c>
      <c r="E40" s="400" t="s">
        <v>144</v>
      </c>
      <c r="F40" s="400" t="s">
        <v>198</v>
      </c>
      <c r="G40" s="392" t="s">
        <v>197</v>
      </c>
      <c r="H40" s="407" t="s">
        <v>196</v>
      </c>
      <c r="I40" s="397">
        <v>2020</v>
      </c>
      <c r="J40" s="400">
        <v>26</v>
      </c>
      <c r="K40" s="400">
        <v>30</v>
      </c>
      <c r="L40" s="383">
        <v>13</v>
      </c>
      <c r="M40" s="406">
        <v>45481</v>
      </c>
      <c r="N40" s="406">
        <v>46210</v>
      </c>
      <c r="O40" s="404">
        <v>45481</v>
      </c>
      <c r="P40" s="386" t="s">
        <v>132</v>
      </c>
      <c r="Q40" s="400" t="s">
        <v>195</v>
      </c>
      <c r="R40" s="397" t="s">
        <v>20</v>
      </c>
      <c r="S40" s="380" t="s">
        <v>18</v>
      </c>
      <c r="T40" s="380" t="s">
        <v>18</v>
      </c>
      <c r="U40" s="380" t="s">
        <v>18</v>
      </c>
      <c r="V40" s="397" t="s">
        <v>20</v>
      </c>
      <c r="W40" s="397" t="s">
        <v>20</v>
      </c>
      <c r="X40" s="397" t="s">
        <v>20</v>
      </c>
      <c r="Y40" s="381" t="s">
        <v>194</v>
      </c>
      <c r="Z40" s="397" t="s">
        <v>193</v>
      </c>
      <c r="AA40" s="388">
        <v>6</v>
      </c>
      <c r="AB40" s="381" t="s">
        <v>18</v>
      </c>
      <c r="AC40" s="381" t="s">
        <v>18</v>
      </c>
      <c r="AD40" s="379"/>
      <c r="AE40" s="379" t="s">
        <v>17</v>
      </c>
      <c r="AF40" s="295" t="s">
        <v>204</v>
      </c>
      <c r="AG40" s="295"/>
      <c r="AH40" s="195">
        <f>SUMIF('TK 15661.Bản quyền phim '!F:F,'KK3. Kids'!C40,'TK 15661.Bản quyền phim '!X:X)</f>
        <v>0</v>
      </c>
      <c r="AI40" s="295">
        <f>COUNTIF('TK 15661.Bản quyền phim '!F:F,'KK3. Kids'!AF40)</f>
        <v>1</v>
      </c>
      <c r="AJ40" s="295"/>
      <c r="AK40" s="295"/>
      <c r="AL40" s="295"/>
      <c r="AM40" s="295"/>
      <c r="AN40" s="295"/>
      <c r="AO40" s="295"/>
    </row>
    <row r="41" spans="1:41" ht="40.5" customHeight="1" x14ac:dyDescent="0.3">
      <c r="A41" s="376">
        <v>35</v>
      </c>
      <c r="B41" s="405" t="s">
        <v>3295</v>
      </c>
      <c r="C41" s="400" t="s">
        <v>203</v>
      </c>
      <c r="D41" s="400" t="s">
        <v>202</v>
      </c>
      <c r="E41" s="400" t="s">
        <v>144</v>
      </c>
      <c r="F41" s="400" t="s">
        <v>198</v>
      </c>
      <c r="G41" s="392" t="s">
        <v>197</v>
      </c>
      <c r="H41" s="407" t="s">
        <v>196</v>
      </c>
      <c r="I41" s="397">
        <v>2020</v>
      </c>
      <c r="J41" s="400">
        <v>26</v>
      </c>
      <c r="K41" s="400">
        <v>30</v>
      </c>
      <c r="L41" s="383">
        <v>13</v>
      </c>
      <c r="M41" s="406">
        <v>45516</v>
      </c>
      <c r="N41" s="406">
        <v>46245</v>
      </c>
      <c r="O41" s="404">
        <v>45523</v>
      </c>
      <c r="P41" s="381" t="s">
        <v>132</v>
      </c>
      <c r="Q41" s="400" t="s">
        <v>195</v>
      </c>
      <c r="R41" s="397" t="s">
        <v>20</v>
      </c>
      <c r="S41" s="380" t="s">
        <v>18</v>
      </c>
      <c r="T41" s="380" t="s">
        <v>18</v>
      </c>
      <c r="U41" s="380" t="s">
        <v>18</v>
      </c>
      <c r="V41" s="397" t="s">
        <v>20</v>
      </c>
      <c r="W41" s="397" t="s">
        <v>20</v>
      </c>
      <c r="X41" s="397" t="s">
        <v>20</v>
      </c>
      <c r="Y41" s="381" t="s">
        <v>194</v>
      </c>
      <c r="Z41" s="397" t="s">
        <v>193</v>
      </c>
      <c r="AA41" s="388">
        <v>6</v>
      </c>
      <c r="AB41" s="381" t="s">
        <v>18</v>
      </c>
      <c r="AC41" s="381" t="s">
        <v>18</v>
      </c>
      <c r="AD41" s="379"/>
      <c r="AE41" s="379" t="s">
        <v>17</v>
      </c>
      <c r="AF41" s="295" t="s">
        <v>201</v>
      </c>
      <c r="AG41" s="295"/>
      <c r="AH41" s="195">
        <f>SUMIF('TK 15661.Bản quyền phim '!F:F,'KK3. Kids'!C41,'TK 15661.Bản quyền phim '!X:X)</f>
        <v>0</v>
      </c>
      <c r="AI41" s="295">
        <f>COUNTIF('TK 15661.Bản quyền phim '!F:F,'KK3. Kids'!AF41)</f>
        <v>1</v>
      </c>
      <c r="AJ41" s="295"/>
      <c r="AK41" s="295"/>
      <c r="AL41" s="295"/>
      <c r="AM41" s="295"/>
      <c r="AN41" s="295"/>
      <c r="AO41" s="295"/>
    </row>
    <row r="42" spans="1:41" ht="42.75" customHeight="1" x14ac:dyDescent="0.3">
      <c r="A42" s="376">
        <v>36</v>
      </c>
      <c r="B42" s="377" t="s">
        <v>3296</v>
      </c>
      <c r="C42" s="400" t="s">
        <v>200</v>
      </c>
      <c r="D42" s="400" t="s">
        <v>199</v>
      </c>
      <c r="E42" s="400" t="s">
        <v>144</v>
      </c>
      <c r="F42" s="400" t="s">
        <v>198</v>
      </c>
      <c r="G42" s="392" t="s">
        <v>197</v>
      </c>
      <c r="H42" s="407" t="s">
        <v>196</v>
      </c>
      <c r="I42" s="397">
        <v>2013</v>
      </c>
      <c r="J42" s="400">
        <v>26</v>
      </c>
      <c r="K42" s="400">
        <v>30</v>
      </c>
      <c r="L42" s="383">
        <v>13</v>
      </c>
      <c r="M42" s="406">
        <v>45423</v>
      </c>
      <c r="N42" s="406">
        <v>46152</v>
      </c>
      <c r="O42" s="404">
        <v>45423</v>
      </c>
      <c r="P42" s="386" t="s">
        <v>132</v>
      </c>
      <c r="Q42" s="400" t="s">
        <v>195</v>
      </c>
      <c r="R42" s="397" t="s">
        <v>20</v>
      </c>
      <c r="S42" s="380" t="s">
        <v>18</v>
      </c>
      <c r="T42" s="380" t="s">
        <v>18</v>
      </c>
      <c r="U42" s="380" t="s">
        <v>18</v>
      </c>
      <c r="V42" s="397" t="s">
        <v>20</v>
      </c>
      <c r="W42" s="397" t="s">
        <v>20</v>
      </c>
      <c r="X42" s="397" t="s">
        <v>20</v>
      </c>
      <c r="Y42" s="381" t="s">
        <v>194</v>
      </c>
      <c r="Z42" s="397" t="s">
        <v>193</v>
      </c>
      <c r="AA42" s="388">
        <v>6</v>
      </c>
      <c r="AB42" s="381" t="s">
        <v>18</v>
      </c>
      <c r="AC42" s="381" t="s">
        <v>18</v>
      </c>
      <c r="AD42" s="379"/>
      <c r="AE42" s="379" t="s">
        <v>17</v>
      </c>
      <c r="AF42" s="295" t="s">
        <v>192</v>
      </c>
      <c r="AG42" s="295"/>
      <c r="AH42" s="195">
        <f>SUMIF('TK 15661.Bản quyền phim '!F:F,'KK3. Kids'!C42,'TK 15661.Bản quyền phim '!X:X)</f>
        <v>0</v>
      </c>
      <c r="AI42" s="295">
        <f>COUNTIF('TK 15661.Bản quyền phim '!F:F,'KK3. Kids'!AF42)</f>
        <v>1</v>
      </c>
      <c r="AJ42" s="295"/>
      <c r="AK42" s="295"/>
      <c r="AL42" s="295"/>
      <c r="AM42" s="295"/>
      <c r="AN42" s="295"/>
      <c r="AO42" s="295"/>
    </row>
    <row r="43" spans="1:41" ht="40.5" customHeight="1" x14ac:dyDescent="0.3">
      <c r="A43" s="376">
        <v>37</v>
      </c>
      <c r="B43" s="377" t="s">
        <v>3297</v>
      </c>
      <c r="C43" s="400" t="s">
        <v>191</v>
      </c>
      <c r="D43" s="400" t="s">
        <v>189</v>
      </c>
      <c r="E43" s="400" t="s">
        <v>136</v>
      </c>
      <c r="F43" s="400" t="s">
        <v>188</v>
      </c>
      <c r="G43" s="398" t="s">
        <v>187</v>
      </c>
      <c r="H43" s="407" t="s">
        <v>186</v>
      </c>
      <c r="I43" s="397" t="s">
        <v>185</v>
      </c>
      <c r="J43" s="400">
        <v>52</v>
      </c>
      <c r="K43" s="400">
        <v>30</v>
      </c>
      <c r="L43" s="383">
        <v>26</v>
      </c>
      <c r="M43" s="406">
        <v>45352</v>
      </c>
      <c r="N43" s="406">
        <v>46446</v>
      </c>
      <c r="O43" s="404">
        <v>45352</v>
      </c>
      <c r="P43" s="381" t="s">
        <v>132</v>
      </c>
      <c r="Q43" s="400" t="s">
        <v>131</v>
      </c>
      <c r="R43" s="397" t="s">
        <v>20</v>
      </c>
      <c r="S43" s="380" t="s">
        <v>18</v>
      </c>
      <c r="T43" s="380" t="s">
        <v>18</v>
      </c>
      <c r="U43" s="380" t="s">
        <v>18</v>
      </c>
      <c r="V43" s="397" t="s">
        <v>20</v>
      </c>
      <c r="W43" s="397" t="s">
        <v>20</v>
      </c>
      <c r="X43" s="397" t="s">
        <v>20</v>
      </c>
      <c r="Y43" s="397" t="s">
        <v>20</v>
      </c>
      <c r="Z43" s="397" t="s">
        <v>130</v>
      </c>
      <c r="AA43" s="388" t="s">
        <v>129</v>
      </c>
      <c r="AB43" s="381" t="s">
        <v>18</v>
      </c>
      <c r="AC43" s="381" t="s">
        <v>18</v>
      </c>
      <c r="AD43" s="379"/>
      <c r="AE43" s="379" t="s">
        <v>17</v>
      </c>
      <c r="AF43" s="295" t="s">
        <v>184</v>
      </c>
      <c r="AG43" s="295"/>
      <c r="AH43" s="195">
        <f>SUMIF('TK 15661.Bản quyền phim '!F:F,'KK3. Kids'!C43,'TK 15661.Bản quyền phim '!X:X)</f>
        <v>0</v>
      </c>
      <c r="AI43" s="295">
        <f>COUNTIF('TK 15661.Bản quyền phim '!F:F,'KK3. Kids'!AF43)</f>
        <v>1</v>
      </c>
      <c r="AJ43" s="295"/>
      <c r="AK43" s="295"/>
      <c r="AL43" s="295"/>
      <c r="AM43" s="295"/>
      <c r="AN43" s="295"/>
      <c r="AO43" s="295"/>
    </row>
    <row r="44" spans="1:41" ht="40.5" customHeight="1" x14ac:dyDescent="0.3">
      <c r="A44" s="376">
        <f>A43+1</f>
        <v>38</v>
      </c>
      <c r="B44" s="377" t="s">
        <v>3298</v>
      </c>
      <c r="C44" s="400" t="s">
        <v>190</v>
      </c>
      <c r="D44" s="400" t="s">
        <v>189</v>
      </c>
      <c r="E44" s="400" t="s">
        <v>136</v>
      </c>
      <c r="F44" s="400" t="s">
        <v>188</v>
      </c>
      <c r="G44" s="398" t="s">
        <v>187</v>
      </c>
      <c r="H44" s="407" t="s">
        <v>186</v>
      </c>
      <c r="I44" s="397" t="s">
        <v>185</v>
      </c>
      <c r="J44" s="400">
        <v>52</v>
      </c>
      <c r="K44" s="400">
        <v>30</v>
      </c>
      <c r="L44" s="383">
        <v>26</v>
      </c>
      <c r="M44" s="406">
        <v>45352</v>
      </c>
      <c r="N44" s="406">
        <v>46446</v>
      </c>
      <c r="O44" s="404">
        <v>45352</v>
      </c>
      <c r="P44" s="381" t="s">
        <v>132</v>
      </c>
      <c r="Q44" s="400" t="s">
        <v>131</v>
      </c>
      <c r="R44" s="397" t="s">
        <v>20</v>
      </c>
      <c r="S44" s="380" t="s">
        <v>18</v>
      </c>
      <c r="T44" s="380" t="s">
        <v>18</v>
      </c>
      <c r="U44" s="380" t="s">
        <v>18</v>
      </c>
      <c r="V44" s="397" t="s">
        <v>20</v>
      </c>
      <c r="W44" s="397" t="s">
        <v>20</v>
      </c>
      <c r="X44" s="397" t="s">
        <v>20</v>
      </c>
      <c r="Y44" s="397" t="s">
        <v>20</v>
      </c>
      <c r="Z44" s="397" t="s">
        <v>130</v>
      </c>
      <c r="AA44" s="388" t="s">
        <v>129</v>
      </c>
      <c r="AB44" s="381" t="s">
        <v>18</v>
      </c>
      <c r="AC44" s="381" t="s">
        <v>18</v>
      </c>
      <c r="AD44" s="379"/>
      <c r="AE44" s="379" t="s">
        <v>17</v>
      </c>
      <c r="AF44" s="408" t="s">
        <v>184</v>
      </c>
      <c r="AG44" s="295"/>
      <c r="AH44" s="195">
        <f>SUMIF('TK 15661.Bản quyền phim '!F:F,'KK3. Kids'!C44,'TK 15661.Bản quyền phim '!X:X)</f>
        <v>0</v>
      </c>
      <c r="AI44" s="295">
        <f>COUNTIF('TK 15661.Bản quyền phim '!F:F,'KK3. Kids'!AF44)</f>
        <v>1</v>
      </c>
      <c r="AJ44" s="295"/>
      <c r="AK44" s="295"/>
      <c r="AL44" s="295"/>
      <c r="AM44" s="295"/>
      <c r="AN44" s="295"/>
      <c r="AO44" s="295"/>
    </row>
    <row r="45" spans="1:41" ht="48" customHeight="1" x14ac:dyDescent="0.3">
      <c r="A45" s="376">
        <f t="shared" ref="A45:A57" si="0">A44+1</f>
        <v>39</v>
      </c>
      <c r="B45" s="377" t="s">
        <v>3299</v>
      </c>
      <c r="C45" s="400" t="s">
        <v>183</v>
      </c>
      <c r="D45" s="400" t="s">
        <v>181</v>
      </c>
      <c r="E45" s="400" t="s">
        <v>157</v>
      </c>
      <c r="F45" s="400" t="s">
        <v>180</v>
      </c>
      <c r="G45" s="379" t="s">
        <v>179</v>
      </c>
      <c r="H45" s="407" t="s">
        <v>178</v>
      </c>
      <c r="I45" s="397">
        <v>2020</v>
      </c>
      <c r="J45" s="400">
        <v>78</v>
      </c>
      <c r="K45" s="400">
        <v>13</v>
      </c>
      <c r="L45" s="383">
        <v>16.899999999999999</v>
      </c>
      <c r="M45" s="406">
        <v>45465</v>
      </c>
      <c r="N45" s="406">
        <v>46559</v>
      </c>
      <c r="O45" s="404">
        <v>45465</v>
      </c>
      <c r="P45" s="386" t="s">
        <v>132</v>
      </c>
      <c r="Q45" s="400" t="s">
        <v>131</v>
      </c>
      <c r="R45" s="397" t="s">
        <v>20</v>
      </c>
      <c r="S45" s="380" t="s">
        <v>18</v>
      </c>
      <c r="T45" s="380" t="s">
        <v>18</v>
      </c>
      <c r="U45" s="380" t="s">
        <v>18</v>
      </c>
      <c r="V45" s="397" t="s">
        <v>20</v>
      </c>
      <c r="W45" s="397" t="s">
        <v>20</v>
      </c>
      <c r="X45" s="397" t="s">
        <v>20</v>
      </c>
      <c r="Y45" s="397" t="s">
        <v>20</v>
      </c>
      <c r="Z45" s="397" t="s">
        <v>130</v>
      </c>
      <c r="AA45" s="388" t="s">
        <v>129</v>
      </c>
      <c r="AB45" s="381" t="s">
        <v>18</v>
      </c>
      <c r="AC45" s="381" t="s">
        <v>18</v>
      </c>
      <c r="AD45" s="379"/>
      <c r="AE45" s="379" t="s">
        <v>17</v>
      </c>
      <c r="AF45" s="393" t="s">
        <v>183</v>
      </c>
      <c r="AG45" s="295"/>
      <c r="AH45" s="195">
        <f>SUMIF('TK 15661.Bản quyền phim '!F:F,'KK3. Kids'!C45,'TK 15661.Bản quyền phim '!X:X)</f>
        <v>36686066.666666679</v>
      </c>
      <c r="AI45" s="295">
        <f>COUNTIF('TK 15661.Bản quyền phim '!F:F,'KK3. Kids'!AF45)</f>
        <v>1</v>
      </c>
      <c r="AJ45" s="295"/>
      <c r="AK45" s="295"/>
      <c r="AL45" s="295"/>
      <c r="AM45" s="295"/>
      <c r="AN45" s="295"/>
      <c r="AO45" s="295"/>
    </row>
    <row r="46" spans="1:41" ht="48" customHeight="1" x14ac:dyDescent="0.3">
      <c r="A46" s="376">
        <f t="shared" si="0"/>
        <v>40</v>
      </c>
      <c r="B46" s="377" t="s">
        <v>3300</v>
      </c>
      <c r="C46" s="400" t="s">
        <v>182</v>
      </c>
      <c r="D46" s="400" t="s">
        <v>181</v>
      </c>
      <c r="E46" s="400" t="s">
        <v>157</v>
      </c>
      <c r="F46" s="400" t="s">
        <v>180</v>
      </c>
      <c r="G46" s="379" t="s">
        <v>179</v>
      </c>
      <c r="H46" s="407" t="s">
        <v>178</v>
      </c>
      <c r="I46" s="397">
        <v>2020</v>
      </c>
      <c r="J46" s="400">
        <v>78</v>
      </c>
      <c r="K46" s="400">
        <v>13</v>
      </c>
      <c r="L46" s="383">
        <v>16.899999999999999</v>
      </c>
      <c r="M46" s="406">
        <v>45465</v>
      </c>
      <c r="N46" s="406">
        <v>46559</v>
      </c>
      <c r="O46" s="404">
        <v>45465</v>
      </c>
      <c r="P46" s="386" t="s">
        <v>132</v>
      </c>
      <c r="Q46" s="400" t="s">
        <v>131</v>
      </c>
      <c r="R46" s="397" t="s">
        <v>20</v>
      </c>
      <c r="S46" s="380" t="s">
        <v>18</v>
      </c>
      <c r="T46" s="380" t="s">
        <v>18</v>
      </c>
      <c r="U46" s="380" t="s">
        <v>18</v>
      </c>
      <c r="V46" s="397" t="s">
        <v>20</v>
      </c>
      <c r="W46" s="397" t="s">
        <v>20</v>
      </c>
      <c r="X46" s="397" t="s">
        <v>20</v>
      </c>
      <c r="Y46" s="397" t="s">
        <v>20</v>
      </c>
      <c r="Z46" s="397" t="s">
        <v>130</v>
      </c>
      <c r="AA46" s="388" t="s">
        <v>129</v>
      </c>
      <c r="AB46" s="381" t="s">
        <v>18</v>
      </c>
      <c r="AC46" s="381" t="s">
        <v>18</v>
      </c>
      <c r="AD46" s="379"/>
      <c r="AE46" s="379" t="s">
        <v>17</v>
      </c>
      <c r="AF46" s="393" t="s">
        <v>182</v>
      </c>
      <c r="AG46" s="295"/>
      <c r="AH46" s="195">
        <f>SUMIF('TK 15661.Bản quyền phim '!F:F,'KK3. Kids'!C46,'TK 15661.Bản quyền phim '!X:X)</f>
        <v>36686066.666666679</v>
      </c>
      <c r="AI46" s="295">
        <f>COUNTIF('TK 15661.Bản quyền phim '!F:F,'KK3. Kids'!AF46)</f>
        <v>1</v>
      </c>
      <c r="AJ46" s="295"/>
      <c r="AK46" s="295"/>
      <c r="AL46" s="295"/>
      <c r="AM46" s="295"/>
      <c r="AN46" s="295"/>
      <c r="AO46" s="295"/>
    </row>
    <row r="47" spans="1:41" ht="48" customHeight="1" x14ac:dyDescent="0.3">
      <c r="A47" s="376">
        <f t="shared" si="0"/>
        <v>41</v>
      </c>
      <c r="B47" s="377" t="s">
        <v>3301</v>
      </c>
      <c r="C47" s="400" t="s">
        <v>177</v>
      </c>
      <c r="D47" s="400" t="s">
        <v>181</v>
      </c>
      <c r="E47" s="400" t="s">
        <v>157</v>
      </c>
      <c r="F47" s="400" t="s">
        <v>180</v>
      </c>
      <c r="G47" s="379" t="s">
        <v>179</v>
      </c>
      <c r="H47" s="407" t="s">
        <v>178</v>
      </c>
      <c r="I47" s="397">
        <v>2020</v>
      </c>
      <c r="J47" s="400">
        <v>78</v>
      </c>
      <c r="K47" s="400">
        <v>13</v>
      </c>
      <c r="L47" s="383">
        <v>16.899999999999999</v>
      </c>
      <c r="M47" s="406">
        <v>45465</v>
      </c>
      <c r="N47" s="406">
        <v>46559</v>
      </c>
      <c r="O47" s="404">
        <v>45465</v>
      </c>
      <c r="P47" s="386" t="s">
        <v>132</v>
      </c>
      <c r="Q47" s="400" t="s">
        <v>131</v>
      </c>
      <c r="R47" s="397" t="s">
        <v>20</v>
      </c>
      <c r="S47" s="380" t="s">
        <v>18</v>
      </c>
      <c r="T47" s="380" t="s">
        <v>18</v>
      </c>
      <c r="U47" s="380" t="s">
        <v>18</v>
      </c>
      <c r="V47" s="397" t="s">
        <v>20</v>
      </c>
      <c r="W47" s="397" t="s">
        <v>20</v>
      </c>
      <c r="X47" s="397" t="s">
        <v>20</v>
      </c>
      <c r="Y47" s="397" t="s">
        <v>20</v>
      </c>
      <c r="Z47" s="397" t="s">
        <v>130</v>
      </c>
      <c r="AA47" s="388" t="s">
        <v>129</v>
      </c>
      <c r="AB47" s="381" t="s">
        <v>18</v>
      </c>
      <c r="AC47" s="381" t="s">
        <v>18</v>
      </c>
      <c r="AD47" s="379"/>
      <c r="AE47" s="379" t="s">
        <v>17</v>
      </c>
      <c r="AF47" s="393" t="s">
        <v>177</v>
      </c>
      <c r="AG47" s="295"/>
      <c r="AH47" s="195">
        <f>SUMIF('TK 15661.Bản quyền phim '!F:F,'KK3. Kids'!C47,'TK 15661.Bản quyền phim '!X:X)</f>
        <v>36694533.333333343</v>
      </c>
      <c r="AI47" s="295">
        <f>COUNTIF('TK 15661.Bản quyền phim '!F:F,'KK3. Kids'!AF47)</f>
        <v>1</v>
      </c>
      <c r="AJ47" s="295"/>
      <c r="AK47" s="295"/>
      <c r="AL47" s="295"/>
      <c r="AM47" s="295"/>
      <c r="AN47" s="295"/>
      <c r="AO47" s="295"/>
    </row>
    <row r="48" spans="1:41" ht="67.5" customHeight="1" x14ac:dyDescent="0.3">
      <c r="A48" s="376">
        <f t="shared" si="0"/>
        <v>42</v>
      </c>
      <c r="B48" s="377" t="s">
        <v>3302</v>
      </c>
      <c r="C48" s="400" t="s">
        <v>176</v>
      </c>
      <c r="D48" s="382" t="s">
        <v>175</v>
      </c>
      <c r="E48" s="400" t="s">
        <v>157</v>
      </c>
      <c r="F48" s="400" t="s">
        <v>174</v>
      </c>
      <c r="G48" s="376">
        <v>833306</v>
      </c>
      <c r="H48" s="407" t="s">
        <v>173</v>
      </c>
      <c r="I48" s="397">
        <v>2015</v>
      </c>
      <c r="J48" s="400">
        <v>52</v>
      </c>
      <c r="K48" s="400">
        <v>11</v>
      </c>
      <c r="L48" s="383">
        <v>9.5333333333333332</v>
      </c>
      <c r="M48" s="406">
        <v>45473</v>
      </c>
      <c r="N48" s="406">
        <v>46680</v>
      </c>
      <c r="O48" s="404">
        <v>45605</v>
      </c>
      <c r="P48" s="381" t="s">
        <v>132</v>
      </c>
      <c r="Q48" s="400" t="s">
        <v>131</v>
      </c>
      <c r="R48" s="397" t="s">
        <v>20</v>
      </c>
      <c r="S48" s="380" t="s">
        <v>18</v>
      </c>
      <c r="T48" s="380" t="s">
        <v>18</v>
      </c>
      <c r="U48" s="380" t="s">
        <v>18</v>
      </c>
      <c r="V48" s="397" t="s">
        <v>20</v>
      </c>
      <c r="W48" s="397" t="s">
        <v>20</v>
      </c>
      <c r="X48" s="397" t="s">
        <v>20</v>
      </c>
      <c r="Y48" s="397" t="s">
        <v>20</v>
      </c>
      <c r="Z48" s="397" t="s">
        <v>130</v>
      </c>
      <c r="AA48" s="388" t="s">
        <v>129</v>
      </c>
      <c r="AB48" s="381" t="s">
        <v>18</v>
      </c>
      <c r="AC48" s="381" t="s">
        <v>18</v>
      </c>
      <c r="AD48" s="379"/>
      <c r="AE48" s="379" t="s">
        <v>17</v>
      </c>
      <c r="AF48" s="295" t="s">
        <v>172</v>
      </c>
      <c r="AG48" s="295"/>
      <c r="AH48" s="195">
        <f>SUMIF('TK 15661.Bản quyền phim '!F:F,'KK3. Kids'!C48,'TK 15661.Bản quyền phim '!X:X)</f>
        <v>0</v>
      </c>
      <c r="AI48" s="295">
        <f>COUNTIF('TK 15661.Bản quyền phim '!F:F,'KK3. Kids'!AF48)</f>
        <v>1</v>
      </c>
      <c r="AJ48" s="295"/>
      <c r="AK48" s="295"/>
      <c r="AL48" s="295"/>
      <c r="AM48" s="295"/>
      <c r="AN48" s="295"/>
      <c r="AO48" s="295"/>
    </row>
    <row r="49" spans="1:43" ht="50.25" customHeight="1" x14ac:dyDescent="0.3">
      <c r="A49" s="376">
        <f t="shared" si="0"/>
        <v>43</v>
      </c>
      <c r="B49" s="377" t="s">
        <v>3303</v>
      </c>
      <c r="C49" s="400" t="s">
        <v>171</v>
      </c>
      <c r="D49" s="382" t="s">
        <v>170</v>
      </c>
      <c r="E49" s="400" t="s">
        <v>157</v>
      </c>
      <c r="F49" s="400" t="s">
        <v>163</v>
      </c>
      <c r="G49" s="379" t="s">
        <v>162</v>
      </c>
      <c r="H49" s="407" t="s">
        <v>161</v>
      </c>
      <c r="I49" s="397">
        <v>2021</v>
      </c>
      <c r="J49" s="400">
        <v>78</v>
      </c>
      <c r="K49" s="400">
        <v>7</v>
      </c>
      <c r="L49" s="383">
        <v>9.1</v>
      </c>
      <c r="M49" s="406">
        <v>45481</v>
      </c>
      <c r="N49" s="406">
        <v>46575</v>
      </c>
      <c r="O49" s="404">
        <v>45514</v>
      </c>
      <c r="P49" s="381" t="s">
        <v>132</v>
      </c>
      <c r="Q49" s="400" t="s">
        <v>131</v>
      </c>
      <c r="R49" s="397" t="s">
        <v>20</v>
      </c>
      <c r="S49" s="380" t="s">
        <v>18</v>
      </c>
      <c r="T49" s="380" t="s">
        <v>18</v>
      </c>
      <c r="U49" s="380" t="s">
        <v>18</v>
      </c>
      <c r="V49" s="397" t="s">
        <v>20</v>
      </c>
      <c r="W49" s="397" t="s">
        <v>20</v>
      </c>
      <c r="X49" s="397" t="s">
        <v>20</v>
      </c>
      <c r="Y49" s="397" t="s">
        <v>20</v>
      </c>
      <c r="Z49" s="397" t="s">
        <v>130</v>
      </c>
      <c r="AA49" s="388" t="s">
        <v>129</v>
      </c>
      <c r="AB49" s="381" t="s">
        <v>18</v>
      </c>
      <c r="AC49" s="381" t="s">
        <v>18</v>
      </c>
      <c r="AD49" s="379"/>
      <c r="AE49" s="379" t="s">
        <v>17</v>
      </c>
      <c r="AF49" s="295" t="s">
        <v>169</v>
      </c>
      <c r="AG49" s="295"/>
      <c r="AH49" s="195">
        <f>SUMIF('TK 15661.Bản quyền phim '!F:F,'KK3. Kids'!C49,'TK 15661.Bản quyền phim '!X:X)</f>
        <v>0</v>
      </c>
      <c r="AI49" s="295">
        <f>COUNTIF('TK 15661.Bản quyền phim '!F:F,'KK3. Kids'!AF49)</f>
        <v>1</v>
      </c>
      <c r="AJ49" s="295"/>
      <c r="AK49" s="295"/>
      <c r="AL49" s="295"/>
      <c r="AM49" s="295"/>
      <c r="AN49" s="295"/>
      <c r="AO49" s="295"/>
    </row>
    <row r="50" spans="1:43" ht="55.5" customHeight="1" x14ac:dyDescent="0.3">
      <c r="A50" s="376">
        <f t="shared" si="0"/>
        <v>44</v>
      </c>
      <c r="B50" s="377" t="s">
        <v>3304</v>
      </c>
      <c r="C50" s="400" t="s">
        <v>168</v>
      </c>
      <c r="D50" s="382" t="s">
        <v>167</v>
      </c>
      <c r="E50" s="400" t="s">
        <v>157</v>
      </c>
      <c r="F50" s="400" t="s">
        <v>163</v>
      </c>
      <c r="G50" s="379" t="s">
        <v>162</v>
      </c>
      <c r="H50" s="407" t="s">
        <v>161</v>
      </c>
      <c r="I50" s="397">
        <v>2021</v>
      </c>
      <c r="J50" s="400">
        <v>78</v>
      </c>
      <c r="K50" s="400">
        <v>7</v>
      </c>
      <c r="L50" s="383">
        <v>9.1</v>
      </c>
      <c r="M50" s="406">
        <v>45536</v>
      </c>
      <c r="N50" s="406">
        <v>46630</v>
      </c>
      <c r="O50" s="404">
        <v>45556</v>
      </c>
      <c r="P50" s="381" t="s">
        <v>132</v>
      </c>
      <c r="Q50" s="400" t="s">
        <v>131</v>
      </c>
      <c r="R50" s="397" t="s">
        <v>20</v>
      </c>
      <c r="S50" s="380" t="s">
        <v>18</v>
      </c>
      <c r="T50" s="380" t="s">
        <v>18</v>
      </c>
      <c r="U50" s="380" t="s">
        <v>18</v>
      </c>
      <c r="V50" s="397" t="s">
        <v>20</v>
      </c>
      <c r="W50" s="397" t="s">
        <v>20</v>
      </c>
      <c r="X50" s="397" t="s">
        <v>20</v>
      </c>
      <c r="Y50" s="397" t="s">
        <v>20</v>
      </c>
      <c r="Z50" s="397" t="s">
        <v>130</v>
      </c>
      <c r="AA50" s="388" t="s">
        <v>129</v>
      </c>
      <c r="AB50" s="381" t="s">
        <v>18</v>
      </c>
      <c r="AC50" s="381" t="s">
        <v>18</v>
      </c>
      <c r="AD50" s="379"/>
      <c r="AE50" s="379" t="s">
        <v>17</v>
      </c>
      <c r="AF50" s="295" t="s">
        <v>166</v>
      </c>
      <c r="AG50" s="295"/>
      <c r="AH50" s="195">
        <f>SUMIF('TK 15661.Bản quyền phim '!F:F,'KK3. Kids'!C50,'TK 15661.Bản quyền phim '!X:X)</f>
        <v>0</v>
      </c>
      <c r="AI50" s="295">
        <f>COUNTIF('TK 15661.Bản quyền phim '!F:F,'KK3. Kids'!AF50)</f>
        <v>1</v>
      </c>
      <c r="AJ50" s="295"/>
      <c r="AK50" s="295"/>
      <c r="AL50" s="295"/>
      <c r="AM50" s="295"/>
      <c r="AN50" s="295"/>
      <c r="AO50" s="295"/>
    </row>
    <row r="51" spans="1:43" ht="44.25" customHeight="1" x14ac:dyDescent="0.3">
      <c r="A51" s="376">
        <f t="shared" si="0"/>
        <v>45</v>
      </c>
      <c r="B51" s="377" t="s">
        <v>3305</v>
      </c>
      <c r="C51" s="400" t="s">
        <v>165</v>
      </c>
      <c r="D51" s="382" t="s">
        <v>164</v>
      </c>
      <c r="E51" s="400" t="s">
        <v>157</v>
      </c>
      <c r="F51" s="400" t="s">
        <v>163</v>
      </c>
      <c r="G51" s="379" t="s">
        <v>162</v>
      </c>
      <c r="H51" s="407" t="s">
        <v>161</v>
      </c>
      <c r="I51" s="397">
        <v>2010</v>
      </c>
      <c r="J51" s="400">
        <v>78</v>
      </c>
      <c r="K51" s="400">
        <v>7</v>
      </c>
      <c r="L51" s="383">
        <v>9.1</v>
      </c>
      <c r="M51" s="406">
        <v>45444</v>
      </c>
      <c r="N51" s="406">
        <v>46538</v>
      </c>
      <c r="O51" s="404">
        <v>45444</v>
      </c>
      <c r="P51" s="386" t="s">
        <v>132</v>
      </c>
      <c r="Q51" s="400" t="s">
        <v>131</v>
      </c>
      <c r="R51" s="397" t="s">
        <v>20</v>
      </c>
      <c r="S51" s="380" t="s">
        <v>18</v>
      </c>
      <c r="T51" s="380" t="s">
        <v>18</v>
      </c>
      <c r="U51" s="380" t="s">
        <v>18</v>
      </c>
      <c r="V51" s="397" t="s">
        <v>20</v>
      </c>
      <c r="W51" s="397" t="s">
        <v>20</v>
      </c>
      <c r="X51" s="397" t="s">
        <v>20</v>
      </c>
      <c r="Y51" s="397" t="s">
        <v>20</v>
      </c>
      <c r="Z51" s="397" t="s">
        <v>130</v>
      </c>
      <c r="AA51" s="388" t="s">
        <v>129</v>
      </c>
      <c r="AB51" s="381" t="s">
        <v>18</v>
      </c>
      <c r="AC51" s="381" t="s">
        <v>18</v>
      </c>
      <c r="AD51" s="379"/>
      <c r="AE51" s="379" t="s">
        <v>17</v>
      </c>
      <c r="AF51" s="295" t="s">
        <v>160</v>
      </c>
      <c r="AG51" s="295"/>
      <c r="AH51" s="195">
        <f>SUMIF('TK 15661.Bản quyền phim '!F:F,'KK3. Kids'!C51,'TK 15661.Bản quyền phim '!X:X)</f>
        <v>0</v>
      </c>
      <c r="AI51" s="295">
        <f>COUNTIF('TK 15661.Bản quyền phim '!F:F,'KK3. Kids'!AF51)</f>
        <v>1</v>
      </c>
      <c r="AJ51" s="295"/>
      <c r="AK51" s="295"/>
      <c r="AL51" s="295"/>
      <c r="AM51" s="295"/>
      <c r="AN51" s="295"/>
      <c r="AO51" s="295"/>
    </row>
    <row r="52" spans="1:43" ht="46.5" customHeight="1" x14ac:dyDescent="0.3">
      <c r="A52" s="376">
        <f t="shared" si="0"/>
        <v>46</v>
      </c>
      <c r="B52" s="377" t="s">
        <v>3306</v>
      </c>
      <c r="C52" s="378" t="s">
        <v>159</v>
      </c>
      <c r="D52" s="382" t="s">
        <v>158</v>
      </c>
      <c r="E52" s="400" t="s">
        <v>157</v>
      </c>
      <c r="F52" s="379"/>
      <c r="G52" s="379" t="s">
        <v>156</v>
      </c>
      <c r="H52" s="382" t="s">
        <v>88</v>
      </c>
      <c r="I52" s="381"/>
      <c r="J52" s="400">
        <v>50</v>
      </c>
      <c r="K52" s="400">
        <v>30</v>
      </c>
      <c r="L52" s="383">
        <v>25</v>
      </c>
      <c r="M52" s="379">
        <v>45682</v>
      </c>
      <c r="N52" s="379">
        <v>46776</v>
      </c>
      <c r="O52" s="404">
        <v>45685</v>
      </c>
      <c r="P52" s="386" t="s">
        <v>132</v>
      </c>
      <c r="Q52" s="400" t="s">
        <v>131</v>
      </c>
      <c r="R52" s="397" t="s">
        <v>20</v>
      </c>
      <c r="S52" s="380" t="s">
        <v>18</v>
      </c>
      <c r="T52" s="397" t="s">
        <v>20</v>
      </c>
      <c r="U52" s="380" t="s">
        <v>18</v>
      </c>
      <c r="V52" s="380" t="s">
        <v>18</v>
      </c>
      <c r="W52" s="380" t="s">
        <v>18</v>
      </c>
      <c r="X52" s="380" t="s">
        <v>18</v>
      </c>
      <c r="Y52" s="397" t="s">
        <v>20</v>
      </c>
      <c r="Z52" s="397" t="s">
        <v>130</v>
      </c>
      <c r="AA52" s="388" t="s">
        <v>129</v>
      </c>
      <c r="AB52" s="381" t="s">
        <v>18</v>
      </c>
      <c r="AC52" s="381" t="s">
        <v>18</v>
      </c>
      <c r="AD52" s="379"/>
      <c r="AE52" s="379" t="s">
        <v>17</v>
      </c>
      <c r="AF52" s="295" t="s">
        <v>155</v>
      </c>
      <c r="AG52" s="295"/>
      <c r="AH52" s="195">
        <f>SUMIF('TK 15661.Bản quyền phim '!F:F,'KK3. Kids'!C52,'TK 15661.Bản quyền phim '!X:X)</f>
        <v>0</v>
      </c>
      <c r="AI52" s="295">
        <f>COUNTIF('TK 15661.Bản quyền phim '!F:F,'KK3. Kids'!AF52)</f>
        <v>1</v>
      </c>
      <c r="AJ52" s="295"/>
      <c r="AK52" s="295"/>
      <c r="AL52" s="295"/>
      <c r="AM52" s="295"/>
      <c r="AN52" s="295"/>
      <c r="AO52" s="295"/>
    </row>
    <row r="53" spans="1:43" ht="46.5" customHeight="1" x14ac:dyDescent="0.3">
      <c r="A53" s="376">
        <f t="shared" si="0"/>
        <v>47</v>
      </c>
      <c r="B53" s="377" t="s">
        <v>3307</v>
      </c>
      <c r="C53" s="400" t="s">
        <v>154</v>
      </c>
      <c r="D53" s="400" t="s">
        <v>153</v>
      </c>
      <c r="E53" s="400" t="s">
        <v>144</v>
      </c>
      <c r="F53" s="379" t="s">
        <v>143</v>
      </c>
      <c r="G53" s="379" t="s">
        <v>152</v>
      </c>
      <c r="H53" s="407" t="s">
        <v>141</v>
      </c>
      <c r="I53" s="400">
        <v>2016</v>
      </c>
      <c r="J53" s="400">
        <v>52</v>
      </c>
      <c r="K53" s="400">
        <v>25</v>
      </c>
      <c r="L53" s="383">
        <v>21.666666666666668</v>
      </c>
      <c r="M53" s="406">
        <v>45716</v>
      </c>
      <c r="N53" s="406">
        <v>46445</v>
      </c>
      <c r="O53" s="404"/>
      <c r="P53" s="386" t="s">
        <v>132</v>
      </c>
      <c r="Q53" s="400" t="s">
        <v>131</v>
      </c>
      <c r="R53" s="397" t="s">
        <v>20</v>
      </c>
      <c r="S53" s="380" t="s">
        <v>18</v>
      </c>
      <c r="T53" s="380" t="s">
        <v>18</v>
      </c>
      <c r="U53" s="380" t="s">
        <v>18</v>
      </c>
      <c r="V53" s="380" t="s">
        <v>18</v>
      </c>
      <c r="W53" s="380" t="s">
        <v>18</v>
      </c>
      <c r="X53" s="380" t="s">
        <v>18</v>
      </c>
      <c r="Y53" s="380" t="s">
        <v>18</v>
      </c>
      <c r="Z53" s="397" t="s">
        <v>130</v>
      </c>
      <c r="AA53" s="388" t="s">
        <v>129</v>
      </c>
      <c r="AB53" s="381" t="s">
        <v>18</v>
      </c>
      <c r="AC53" s="381" t="s">
        <v>18</v>
      </c>
      <c r="AD53" s="379"/>
      <c r="AE53" s="379" t="s">
        <v>17</v>
      </c>
      <c r="AF53" s="295" t="s">
        <v>151</v>
      </c>
      <c r="AG53" s="295"/>
      <c r="AH53" s="195">
        <f>SUMIF('TK 15661.Bản quyền phim '!F:F,'KK3. Kids'!C53,'TK 15661.Bản quyền phim '!X:X)</f>
        <v>0</v>
      </c>
      <c r="AI53" s="295">
        <f>COUNTIF('TK 15661.Bản quyền phim '!F:F,'KK3. Kids'!AF53)</f>
        <v>1</v>
      </c>
      <c r="AJ53" s="295"/>
      <c r="AK53" s="295"/>
      <c r="AL53" s="295"/>
      <c r="AM53" s="295"/>
      <c r="AN53" s="295"/>
      <c r="AO53" s="295"/>
    </row>
    <row r="54" spans="1:43" ht="22.5" customHeight="1" x14ac:dyDescent="0.3">
      <c r="A54" s="376">
        <f t="shared" si="0"/>
        <v>48</v>
      </c>
      <c r="B54" s="377" t="s">
        <v>3308</v>
      </c>
      <c r="C54" s="400" t="s">
        <v>150</v>
      </c>
      <c r="D54" s="400" t="s">
        <v>149</v>
      </c>
      <c r="E54" s="400" t="s">
        <v>144</v>
      </c>
      <c r="F54" s="379" t="s">
        <v>143</v>
      </c>
      <c r="G54" s="379" t="s">
        <v>148</v>
      </c>
      <c r="H54" s="407" t="s">
        <v>141</v>
      </c>
      <c r="I54" s="381"/>
      <c r="J54" s="400">
        <v>52</v>
      </c>
      <c r="K54" s="400">
        <v>25</v>
      </c>
      <c r="L54" s="383">
        <v>21.666666666666668</v>
      </c>
      <c r="M54" s="406">
        <v>45762</v>
      </c>
      <c r="N54" s="406">
        <v>46491</v>
      </c>
      <c r="O54" s="404"/>
      <c r="P54" s="386" t="s">
        <v>132</v>
      </c>
      <c r="Q54" s="400" t="s">
        <v>131</v>
      </c>
      <c r="R54" s="397" t="s">
        <v>20</v>
      </c>
      <c r="S54" s="380" t="s">
        <v>18</v>
      </c>
      <c r="T54" s="380" t="s">
        <v>18</v>
      </c>
      <c r="U54" s="380" t="s">
        <v>18</v>
      </c>
      <c r="V54" s="380" t="s">
        <v>18</v>
      </c>
      <c r="W54" s="380" t="s">
        <v>18</v>
      </c>
      <c r="X54" s="380" t="s">
        <v>18</v>
      </c>
      <c r="Y54" s="380" t="s">
        <v>18</v>
      </c>
      <c r="Z54" s="397" t="s">
        <v>130</v>
      </c>
      <c r="AA54" s="388" t="s">
        <v>129</v>
      </c>
      <c r="AB54" s="381" t="s">
        <v>18</v>
      </c>
      <c r="AC54" s="381" t="s">
        <v>18</v>
      </c>
      <c r="AD54" s="379"/>
      <c r="AE54" s="379" t="s">
        <v>17</v>
      </c>
      <c r="AF54" s="295" t="s">
        <v>147</v>
      </c>
      <c r="AG54" s="295"/>
      <c r="AH54" s="195">
        <f>SUMIF('TK 15661.Bản quyền phim '!F:F,'KK3. Kids'!C54,'TK 15661.Bản quyền phim '!X:X)</f>
        <v>0</v>
      </c>
      <c r="AI54" s="295">
        <f>COUNTIF('TK 15661.Bản quyền phim '!F:F,'KK3. Kids'!AF54)</f>
        <v>1</v>
      </c>
      <c r="AJ54" s="295"/>
      <c r="AK54" s="295"/>
      <c r="AL54" s="295"/>
      <c r="AM54" s="295"/>
      <c r="AN54" s="295"/>
      <c r="AO54" s="295"/>
    </row>
    <row r="55" spans="1:43" ht="49.5" customHeight="1" x14ac:dyDescent="0.3">
      <c r="A55" s="376">
        <f t="shared" si="0"/>
        <v>49</v>
      </c>
      <c r="B55" s="377" t="s">
        <v>3309</v>
      </c>
      <c r="C55" s="400" t="s">
        <v>146</v>
      </c>
      <c r="D55" s="400" t="s">
        <v>145</v>
      </c>
      <c r="E55" s="400" t="s">
        <v>144</v>
      </c>
      <c r="F55" s="379" t="s">
        <v>143</v>
      </c>
      <c r="G55" s="379" t="s">
        <v>142</v>
      </c>
      <c r="H55" s="407" t="s">
        <v>141</v>
      </c>
      <c r="I55" s="381"/>
      <c r="J55" s="400">
        <v>52</v>
      </c>
      <c r="K55" s="400">
        <v>25</v>
      </c>
      <c r="L55" s="383">
        <v>21.666666666666668</v>
      </c>
      <c r="M55" s="409">
        <v>45800</v>
      </c>
      <c r="N55" s="409">
        <v>46895</v>
      </c>
      <c r="O55" s="404"/>
      <c r="P55" s="386" t="s">
        <v>132</v>
      </c>
      <c r="Q55" s="400" t="s">
        <v>131</v>
      </c>
      <c r="R55" s="397" t="s">
        <v>20</v>
      </c>
      <c r="S55" s="380" t="s">
        <v>18</v>
      </c>
      <c r="T55" s="380" t="s">
        <v>18</v>
      </c>
      <c r="U55" s="380" t="s">
        <v>18</v>
      </c>
      <c r="V55" s="381" t="s">
        <v>20</v>
      </c>
      <c r="W55" s="381" t="s">
        <v>20</v>
      </c>
      <c r="X55" s="381" t="s">
        <v>20</v>
      </c>
      <c r="Y55" s="380" t="s">
        <v>20</v>
      </c>
      <c r="Z55" s="397" t="s">
        <v>130</v>
      </c>
      <c r="AA55" s="388" t="s">
        <v>129</v>
      </c>
      <c r="AB55" s="381" t="s">
        <v>18</v>
      </c>
      <c r="AC55" s="381" t="s">
        <v>18</v>
      </c>
      <c r="AD55" s="379"/>
      <c r="AE55" s="379" t="s">
        <v>17</v>
      </c>
      <c r="AF55" s="295" t="s">
        <v>140</v>
      </c>
      <c r="AG55" s="295"/>
      <c r="AH55" s="195">
        <f>SUMIF('TK 15661.Bản quyền phim '!F:F,'KK3. Kids'!C55,'TK 15661.Bản quyền phim '!X:X)</f>
        <v>0</v>
      </c>
      <c r="AI55" s="295">
        <f>COUNTIF('TK 15661.Bản quyền phim '!F:F,'KK3. Kids'!AF55)</f>
        <v>1</v>
      </c>
      <c r="AJ55" s="295"/>
      <c r="AK55" s="295"/>
      <c r="AL55" s="295"/>
      <c r="AM55" s="295"/>
      <c r="AN55" s="295"/>
      <c r="AO55" s="295"/>
    </row>
    <row r="56" spans="1:43" ht="56.25" customHeight="1" x14ac:dyDescent="0.3">
      <c r="A56" s="376">
        <f t="shared" si="0"/>
        <v>50</v>
      </c>
      <c r="B56" s="377" t="s">
        <v>3310</v>
      </c>
      <c r="C56" s="400" t="s">
        <v>139</v>
      </c>
      <c r="D56" s="382"/>
      <c r="E56" s="400" t="s">
        <v>136</v>
      </c>
      <c r="F56" s="400" t="s">
        <v>135</v>
      </c>
      <c r="G56" s="398" t="s">
        <v>134</v>
      </c>
      <c r="H56" s="382" t="s">
        <v>133</v>
      </c>
      <c r="I56" s="400">
        <v>2016</v>
      </c>
      <c r="J56" s="400">
        <v>26</v>
      </c>
      <c r="K56" s="400">
        <v>11</v>
      </c>
      <c r="L56" s="383">
        <v>4.7666666666666666</v>
      </c>
      <c r="M56" s="406">
        <v>45738</v>
      </c>
      <c r="N56" s="406">
        <v>46833</v>
      </c>
      <c r="O56" s="404"/>
      <c r="P56" s="386" t="s">
        <v>132</v>
      </c>
      <c r="Q56" s="400" t="s">
        <v>131</v>
      </c>
      <c r="R56" s="397" t="s">
        <v>20</v>
      </c>
      <c r="S56" s="380" t="s">
        <v>18</v>
      </c>
      <c r="T56" s="380" t="s">
        <v>18</v>
      </c>
      <c r="U56" s="380" t="s">
        <v>18</v>
      </c>
      <c r="V56" s="380" t="s">
        <v>18</v>
      </c>
      <c r="W56" s="380" t="s">
        <v>18</v>
      </c>
      <c r="X56" s="380" t="s">
        <v>18</v>
      </c>
      <c r="Y56" s="380" t="s">
        <v>18</v>
      </c>
      <c r="Z56" s="397" t="s">
        <v>130</v>
      </c>
      <c r="AA56" s="388" t="s">
        <v>129</v>
      </c>
      <c r="AB56" s="381" t="s">
        <v>18</v>
      </c>
      <c r="AC56" s="381" t="s">
        <v>18</v>
      </c>
      <c r="AD56" s="379"/>
      <c r="AE56" s="379" t="s">
        <v>17</v>
      </c>
      <c r="AF56" s="295" t="s">
        <v>138</v>
      </c>
      <c r="AG56" s="295"/>
      <c r="AH56" s="195">
        <f>SUMIF('TK 15661.Bản quyền phim '!F:F,'KK3. Kids'!C56,'TK 15661.Bản quyền phim '!X:X)</f>
        <v>0</v>
      </c>
      <c r="AI56" s="295">
        <f>COUNTIF('TK 15661.Bản quyền phim '!F:F,'KK3. Kids'!AF56)</f>
        <v>1</v>
      </c>
      <c r="AJ56" s="295"/>
      <c r="AK56" s="295"/>
      <c r="AL56" s="295"/>
      <c r="AM56" s="295"/>
      <c r="AN56" s="295"/>
      <c r="AO56" s="295"/>
    </row>
    <row r="57" spans="1:43" ht="51" customHeight="1" x14ac:dyDescent="0.3">
      <c r="A57" s="376">
        <f t="shared" si="0"/>
        <v>51</v>
      </c>
      <c r="B57" s="377" t="s">
        <v>3311</v>
      </c>
      <c r="C57" s="400" t="s">
        <v>137</v>
      </c>
      <c r="D57" s="382"/>
      <c r="E57" s="400" t="s">
        <v>136</v>
      </c>
      <c r="F57" s="400" t="s">
        <v>135</v>
      </c>
      <c r="G57" s="398" t="s">
        <v>134</v>
      </c>
      <c r="H57" s="382" t="s">
        <v>133</v>
      </c>
      <c r="I57" s="400">
        <v>2020</v>
      </c>
      <c r="J57" s="400">
        <v>26</v>
      </c>
      <c r="K57" s="400">
        <v>11</v>
      </c>
      <c r="L57" s="383">
        <v>4.7666666666666666</v>
      </c>
      <c r="M57" s="406">
        <v>45759</v>
      </c>
      <c r="N57" s="406">
        <v>46854</v>
      </c>
      <c r="O57" s="404"/>
      <c r="P57" s="386" t="s">
        <v>132</v>
      </c>
      <c r="Q57" s="400" t="s">
        <v>131</v>
      </c>
      <c r="R57" s="397" t="s">
        <v>20</v>
      </c>
      <c r="S57" s="380" t="s">
        <v>18</v>
      </c>
      <c r="T57" s="380" t="s">
        <v>18</v>
      </c>
      <c r="U57" s="380" t="s">
        <v>18</v>
      </c>
      <c r="V57" s="380" t="s">
        <v>18</v>
      </c>
      <c r="W57" s="380" t="s">
        <v>18</v>
      </c>
      <c r="X57" s="380" t="s">
        <v>18</v>
      </c>
      <c r="Y57" s="380" t="s">
        <v>18</v>
      </c>
      <c r="Z57" s="397" t="s">
        <v>130</v>
      </c>
      <c r="AA57" s="388" t="s">
        <v>129</v>
      </c>
      <c r="AB57" s="381" t="s">
        <v>18</v>
      </c>
      <c r="AC57" s="381" t="s">
        <v>18</v>
      </c>
      <c r="AD57" s="379"/>
      <c r="AE57" s="379" t="s">
        <v>17</v>
      </c>
      <c r="AF57" s="295" t="s">
        <v>128</v>
      </c>
      <c r="AG57" s="295"/>
      <c r="AH57" s="195">
        <f>SUMIF('TK 15661.Bản quyền phim '!F:F,'KK3. Kids'!C57,'TK 15661.Bản quyền phim '!X:X)</f>
        <v>0</v>
      </c>
      <c r="AI57" s="295">
        <f>COUNTIF('TK 15661.Bản quyền phim '!F:F,'KK3. Kids'!AF57)</f>
        <v>1</v>
      </c>
      <c r="AJ57" s="295"/>
      <c r="AK57" s="295"/>
      <c r="AL57" s="295"/>
      <c r="AM57" s="295"/>
      <c r="AN57" s="295"/>
      <c r="AO57" s="295"/>
    </row>
    <row r="58" spans="1:43" s="415" customFormat="1" ht="26.4" x14ac:dyDescent="0.3">
      <c r="A58" s="410" t="s">
        <v>3263</v>
      </c>
      <c r="B58" s="411" t="s">
        <v>2874</v>
      </c>
      <c r="C58" s="411" t="s">
        <v>2875</v>
      </c>
      <c r="D58" s="412"/>
      <c r="E58" s="412"/>
      <c r="F58" s="412"/>
      <c r="G58" s="412"/>
      <c r="H58" s="412"/>
      <c r="I58" s="412"/>
      <c r="J58" s="412"/>
      <c r="K58" s="412"/>
      <c r="L58" s="412"/>
      <c r="M58" s="413">
        <v>45200</v>
      </c>
      <c r="N58" s="414">
        <v>46295</v>
      </c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  <c r="AA58" s="412"/>
      <c r="AB58" s="412"/>
      <c r="AC58" s="412"/>
      <c r="AD58" s="412"/>
      <c r="AE58" s="412"/>
      <c r="AF58" s="412"/>
      <c r="AG58" s="412"/>
      <c r="AH58" s="412"/>
      <c r="AI58" s="412"/>
      <c r="AJ58" s="412"/>
      <c r="AK58" s="412"/>
      <c r="AL58" s="412"/>
      <c r="AM58" s="412"/>
      <c r="AN58" s="412"/>
      <c r="AO58" s="412"/>
    </row>
    <row r="61" spans="1:43" s="134" customFormat="1" x14ac:dyDescent="0.25">
      <c r="A61" s="318" t="s">
        <v>3262</v>
      </c>
      <c r="C61" s="272"/>
      <c r="D61" s="272"/>
      <c r="AO61" s="140"/>
      <c r="AP61" s="140"/>
      <c r="AQ61" s="140"/>
    </row>
    <row r="62" spans="1:43" s="134" customFormat="1" x14ac:dyDescent="0.25">
      <c r="A62" s="320" t="s">
        <v>3256</v>
      </c>
      <c r="C62" s="272"/>
      <c r="D62" s="272"/>
      <c r="AO62" s="140"/>
      <c r="AP62" s="140"/>
      <c r="AQ62" s="140"/>
    </row>
    <row r="63" spans="1:43" s="134" customFormat="1" x14ac:dyDescent="0.25">
      <c r="A63" s="321"/>
      <c r="B63" s="317" t="s">
        <v>3258</v>
      </c>
      <c r="C63" s="317" t="s">
        <v>3257</v>
      </c>
      <c r="D63" s="271" t="s">
        <v>3259</v>
      </c>
      <c r="E63" s="271" t="s">
        <v>3260</v>
      </c>
      <c r="AO63" s="140"/>
      <c r="AP63" s="140"/>
      <c r="AQ63" s="140"/>
    </row>
    <row r="64" spans="1:43" s="134" customFormat="1" ht="26.4" x14ac:dyDescent="0.25">
      <c r="A64" s="314"/>
      <c r="B64" s="272" t="s">
        <v>3261</v>
      </c>
      <c r="C64" s="272" t="s">
        <v>3261</v>
      </c>
      <c r="D64" s="272" t="s">
        <v>3261</v>
      </c>
      <c r="E64" s="272" t="s">
        <v>3261</v>
      </c>
      <c r="AO64" s="140"/>
      <c r="AP64" s="140"/>
      <c r="AQ64" s="140"/>
    </row>
    <row r="65" spans="2:43" s="134" customFormat="1" x14ac:dyDescent="0.25">
      <c r="B65" s="191"/>
      <c r="E65" s="191"/>
      <c r="AO65" s="140"/>
      <c r="AP65" s="140"/>
      <c r="AQ65" s="140"/>
    </row>
  </sheetData>
  <autoFilter ref="A6:AI57" xr:uid="{D4DD275A-7A21-4A81-A852-23DAE57E07B8}"/>
  <mergeCells count="9">
    <mergeCell ref="AK1:AO1"/>
    <mergeCell ref="AK2:AO2"/>
    <mergeCell ref="A3:AO3"/>
    <mergeCell ref="A4:AO4"/>
    <mergeCell ref="AB5:AD5"/>
    <mergeCell ref="AF5:AI5"/>
    <mergeCell ref="AK5:AM5"/>
    <mergeCell ref="AN5:AN6"/>
    <mergeCell ref="AO5:AO6"/>
  </mergeCells>
  <conditionalFormatting sqref="C52 C6:C36">
    <cfRule type="duplicateValues" dxfId="41" priority="5"/>
  </conditionalFormatting>
  <conditionalFormatting sqref="C52 C6:C48">
    <cfRule type="duplicateValues" dxfId="40" priority="4"/>
  </conditionalFormatting>
  <conditionalFormatting sqref="C58">
    <cfRule type="duplicateValues" dxfId="39" priority="1"/>
    <cfRule type="duplicateValues" dxfId="38" priority="2"/>
  </conditionalFormatting>
  <conditionalFormatting sqref="AF7:AF9">
    <cfRule type="duplicateValues" dxfId="37" priority="3"/>
  </conditionalFormatting>
  <pageMargins left="0.7" right="0.7" top="0.75" bottom="0.75" header="0.3" footer="0.3"/>
  <headerFooter>
    <oddFooter>&amp;L_x000D_&amp;1#&amp;"Aptos"&amp;10&amp;K000000 C0 - This document or email is owned by Canal+ Group.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6D4A-7EAE-4087-A64B-817F3262205B}">
  <sheetPr codeName="Sheet6">
    <tabColor rgb="FF92D050"/>
  </sheetPr>
  <dimension ref="A1:AQ21"/>
  <sheetViews>
    <sheetView zoomScale="70" zoomScaleNormal="70" workbookViewId="0">
      <pane xSplit="3" ySplit="6" topLeftCell="D7" activePane="bottomRight" state="frozen"/>
      <selection pane="topRight" activeCell="D1" sqref="D1"/>
      <selection pane="bottomLeft" activeCell="A3" sqref="A3"/>
      <selection pane="bottomRight" activeCell="A7" sqref="A7"/>
    </sheetView>
  </sheetViews>
  <sheetFormatPr defaultColWidth="8.77734375" defaultRowHeight="15.6" x14ac:dyDescent="0.3"/>
  <cols>
    <col min="1" max="1" width="8.77734375" style="325"/>
    <col min="2" max="2" width="28.88671875" style="324" customWidth="1"/>
    <col min="3" max="4" width="25.109375" style="205" customWidth="1"/>
    <col min="5" max="5" width="28.77734375" style="205" customWidth="1"/>
    <col min="6" max="9" width="8.77734375" style="205"/>
    <col min="10" max="10" width="14.77734375" style="205" customWidth="1"/>
    <col min="11" max="11" width="11.77734375" style="205" customWidth="1"/>
    <col min="12" max="13" width="13.33203125" style="205" customWidth="1"/>
    <col min="14" max="14" width="23.44140625" style="205" hidden="1" customWidth="1"/>
    <col min="15" max="15" width="27.77734375" style="205" hidden="1" customWidth="1"/>
    <col min="16" max="16384" width="8.77734375" style="205"/>
  </cols>
  <sheetData>
    <row r="1" spans="1:41" x14ac:dyDescent="0.3">
      <c r="A1" s="271" t="s">
        <v>3244</v>
      </c>
      <c r="P1" s="548" t="s">
        <v>3245</v>
      </c>
      <c r="Q1" s="548"/>
      <c r="R1" s="548"/>
      <c r="S1" s="548"/>
      <c r="T1" s="548"/>
    </row>
    <row r="2" spans="1:41" x14ac:dyDescent="0.3">
      <c r="P2" s="549" t="s">
        <v>3246</v>
      </c>
      <c r="Q2" s="549"/>
      <c r="R2" s="549"/>
      <c r="S2" s="549"/>
      <c r="T2" s="549"/>
    </row>
    <row r="3" spans="1:41" x14ac:dyDescent="0.3">
      <c r="A3" s="540" t="s">
        <v>3254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</row>
    <row r="4" spans="1:41" x14ac:dyDescent="0.3">
      <c r="A4" s="540" t="s">
        <v>3247</v>
      </c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1"/>
      <c r="AO4" s="271"/>
    </row>
    <row r="5" spans="1:41" x14ac:dyDescent="0.3">
      <c r="K5" s="555" t="s">
        <v>86</v>
      </c>
      <c r="L5" s="556"/>
      <c r="M5" s="557"/>
      <c r="P5" s="541" t="s">
        <v>3248</v>
      </c>
      <c r="Q5" s="541"/>
      <c r="R5" s="541"/>
      <c r="S5" s="542" t="s">
        <v>3249</v>
      </c>
      <c r="T5" s="542" t="s">
        <v>3250</v>
      </c>
    </row>
    <row r="6" spans="1:41" ht="31.2" x14ac:dyDescent="0.3">
      <c r="A6" s="204" t="s">
        <v>124</v>
      </c>
      <c r="B6" s="207" t="s">
        <v>123</v>
      </c>
      <c r="C6" s="208" t="s">
        <v>122</v>
      </c>
      <c r="D6" s="208" t="s">
        <v>121</v>
      </c>
      <c r="E6" s="208" t="s">
        <v>120</v>
      </c>
      <c r="F6" s="208" t="s">
        <v>119</v>
      </c>
      <c r="G6" s="208" t="s">
        <v>118</v>
      </c>
      <c r="H6" s="208" t="s">
        <v>117</v>
      </c>
      <c r="I6" s="209" t="s">
        <v>116</v>
      </c>
      <c r="J6" s="209" t="s">
        <v>115</v>
      </c>
      <c r="K6" s="210" t="s">
        <v>67</v>
      </c>
      <c r="L6" s="211" t="s">
        <v>66</v>
      </c>
      <c r="M6" s="211" t="s">
        <v>65</v>
      </c>
      <c r="N6" s="212" t="s">
        <v>64</v>
      </c>
      <c r="O6" s="230" t="s">
        <v>3224</v>
      </c>
      <c r="P6" s="291" t="s">
        <v>3208</v>
      </c>
      <c r="Q6" s="291" t="s">
        <v>69</v>
      </c>
      <c r="R6" s="291" t="s">
        <v>68</v>
      </c>
      <c r="S6" s="542"/>
      <c r="T6" s="542"/>
    </row>
    <row r="7" spans="1:41" ht="409.6" x14ac:dyDescent="0.3">
      <c r="A7" s="326">
        <v>1</v>
      </c>
      <c r="B7" s="327" t="s">
        <v>114</v>
      </c>
      <c r="C7" s="328" t="s">
        <v>113</v>
      </c>
      <c r="D7" s="328" t="s">
        <v>112</v>
      </c>
      <c r="E7" s="328" t="s">
        <v>88</v>
      </c>
      <c r="F7" s="328">
        <v>36</v>
      </c>
      <c r="G7" s="328">
        <v>25</v>
      </c>
      <c r="H7" s="328">
        <f t="shared" ref="H7:H15" si="0">(F7*G7)/60</f>
        <v>15</v>
      </c>
      <c r="I7" s="328"/>
      <c r="J7" s="328" t="s">
        <v>23</v>
      </c>
      <c r="K7" s="326" t="s">
        <v>18</v>
      </c>
      <c r="L7" s="326" t="s">
        <v>18</v>
      </c>
      <c r="M7" s="329"/>
      <c r="N7" s="330" t="s">
        <v>87</v>
      </c>
      <c r="O7" s="329">
        <v>1</v>
      </c>
      <c r="P7" s="329"/>
      <c r="Q7" s="329"/>
      <c r="R7" s="329"/>
      <c r="S7" s="329"/>
      <c r="T7" s="329"/>
    </row>
    <row r="8" spans="1:41" ht="409.6" x14ac:dyDescent="0.3">
      <c r="A8" s="326">
        <v>2</v>
      </c>
      <c r="B8" s="327" t="s">
        <v>111</v>
      </c>
      <c r="C8" s="328" t="s">
        <v>110</v>
      </c>
      <c r="D8" s="328" t="s">
        <v>109</v>
      </c>
      <c r="E8" s="328" t="s">
        <v>88</v>
      </c>
      <c r="F8" s="328">
        <v>32</v>
      </c>
      <c r="G8" s="328">
        <v>25</v>
      </c>
      <c r="H8" s="328">
        <f t="shared" si="0"/>
        <v>13.333333333333334</v>
      </c>
      <c r="I8" s="328"/>
      <c r="J8" s="328" t="s">
        <v>23</v>
      </c>
      <c r="K8" s="326" t="s">
        <v>18</v>
      </c>
      <c r="L8" s="326" t="s">
        <v>18</v>
      </c>
      <c r="M8" s="329"/>
      <c r="N8" s="330" t="s">
        <v>87</v>
      </c>
      <c r="O8" s="329">
        <v>1</v>
      </c>
      <c r="P8" s="329"/>
      <c r="Q8" s="329"/>
      <c r="R8" s="329"/>
      <c r="S8" s="329"/>
      <c r="T8" s="329"/>
    </row>
    <row r="9" spans="1:41" ht="409.6" x14ac:dyDescent="0.3">
      <c r="A9" s="326">
        <v>3</v>
      </c>
      <c r="B9" s="327" t="s">
        <v>108</v>
      </c>
      <c r="C9" s="328" t="s">
        <v>107</v>
      </c>
      <c r="D9" s="328" t="s">
        <v>106</v>
      </c>
      <c r="E9" s="328" t="s">
        <v>88</v>
      </c>
      <c r="F9" s="328">
        <v>40</v>
      </c>
      <c r="G9" s="328">
        <v>25</v>
      </c>
      <c r="H9" s="328">
        <f t="shared" si="0"/>
        <v>16.666666666666668</v>
      </c>
      <c r="I9" s="328"/>
      <c r="J9" s="328" t="s">
        <v>23</v>
      </c>
      <c r="K9" s="326" t="s">
        <v>18</v>
      </c>
      <c r="L9" s="326" t="s">
        <v>18</v>
      </c>
      <c r="M9" s="329"/>
      <c r="N9" s="330" t="s">
        <v>87</v>
      </c>
      <c r="O9" s="329">
        <v>1</v>
      </c>
      <c r="P9" s="329"/>
      <c r="Q9" s="329"/>
      <c r="R9" s="329"/>
      <c r="S9" s="329"/>
      <c r="T9" s="329"/>
    </row>
    <row r="10" spans="1:41" ht="409.6" x14ac:dyDescent="0.3">
      <c r="A10" s="326">
        <v>4</v>
      </c>
      <c r="B10" s="327" t="s">
        <v>105</v>
      </c>
      <c r="C10" s="328" t="s">
        <v>104</v>
      </c>
      <c r="D10" s="328" t="s">
        <v>103</v>
      </c>
      <c r="E10" s="328" t="s">
        <v>88</v>
      </c>
      <c r="F10" s="328">
        <v>43</v>
      </c>
      <c r="G10" s="328">
        <v>25</v>
      </c>
      <c r="H10" s="328">
        <f t="shared" si="0"/>
        <v>17.916666666666668</v>
      </c>
      <c r="I10" s="328"/>
      <c r="J10" s="328" t="s">
        <v>23</v>
      </c>
      <c r="K10" s="326" t="s">
        <v>18</v>
      </c>
      <c r="L10" s="326" t="s">
        <v>18</v>
      </c>
      <c r="M10" s="329"/>
      <c r="N10" s="330" t="s">
        <v>87</v>
      </c>
      <c r="O10" s="329">
        <v>1</v>
      </c>
      <c r="P10" s="329"/>
      <c r="Q10" s="329"/>
      <c r="R10" s="329"/>
      <c r="S10" s="329"/>
      <c r="T10" s="329"/>
    </row>
    <row r="11" spans="1:41" ht="409.6" x14ac:dyDescent="0.3">
      <c r="A11" s="326">
        <v>5</v>
      </c>
      <c r="B11" s="327" t="s">
        <v>102</v>
      </c>
      <c r="C11" s="328" t="s">
        <v>101</v>
      </c>
      <c r="D11" s="328" t="s">
        <v>100</v>
      </c>
      <c r="E11" s="328" t="s">
        <v>88</v>
      </c>
      <c r="F11" s="328">
        <v>25</v>
      </c>
      <c r="G11" s="328">
        <v>60</v>
      </c>
      <c r="H11" s="328">
        <f t="shared" si="0"/>
        <v>25</v>
      </c>
      <c r="I11" s="328"/>
      <c r="J11" s="328" t="s">
        <v>23</v>
      </c>
      <c r="K11" s="326" t="s">
        <v>18</v>
      </c>
      <c r="L11" s="326" t="s">
        <v>18</v>
      </c>
      <c r="M11" s="329"/>
      <c r="N11" s="330" t="s">
        <v>87</v>
      </c>
      <c r="O11" s="329">
        <v>1</v>
      </c>
      <c r="P11" s="329"/>
      <c r="Q11" s="329"/>
      <c r="R11" s="329"/>
      <c r="S11" s="329"/>
      <c r="T11" s="329"/>
    </row>
    <row r="12" spans="1:41" ht="409.6" x14ac:dyDescent="0.3">
      <c r="A12" s="326">
        <v>6</v>
      </c>
      <c r="B12" s="327" t="s">
        <v>99</v>
      </c>
      <c r="C12" s="328" t="s">
        <v>98</v>
      </c>
      <c r="D12" s="328" t="s">
        <v>97</v>
      </c>
      <c r="E12" s="328" t="s">
        <v>88</v>
      </c>
      <c r="F12" s="328">
        <v>44</v>
      </c>
      <c r="G12" s="328">
        <v>60</v>
      </c>
      <c r="H12" s="328">
        <f t="shared" si="0"/>
        <v>44</v>
      </c>
      <c r="I12" s="328"/>
      <c r="J12" s="328" t="s">
        <v>23</v>
      </c>
      <c r="K12" s="326" t="s">
        <v>18</v>
      </c>
      <c r="L12" s="326" t="s">
        <v>18</v>
      </c>
      <c r="M12" s="329"/>
      <c r="N12" s="330" t="s">
        <v>87</v>
      </c>
      <c r="O12" s="329">
        <v>1</v>
      </c>
      <c r="P12" s="329"/>
      <c r="Q12" s="329"/>
      <c r="R12" s="329"/>
      <c r="S12" s="329"/>
      <c r="T12" s="329"/>
    </row>
    <row r="13" spans="1:41" ht="409.6" x14ac:dyDescent="0.3">
      <c r="A13" s="326">
        <v>7</v>
      </c>
      <c r="B13" s="327" t="s">
        <v>96</v>
      </c>
      <c r="C13" s="328" t="s">
        <v>95</v>
      </c>
      <c r="D13" s="328" t="s">
        <v>94</v>
      </c>
      <c r="E13" s="328" t="s">
        <v>88</v>
      </c>
      <c r="F13" s="328">
        <v>43</v>
      </c>
      <c r="G13" s="328">
        <v>60</v>
      </c>
      <c r="H13" s="328">
        <f t="shared" si="0"/>
        <v>43</v>
      </c>
      <c r="I13" s="328"/>
      <c r="J13" s="328" t="s">
        <v>23</v>
      </c>
      <c r="K13" s="326" t="s">
        <v>18</v>
      </c>
      <c r="L13" s="326" t="s">
        <v>18</v>
      </c>
      <c r="M13" s="329"/>
      <c r="N13" s="330" t="s">
        <v>87</v>
      </c>
      <c r="O13" s="329">
        <v>1</v>
      </c>
      <c r="P13" s="329"/>
      <c r="Q13" s="329"/>
      <c r="R13" s="329"/>
      <c r="S13" s="329"/>
      <c r="T13" s="329"/>
    </row>
    <row r="14" spans="1:41" ht="409.6" x14ac:dyDescent="0.3">
      <c r="A14" s="326">
        <v>8</v>
      </c>
      <c r="B14" s="327" t="s">
        <v>93</v>
      </c>
      <c r="C14" s="328" t="s">
        <v>92</v>
      </c>
      <c r="D14" s="328" t="s">
        <v>91</v>
      </c>
      <c r="E14" s="328" t="s">
        <v>88</v>
      </c>
      <c r="F14" s="328">
        <v>115</v>
      </c>
      <c r="G14" s="328">
        <v>30</v>
      </c>
      <c r="H14" s="328">
        <f t="shared" si="0"/>
        <v>57.5</v>
      </c>
      <c r="I14" s="328"/>
      <c r="J14" s="328" t="s">
        <v>23</v>
      </c>
      <c r="K14" s="331" t="s">
        <v>18</v>
      </c>
      <c r="L14" s="331" t="s">
        <v>18</v>
      </c>
      <c r="M14" s="329"/>
      <c r="N14" s="330" t="s">
        <v>87</v>
      </c>
      <c r="O14" s="329">
        <v>1</v>
      </c>
      <c r="P14" s="329"/>
      <c r="Q14" s="329"/>
      <c r="R14" s="329"/>
      <c r="S14" s="329"/>
      <c r="T14" s="329"/>
    </row>
    <row r="15" spans="1:41" ht="409.6" x14ac:dyDescent="0.3">
      <c r="A15" s="326">
        <v>9</v>
      </c>
      <c r="B15" s="327" t="s">
        <v>90</v>
      </c>
      <c r="C15" s="328" t="s">
        <v>89</v>
      </c>
      <c r="D15" s="328"/>
      <c r="E15" s="328" t="s">
        <v>88</v>
      </c>
      <c r="F15" s="328">
        <v>1</v>
      </c>
      <c r="G15" s="328">
        <v>124</v>
      </c>
      <c r="H15" s="328">
        <f t="shared" si="0"/>
        <v>2.0666666666666669</v>
      </c>
      <c r="I15" s="328"/>
      <c r="J15" s="328" t="s">
        <v>23</v>
      </c>
      <c r="K15" s="331" t="s">
        <v>18</v>
      </c>
      <c r="L15" s="331" t="s">
        <v>18</v>
      </c>
      <c r="M15" s="329"/>
      <c r="N15" s="330" t="s">
        <v>87</v>
      </c>
      <c r="O15" s="329">
        <v>1</v>
      </c>
      <c r="P15" s="329"/>
      <c r="Q15" s="329"/>
      <c r="R15" s="329"/>
      <c r="S15" s="329"/>
      <c r="T15" s="329"/>
    </row>
    <row r="17" spans="1:43" s="296" customFormat="1" ht="13.2" x14ac:dyDescent="0.3">
      <c r="A17" s="319" t="s">
        <v>3262</v>
      </c>
      <c r="C17" s="322"/>
      <c r="D17" s="322"/>
      <c r="AO17" s="323"/>
      <c r="AP17" s="323"/>
      <c r="AQ17" s="323"/>
    </row>
    <row r="18" spans="1:43" s="296" customFormat="1" ht="13.2" x14ac:dyDescent="0.3">
      <c r="A18" s="320" t="s">
        <v>3256</v>
      </c>
      <c r="C18" s="322"/>
      <c r="D18" s="322"/>
      <c r="AO18" s="323"/>
      <c r="AP18" s="323"/>
      <c r="AQ18" s="323"/>
    </row>
    <row r="19" spans="1:43" s="296" customFormat="1" ht="13.2" x14ac:dyDescent="0.3">
      <c r="A19" s="321"/>
      <c r="B19" s="317" t="s">
        <v>3258</v>
      </c>
      <c r="C19" s="317" t="s">
        <v>3257</v>
      </c>
      <c r="D19" s="271" t="s">
        <v>3259</v>
      </c>
      <c r="E19" s="271" t="s">
        <v>3260</v>
      </c>
      <c r="AO19" s="323"/>
      <c r="AP19" s="323"/>
      <c r="AQ19" s="323"/>
    </row>
    <row r="20" spans="1:43" s="296" customFormat="1" ht="13.2" x14ac:dyDescent="0.3">
      <c r="A20" s="321"/>
      <c r="B20" s="322" t="s">
        <v>3261</v>
      </c>
      <c r="C20" s="322" t="s">
        <v>3261</v>
      </c>
      <c r="D20" s="322" t="s">
        <v>3261</v>
      </c>
      <c r="E20" s="322" t="s">
        <v>3261</v>
      </c>
      <c r="AO20" s="323"/>
      <c r="AP20" s="323"/>
      <c r="AQ20" s="323"/>
    </row>
    <row r="21" spans="1:43" s="296" customFormat="1" ht="13.2" x14ac:dyDescent="0.3">
      <c r="B21" s="274"/>
      <c r="E21" s="274"/>
      <c r="AO21" s="323"/>
      <c r="AP21" s="323"/>
      <c r="AQ21" s="323"/>
    </row>
  </sheetData>
  <autoFilter ref="A6:N15" xr:uid="{1D64D34E-4E8C-4076-AE5E-6B8A68CDA97E}"/>
  <mergeCells count="8">
    <mergeCell ref="P1:T1"/>
    <mergeCell ref="P2:T2"/>
    <mergeCell ref="K5:M5"/>
    <mergeCell ref="P5:R5"/>
    <mergeCell ref="S5:S6"/>
    <mergeCell ref="T5:T6"/>
    <mergeCell ref="A3:T3"/>
    <mergeCell ref="A4:T4"/>
  </mergeCells>
  <pageMargins left="0.7" right="0.7" top="0.75" bottom="0.75" header="0.3" footer="0.3"/>
  <headerFooter>
    <oddFooter>&amp;L_x000D_&amp;1#&amp;"Aptos"&amp;10&amp;K000000 C0 - This document or email is owned by Canal+ Group.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26CF-6D0A-45F0-9020-A85FA33300DF}">
  <sheetPr codeName="Sheet1">
    <tabColor rgb="FF92D050"/>
  </sheetPr>
  <dimension ref="A1:AE24"/>
  <sheetViews>
    <sheetView tabSelected="1" zoomScale="70" zoomScaleNormal="70" workbookViewId="0">
      <pane xSplit="3" ySplit="6" topLeftCell="D7" activePane="bottomRight" state="frozen"/>
      <selection pane="topRight" activeCell="D1" sqref="D1"/>
      <selection pane="bottomLeft" activeCell="A5" sqref="A5"/>
      <selection pane="bottomRight" activeCell="D20" sqref="D20"/>
    </sheetView>
  </sheetViews>
  <sheetFormatPr defaultColWidth="8.77734375" defaultRowHeight="13.8" x14ac:dyDescent="0.3"/>
  <cols>
    <col min="1" max="1" width="8.109375" style="201" customWidth="1"/>
    <col min="2" max="2" width="32.5546875" style="201" bestFit="1" customWidth="1"/>
    <col min="3" max="3" width="22.5546875" style="201" bestFit="1" customWidth="1"/>
    <col min="4" max="4" width="10.5546875" style="201" customWidth="1"/>
    <col min="5" max="5" width="8.88671875" style="201" bestFit="1" customWidth="1"/>
    <col min="6" max="6" width="11.44140625" style="201" customWidth="1"/>
    <col min="7" max="7" width="8.88671875" style="201" bestFit="1" customWidth="1"/>
    <col min="8" max="8" width="11.5546875" style="201" customWidth="1"/>
    <col min="9" max="9" width="8.88671875" style="201" bestFit="1" customWidth="1"/>
    <col min="10" max="16" width="8.77734375" style="201"/>
    <col min="17" max="17" width="10.6640625" style="201" bestFit="1" customWidth="1"/>
    <col min="18" max="18" width="11.88671875" style="201" bestFit="1" customWidth="1"/>
    <col min="19" max="21" width="8.77734375" style="201"/>
    <col min="22" max="22" width="20.77734375" style="201" hidden="1" customWidth="1"/>
    <col min="23" max="23" width="16.77734375" style="201" hidden="1" customWidth="1"/>
    <col min="24" max="24" width="17.21875" style="201" hidden="1" customWidth="1"/>
    <col min="25" max="25" width="22" style="201" hidden="1" customWidth="1"/>
    <col min="26" max="26" width="16.44140625" style="201" hidden="1" customWidth="1"/>
    <col min="27" max="29" width="8.77734375" style="201"/>
    <col min="30" max="30" width="14.21875" style="201" customWidth="1"/>
    <col min="31" max="31" width="15.21875" style="201" customWidth="1"/>
    <col min="32" max="16384" width="8.77734375" style="201"/>
  </cols>
  <sheetData>
    <row r="1" spans="1:31" x14ac:dyDescent="0.3">
      <c r="A1" s="269" t="s">
        <v>3244</v>
      </c>
      <c r="B1" s="203"/>
      <c r="AA1" s="558" t="s">
        <v>3245</v>
      </c>
      <c r="AB1" s="558"/>
      <c r="AC1" s="558"/>
      <c r="AD1" s="558"/>
      <c r="AE1" s="558"/>
    </row>
    <row r="2" spans="1:31" x14ac:dyDescent="0.3">
      <c r="AA2" s="559" t="s">
        <v>3246</v>
      </c>
      <c r="AB2" s="559"/>
      <c r="AC2" s="559"/>
      <c r="AD2" s="559"/>
      <c r="AE2" s="559"/>
    </row>
    <row r="3" spans="1:31" x14ac:dyDescent="0.3">
      <c r="A3" s="560" t="s">
        <v>3255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</row>
    <row r="4" spans="1:31" x14ac:dyDescent="0.3">
      <c r="A4" s="560" t="s">
        <v>3247</v>
      </c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0"/>
    </row>
    <row r="5" spans="1:31" x14ac:dyDescent="0.3">
      <c r="D5" s="332"/>
      <c r="H5" s="333"/>
      <c r="J5" s="332"/>
      <c r="K5" s="332"/>
      <c r="L5" s="332"/>
      <c r="M5" s="332"/>
      <c r="N5" s="332"/>
      <c r="O5" s="332"/>
      <c r="P5" s="332"/>
      <c r="S5" s="561" t="s">
        <v>86</v>
      </c>
      <c r="T5" s="561"/>
      <c r="U5" s="561"/>
      <c r="V5" s="206"/>
      <c r="W5" s="562" t="s">
        <v>3225</v>
      </c>
      <c r="X5" s="562"/>
      <c r="Y5" s="562"/>
      <c r="Z5" s="334" t="s">
        <v>3219</v>
      </c>
      <c r="AA5" s="563" t="s">
        <v>3248</v>
      </c>
      <c r="AB5" s="563"/>
      <c r="AC5" s="563"/>
      <c r="AD5" s="564" t="s">
        <v>3249</v>
      </c>
      <c r="AE5" s="564" t="s">
        <v>3250</v>
      </c>
    </row>
    <row r="6" spans="1:31" ht="55.2" x14ac:dyDescent="0.3">
      <c r="A6" s="217" t="s">
        <v>85</v>
      </c>
      <c r="B6" s="217" t="s">
        <v>84</v>
      </c>
      <c r="C6" s="217" t="s">
        <v>83</v>
      </c>
      <c r="D6" s="199" t="s">
        <v>82</v>
      </c>
      <c r="E6" s="217" t="s">
        <v>81</v>
      </c>
      <c r="F6" s="199" t="s">
        <v>80</v>
      </c>
      <c r="G6" s="199" t="s">
        <v>79</v>
      </c>
      <c r="H6" s="218" t="s">
        <v>78</v>
      </c>
      <c r="I6" s="219" t="s">
        <v>77</v>
      </c>
      <c r="J6" s="199" t="s">
        <v>76</v>
      </c>
      <c r="K6" s="200" t="s">
        <v>75</v>
      </c>
      <c r="L6" s="220" t="s">
        <v>74</v>
      </c>
      <c r="M6" s="200" t="s">
        <v>73</v>
      </c>
      <c r="N6" s="200" t="s">
        <v>72</v>
      </c>
      <c r="O6" s="200" t="s">
        <v>71</v>
      </c>
      <c r="P6" s="200" t="s">
        <v>70</v>
      </c>
      <c r="Q6" s="218" t="s">
        <v>69</v>
      </c>
      <c r="R6" s="218" t="s">
        <v>68</v>
      </c>
      <c r="S6" s="200" t="s">
        <v>67</v>
      </c>
      <c r="T6" s="200" t="s">
        <v>66</v>
      </c>
      <c r="U6" s="200" t="s">
        <v>65</v>
      </c>
      <c r="V6" s="215" t="s">
        <v>64</v>
      </c>
      <c r="W6" s="216" t="s">
        <v>3226</v>
      </c>
      <c r="X6" s="214" t="s">
        <v>3212</v>
      </c>
      <c r="Y6" s="214" t="s">
        <v>3220</v>
      </c>
      <c r="Z6" s="214" t="s">
        <v>3204</v>
      </c>
      <c r="AA6" s="353" t="s">
        <v>3208</v>
      </c>
      <c r="AB6" s="353" t="s">
        <v>69</v>
      </c>
      <c r="AC6" s="353" t="s">
        <v>68</v>
      </c>
      <c r="AD6" s="564"/>
      <c r="AE6" s="564"/>
    </row>
    <row r="7" spans="1:31" x14ac:dyDescent="0.3">
      <c r="A7" s="206">
        <v>1</v>
      </c>
      <c r="B7" s="221" t="s">
        <v>63</v>
      </c>
      <c r="C7" s="222" t="s">
        <v>36</v>
      </c>
      <c r="D7" s="223" t="s">
        <v>31</v>
      </c>
      <c r="E7" s="206"/>
      <c r="F7" s="206"/>
      <c r="G7" s="223">
        <v>19</v>
      </c>
      <c r="H7" s="335">
        <v>2</v>
      </c>
      <c r="I7" s="336">
        <f t="shared" ref="I7:I23" si="0">G7*H7/60</f>
        <v>0.6333333333333333</v>
      </c>
      <c r="J7" s="223" t="s">
        <v>20</v>
      </c>
      <c r="K7" s="223" t="s">
        <v>18</v>
      </c>
      <c r="L7" s="223" t="s">
        <v>18</v>
      </c>
      <c r="M7" s="223" t="s">
        <v>18</v>
      </c>
      <c r="N7" s="223" t="s">
        <v>18</v>
      </c>
      <c r="O7" s="223" t="s">
        <v>20</v>
      </c>
      <c r="P7" s="223" t="s">
        <v>18</v>
      </c>
      <c r="Q7" s="224">
        <v>43862</v>
      </c>
      <c r="R7" s="224">
        <v>50806</v>
      </c>
      <c r="S7" s="223" t="s">
        <v>18</v>
      </c>
      <c r="T7" s="223" t="s">
        <v>18</v>
      </c>
      <c r="U7" s="206"/>
      <c r="V7" s="202" t="s">
        <v>17</v>
      </c>
      <c r="W7" s="206"/>
      <c r="X7" s="206"/>
      <c r="Y7" s="206"/>
      <c r="Z7" s="206">
        <v>1</v>
      </c>
      <c r="AA7" s="206"/>
      <c r="AB7" s="206"/>
      <c r="AC7" s="206"/>
      <c r="AD7" s="206"/>
      <c r="AE7" s="206"/>
    </row>
    <row r="8" spans="1:31" x14ac:dyDescent="0.3">
      <c r="A8" s="206">
        <v>2</v>
      </c>
      <c r="B8" s="221" t="s">
        <v>62</v>
      </c>
      <c r="C8" s="222" t="s">
        <v>61</v>
      </c>
      <c r="D8" s="223" t="s">
        <v>31</v>
      </c>
      <c r="E8" s="206"/>
      <c r="F8" s="206"/>
      <c r="G8" s="223">
        <v>54</v>
      </c>
      <c r="H8" s="335">
        <v>1</v>
      </c>
      <c r="I8" s="336">
        <f t="shared" si="0"/>
        <v>0.9</v>
      </c>
      <c r="J8" s="223" t="s">
        <v>20</v>
      </c>
      <c r="K8" s="223" t="s">
        <v>18</v>
      </c>
      <c r="L8" s="223" t="s">
        <v>18</v>
      </c>
      <c r="M8" s="223" t="s">
        <v>18</v>
      </c>
      <c r="N8" s="223" t="s">
        <v>18</v>
      </c>
      <c r="O8" s="223" t="s">
        <v>20</v>
      </c>
      <c r="P8" s="223" t="s">
        <v>18</v>
      </c>
      <c r="Q8" s="224" t="s">
        <v>60</v>
      </c>
      <c r="R8" s="224" t="s">
        <v>52</v>
      </c>
      <c r="S8" s="223" t="s">
        <v>18</v>
      </c>
      <c r="T8" s="223" t="s">
        <v>18</v>
      </c>
      <c r="U8" s="206"/>
      <c r="V8" s="202" t="s">
        <v>17</v>
      </c>
      <c r="W8" s="206"/>
      <c r="X8" s="206"/>
      <c r="Y8" s="206"/>
      <c r="Z8" s="206">
        <v>1</v>
      </c>
      <c r="AA8" s="206"/>
      <c r="AB8" s="206"/>
      <c r="AC8" s="206"/>
      <c r="AD8" s="206"/>
      <c r="AE8" s="206"/>
    </row>
    <row r="9" spans="1:31" x14ac:dyDescent="0.3">
      <c r="A9" s="206">
        <v>3</v>
      </c>
      <c r="B9" s="221" t="s">
        <v>59</v>
      </c>
      <c r="C9" s="222" t="s">
        <v>58</v>
      </c>
      <c r="D9" s="223" t="s">
        <v>31</v>
      </c>
      <c r="E9" s="206"/>
      <c r="F9" s="206"/>
      <c r="G9" s="223">
        <v>7</v>
      </c>
      <c r="H9" s="335">
        <v>4</v>
      </c>
      <c r="I9" s="336">
        <f t="shared" si="0"/>
        <v>0.46666666666666667</v>
      </c>
      <c r="J9" s="223" t="s">
        <v>20</v>
      </c>
      <c r="K9" s="223" t="s">
        <v>18</v>
      </c>
      <c r="L9" s="223" t="s">
        <v>18</v>
      </c>
      <c r="M9" s="223" t="s">
        <v>18</v>
      </c>
      <c r="N9" s="223" t="s">
        <v>18</v>
      </c>
      <c r="O9" s="223" t="s">
        <v>20</v>
      </c>
      <c r="P9" s="223" t="s">
        <v>18</v>
      </c>
      <c r="Q9" s="224" t="s">
        <v>53</v>
      </c>
      <c r="R9" s="224" t="s">
        <v>52</v>
      </c>
      <c r="S9" s="223" t="s">
        <v>18</v>
      </c>
      <c r="T9" s="223" t="s">
        <v>18</v>
      </c>
      <c r="U9" s="206"/>
      <c r="V9" s="202" t="s">
        <v>17</v>
      </c>
      <c r="W9" s="206"/>
      <c r="X9" s="206"/>
      <c r="Y9" s="206"/>
      <c r="Z9" s="206">
        <v>1</v>
      </c>
      <c r="AA9" s="206"/>
      <c r="AB9" s="206"/>
      <c r="AC9" s="206"/>
      <c r="AD9" s="206"/>
      <c r="AE9" s="206"/>
    </row>
    <row r="10" spans="1:31" x14ac:dyDescent="0.3">
      <c r="A10" s="206">
        <v>4</v>
      </c>
      <c r="B10" s="221" t="s">
        <v>57</v>
      </c>
      <c r="C10" s="222" t="s">
        <v>56</v>
      </c>
      <c r="D10" s="223" t="s">
        <v>31</v>
      </c>
      <c r="E10" s="206"/>
      <c r="F10" s="206"/>
      <c r="G10" s="223">
        <v>6</v>
      </c>
      <c r="H10" s="335">
        <v>2</v>
      </c>
      <c r="I10" s="336">
        <f t="shared" si="0"/>
        <v>0.2</v>
      </c>
      <c r="J10" s="223" t="s">
        <v>20</v>
      </c>
      <c r="K10" s="223" t="s">
        <v>18</v>
      </c>
      <c r="L10" s="223" t="s">
        <v>18</v>
      </c>
      <c r="M10" s="223" t="s">
        <v>18</v>
      </c>
      <c r="N10" s="223" t="s">
        <v>18</v>
      </c>
      <c r="O10" s="223" t="s">
        <v>20</v>
      </c>
      <c r="P10" s="223" t="s">
        <v>18</v>
      </c>
      <c r="Q10" s="224" t="s">
        <v>53</v>
      </c>
      <c r="R10" s="224" t="s">
        <v>52</v>
      </c>
      <c r="S10" s="223" t="s">
        <v>18</v>
      </c>
      <c r="T10" s="223" t="s">
        <v>18</v>
      </c>
      <c r="U10" s="206"/>
      <c r="V10" s="202" t="s">
        <v>17</v>
      </c>
      <c r="W10" s="206"/>
      <c r="X10" s="206"/>
      <c r="Y10" s="206"/>
      <c r="Z10" s="206">
        <v>1</v>
      </c>
      <c r="AA10" s="206"/>
      <c r="AB10" s="206"/>
      <c r="AC10" s="206"/>
      <c r="AD10" s="206"/>
      <c r="AE10" s="206"/>
    </row>
    <row r="11" spans="1:31" x14ac:dyDescent="0.3">
      <c r="A11" s="206">
        <v>5</v>
      </c>
      <c r="B11" s="221" t="s">
        <v>55</v>
      </c>
      <c r="C11" s="222" t="s">
        <v>54</v>
      </c>
      <c r="D11" s="223" t="s">
        <v>31</v>
      </c>
      <c r="E11" s="206"/>
      <c r="F11" s="206"/>
      <c r="G11" s="223">
        <v>5</v>
      </c>
      <c r="H11" s="335">
        <v>7</v>
      </c>
      <c r="I11" s="336">
        <f t="shared" si="0"/>
        <v>0.58333333333333337</v>
      </c>
      <c r="J11" s="223" t="s">
        <v>20</v>
      </c>
      <c r="K11" s="223" t="s">
        <v>18</v>
      </c>
      <c r="L11" s="223" t="s">
        <v>18</v>
      </c>
      <c r="M11" s="223" t="s">
        <v>18</v>
      </c>
      <c r="N11" s="223" t="s">
        <v>18</v>
      </c>
      <c r="O11" s="223" t="s">
        <v>20</v>
      </c>
      <c r="P11" s="223" t="s">
        <v>18</v>
      </c>
      <c r="Q11" s="224" t="s">
        <v>53</v>
      </c>
      <c r="R11" s="224" t="s">
        <v>52</v>
      </c>
      <c r="S11" s="223" t="s">
        <v>18</v>
      </c>
      <c r="T11" s="223" t="s">
        <v>18</v>
      </c>
      <c r="U11" s="206"/>
      <c r="V11" s="202" t="s">
        <v>17</v>
      </c>
      <c r="W11" s="206"/>
      <c r="X11" s="206"/>
      <c r="Y11" s="206"/>
      <c r="Z11" s="206">
        <v>1</v>
      </c>
      <c r="AA11" s="206"/>
      <c r="AB11" s="206"/>
      <c r="AC11" s="206"/>
      <c r="AD11" s="206"/>
      <c r="AE11" s="206"/>
    </row>
    <row r="12" spans="1:31" x14ac:dyDescent="0.3">
      <c r="A12" s="206">
        <v>6</v>
      </c>
      <c r="B12" s="221" t="s">
        <v>51</v>
      </c>
      <c r="C12" s="222" t="s">
        <v>50</v>
      </c>
      <c r="D12" s="223" t="s">
        <v>31</v>
      </c>
      <c r="E12" s="206"/>
      <c r="F12" s="206"/>
      <c r="G12" s="223">
        <v>83</v>
      </c>
      <c r="H12" s="335">
        <v>2</v>
      </c>
      <c r="I12" s="336">
        <f t="shared" si="0"/>
        <v>2.7666666666666666</v>
      </c>
      <c r="J12" s="223" t="s">
        <v>20</v>
      </c>
      <c r="K12" s="223" t="s">
        <v>18</v>
      </c>
      <c r="L12" s="223" t="s">
        <v>18</v>
      </c>
      <c r="M12" s="223" t="s">
        <v>18</v>
      </c>
      <c r="N12" s="223" t="s">
        <v>18</v>
      </c>
      <c r="O12" s="223" t="s">
        <v>20</v>
      </c>
      <c r="P12" s="223" t="s">
        <v>18</v>
      </c>
      <c r="Q12" s="224">
        <v>45753</v>
      </c>
      <c r="R12" s="224">
        <v>46396</v>
      </c>
      <c r="S12" s="223" t="s">
        <v>18</v>
      </c>
      <c r="T12" s="223" t="s">
        <v>18</v>
      </c>
      <c r="U12" s="206"/>
      <c r="V12" s="202" t="s">
        <v>17</v>
      </c>
      <c r="W12" s="206"/>
      <c r="X12" s="206"/>
      <c r="Y12" s="206"/>
      <c r="Z12" s="206">
        <v>1</v>
      </c>
      <c r="AA12" s="206"/>
      <c r="AB12" s="206"/>
      <c r="AC12" s="206"/>
      <c r="AD12" s="206"/>
      <c r="AE12" s="206"/>
    </row>
    <row r="13" spans="1:31" x14ac:dyDescent="0.3">
      <c r="A13" s="206">
        <v>7</v>
      </c>
      <c r="B13" s="221" t="s">
        <v>49</v>
      </c>
      <c r="C13" s="222" t="s">
        <v>48</v>
      </c>
      <c r="D13" s="223" t="s">
        <v>31</v>
      </c>
      <c r="E13" s="206"/>
      <c r="F13" s="206"/>
      <c r="G13" s="223">
        <v>8</v>
      </c>
      <c r="H13" s="335">
        <v>12</v>
      </c>
      <c r="I13" s="336">
        <f t="shared" si="0"/>
        <v>1.6</v>
      </c>
      <c r="J13" s="223" t="s">
        <v>20</v>
      </c>
      <c r="K13" s="223" t="s">
        <v>18</v>
      </c>
      <c r="L13" s="223" t="s">
        <v>18</v>
      </c>
      <c r="M13" s="223" t="s">
        <v>18</v>
      </c>
      <c r="N13" s="223" t="s">
        <v>18</v>
      </c>
      <c r="O13" s="223" t="s">
        <v>20</v>
      </c>
      <c r="P13" s="223" t="s">
        <v>18</v>
      </c>
      <c r="Q13" s="224">
        <v>45545</v>
      </c>
      <c r="R13" s="224">
        <v>58694</v>
      </c>
      <c r="S13" s="223" t="s">
        <v>18</v>
      </c>
      <c r="T13" s="223" t="s">
        <v>18</v>
      </c>
      <c r="U13" s="206"/>
      <c r="V13" s="202" t="s">
        <v>17</v>
      </c>
      <c r="W13" s="206"/>
      <c r="X13" s="206"/>
      <c r="Y13" s="206"/>
      <c r="Z13" s="206">
        <v>1</v>
      </c>
      <c r="AA13" s="206"/>
      <c r="AB13" s="206"/>
      <c r="AC13" s="206"/>
      <c r="AD13" s="206"/>
      <c r="AE13" s="206"/>
    </row>
    <row r="14" spans="1:31" x14ac:dyDescent="0.3">
      <c r="A14" s="206">
        <v>8</v>
      </c>
      <c r="B14" s="221" t="s">
        <v>47</v>
      </c>
      <c r="C14" s="222" t="s">
        <v>46</v>
      </c>
      <c r="D14" s="223" t="s">
        <v>31</v>
      </c>
      <c r="E14" s="206"/>
      <c r="F14" s="206"/>
      <c r="G14" s="223">
        <v>11</v>
      </c>
      <c r="H14" s="335">
        <v>4</v>
      </c>
      <c r="I14" s="336">
        <f t="shared" si="0"/>
        <v>0.73333333333333328</v>
      </c>
      <c r="J14" s="223" t="s">
        <v>20</v>
      </c>
      <c r="K14" s="223" t="s">
        <v>18</v>
      </c>
      <c r="L14" s="223" t="s">
        <v>18</v>
      </c>
      <c r="M14" s="223" t="s">
        <v>18</v>
      </c>
      <c r="N14" s="223" t="s">
        <v>18</v>
      </c>
      <c r="O14" s="223" t="s">
        <v>20</v>
      </c>
      <c r="P14" s="223" t="s">
        <v>18</v>
      </c>
      <c r="Q14" s="224">
        <v>45545</v>
      </c>
      <c r="R14" s="224">
        <v>58694</v>
      </c>
      <c r="S14" s="223" t="s">
        <v>18</v>
      </c>
      <c r="T14" s="223" t="s">
        <v>18</v>
      </c>
      <c r="U14" s="206"/>
      <c r="V14" s="202" t="s">
        <v>17</v>
      </c>
      <c r="W14" s="206"/>
      <c r="X14" s="206"/>
      <c r="Y14" s="206"/>
      <c r="Z14" s="206">
        <v>1</v>
      </c>
      <c r="AA14" s="206"/>
      <c r="AB14" s="206"/>
      <c r="AC14" s="206"/>
      <c r="AD14" s="206"/>
      <c r="AE14" s="206"/>
    </row>
    <row r="15" spans="1:31" x14ac:dyDescent="0.3">
      <c r="A15" s="206">
        <v>9</v>
      </c>
      <c r="B15" s="221" t="s">
        <v>45</v>
      </c>
      <c r="C15" s="222" t="s">
        <v>44</v>
      </c>
      <c r="D15" s="223" t="s">
        <v>31</v>
      </c>
      <c r="E15" s="206"/>
      <c r="F15" s="206"/>
      <c r="G15" s="223">
        <v>5</v>
      </c>
      <c r="H15" s="335">
        <v>3</v>
      </c>
      <c r="I15" s="336">
        <f t="shared" si="0"/>
        <v>0.25</v>
      </c>
      <c r="J15" s="223" t="s">
        <v>20</v>
      </c>
      <c r="K15" s="223" t="s">
        <v>18</v>
      </c>
      <c r="L15" s="223" t="s">
        <v>18</v>
      </c>
      <c r="M15" s="223" t="s">
        <v>18</v>
      </c>
      <c r="N15" s="223" t="s">
        <v>18</v>
      </c>
      <c r="O15" s="223" t="s">
        <v>20</v>
      </c>
      <c r="P15" s="223" t="s">
        <v>18</v>
      </c>
      <c r="Q15" s="224">
        <v>45545</v>
      </c>
      <c r="R15" s="224">
        <v>58694</v>
      </c>
      <c r="S15" s="223" t="s">
        <v>18</v>
      </c>
      <c r="T15" s="223" t="s">
        <v>18</v>
      </c>
      <c r="U15" s="206"/>
      <c r="V15" s="202" t="s">
        <v>17</v>
      </c>
      <c r="W15" s="206"/>
      <c r="X15" s="206"/>
      <c r="Y15" s="206"/>
      <c r="Z15" s="206">
        <v>1</v>
      </c>
      <c r="AA15" s="206"/>
      <c r="AB15" s="206"/>
      <c r="AC15" s="206"/>
      <c r="AD15" s="206"/>
      <c r="AE15" s="206"/>
    </row>
    <row r="16" spans="1:31" x14ac:dyDescent="0.3">
      <c r="A16" s="206">
        <v>10</v>
      </c>
      <c r="B16" s="221" t="s">
        <v>43</v>
      </c>
      <c r="C16" s="222" t="s">
        <v>42</v>
      </c>
      <c r="D16" s="223" t="s">
        <v>31</v>
      </c>
      <c r="E16" s="206"/>
      <c r="F16" s="206"/>
      <c r="G16" s="223">
        <v>22</v>
      </c>
      <c r="H16" s="335">
        <v>2</v>
      </c>
      <c r="I16" s="336">
        <f t="shared" si="0"/>
        <v>0.73333333333333328</v>
      </c>
      <c r="J16" s="223" t="s">
        <v>20</v>
      </c>
      <c r="K16" s="223" t="s">
        <v>18</v>
      </c>
      <c r="L16" s="223" t="s">
        <v>18</v>
      </c>
      <c r="M16" s="223" t="s">
        <v>18</v>
      </c>
      <c r="N16" s="223" t="s">
        <v>18</v>
      </c>
      <c r="O16" s="223" t="s">
        <v>20</v>
      </c>
      <c r="P16" s="223" t="s">
        <v>18</v>
      </c>
      <c r="Q16" s="224">
        <v>45545</v>
      </c>
      <c r="R16" s="224">
        <v>58694</v>
      </c>
      <c r="S16" s="223" t="s">
        <v>18</v>
      </c>
      <c r="T16" s="223" t="s">
        <v>18</v>
      </c>
      <c r="U16" s="206"/>
      <c r="V16" s="202" t="s">
        <v>17</v>
      </c>
      <c r="W16" s="206"/>
      <c r="X16" s="206"/>
      <c r="Y16" s="206"/>
      <c r="Z16" s="206">
        <v>1</v>
      </c>
      <c r="AA16" s="206"/>
      <c r="AB16" s="206"/>
      <c r="AC16" s="206"/>
      <c r="AD16" s="206"/>
      <c r="AE16" s="206"/>
    </row>
    <row r="17" spans="1:31" x14ac:dyDescent="0.3">
      <c r="A17" s="206">
        <v>11</v>
      </c>
      <c r="B17" s="221" t="s">
        <v>41</v>
      </c>
      <c r="C17" s="222" t="s">
        <v>40</v>
      </c>
      <c r="D17" s="223" t="s">
        <v>31</v>
      </c>
      <c r="E17" s="206"/>
      <c r="F17" s="206"/>
      <c r="G17" s="223">
        <v>55</v>
      </c>
      <c r="H17" s="335">
        <v>1</v>
      </c>
      <c r="I17" s="336">
        <f t="shared" si="0"/>
        <v>0.91666666666666663</v>
      </c>
      <c r="J17" s="223" t="s">
        <v>20</v>
      </c>
      <c r="K17" s="223" t="s">
        <v>18</v>
      </c>
      <c r="L17" s="223" t="s">
        <v>18</v>
      </c>
      <c r="M17" s="223" t="s">
        <v>18</v>
      </c>
      <c r="N17" s="223" t="s">
        <v>18</v>
      </c>
      <c r="O17" s="223" t="s">
        <v>20</v>
      </c>
      <c r="P17" s="223" t="s">
        <v>18</v>
      </c>
      <c r="Q17" s="224">
        <v>43862</v>
      </c>
      <c r="R17" s="224">
        <v>50806</v>
      </c>
      <c r="S17" s="223" t="s">
        <v>18</v>
      </c>
      <c r="T17" s="223" t="s">
        <v>18</v>
      </c>
      <c r="U17" s="206"/>
      <c r="V17" s="202" t="s">
        <v>17</v>
      </c>
      <c r="W17" s="206"/>
      <c r="X17" s="206"/>
      <c r="Y17" s="206"/>
      <c r="Z17" s="206">
        <v>1</v>
      </c>
      <c r="AA17" s="206"/>
      <c r="AB17" s="206"/>
      <c r="AC17" s="206"/>
      <c r="AD17" s="206"/>
      <c r="AE17" s="206"/>
    </row>
    <row r="18" spans="1:31" x14ac:dyDescent="0.3">
      <c r="A18" s="206">
        <v>12</v>
      </c>
      <c r="B18" s="221" t="s">
        <v>39</v>
      </c>
      <c r="C18" s="222" t="s">
        <v>38</v>
      </c>
      <c r="D18" s="223" t="s">
        <v>31</v>
      </c>
      <c r="E18" s="206"/>
      <c r="F18" s="206"/>
      <c r="G18" s="223">
        <v>33</v>
      </c>
      <c r="H18" s="335">
        <v>2</v>
      </c>
      <c r="I18" s="336">
        <f t="shared" si="0"/>
        <v>1.1000000000000001</v>
      </c>
      <c r="J18" s="223" t="s">
        <v>20</v>
      </c>
      <c r="K18" s="223" t="s">
        <v>18</v>
      </c>
      <c r="L18" s="223" t="s">
        <v>18</v>
      </c>
      <c r="M18" s="223" t="s">
        <v>18</v>
      </c>
      <c r="N18" s="223" t="s">
        <v>18</v>
      </c>
      <c r="O18" s="223" t="s">
        <v>20</v>
      </c>
      <c r="P18" s="223" t="s">
        <v>18</v>
      </c>
      <c r="Q18" s="224">
        <v>43862</v>
      </c>
      <c r="R18" s="224">
        <v>50806</v>
      </c>
      <c r="S18" s="223" t="s">
        <v>18</v>
      </c>
      <c r="T18" s="223" t="s">
        <v>18</v>
      </c>
      <c r="U18" s="206"/>
      <c r="V18" s="202" t="s">
        <v>17</v>
      </c>
      <c r="W18" s="206"/>
      <c r="X18" s="206"/>
      <c r="Y18" s="206"/>
      <c r="Z18" s="206">
        <v>1</v>
      </c>
      <c r="AA18" s="206"/>
      <c r="AB18" s="206"/>
      <c r="AC18" s="206"/>
      <c r="AD18" s="206"/>
      <c r="AE18" s="206"/>
    </row>
    <row r="19" spans="1:31" x14ac:dyDescent="0.3">
      <c r="A19" s="206">
        <v>13</v>
      </c>
      <c r="B19" s="221" t="s">
        <v>37</v>
      </c>
      <c r="C19" s="222" t="s">
        <v>36</v>
      </c>
      <c r="D19" s="223" t="s">
        <v>31</v>
      </c>
      <c r="E19" s="206"/>
      <c r="F19" s="206"/>
      <c r="G19" s="223">
        <v>19</v>
      </c>
      <c r="H19" s="335">
        <v>2</v>
      </c>
      <c r="I19" s="336">
        <f t="shared" si="0"/>
        <v>0.6333333333333333</v>
      </c>
      <c r="J19" s="223" t="s">
        <v>20</v>
      </c>
      <c r="K19" s="223" t="s">
        <v>18</v>
      </c>
      <c r="L19" s="223" t="s">
        <v>18</v>
      </c>
      <c r="M19" s="223" t="s">
        <v>18</v>
      </c>
      <c r="N19" s="223" t="s">
        <v>18</v>
      </c>
      <c r="O19" s="223" t="s">
        <v>20</v>
      </c>
      <c r="P19" s="223" t="s">
        <v>18</v>
      </c>
      <c r="Q19" s="224" t="s">
        <v>35</v>
      </c>
      <c r="R19" s="224" t="s">
        <v>34</v>
      </c>
      <c r="S19" s="223" t="s">
        <v>18</v>
      </c>
      <c r="T19" s="223" t="s">
        <v>18</v>
      </c>
      <c r="U19" s="206"/>
      <c r="V19" s="202" t="s">
        <v>17</v>
      </c>
      <c r="W19" s="206"/>
      <c r="X19" s="206"/>
      <c r="Y19" s="206"/>
      <c r="Z19" s="206">
        <v>1</v>
      </c>
      <c r="AA19" s="206"/>
      <c r="AB19" s="206"/>
      <c r="AC19" s="206"/>
      <c r="AD19" s="206"/>
      <c r="AE19" s="206"/>
    </row>
    <row r="20" spans="1:31" x14ac:dyDescent="0.3">
      <c r="A20" s="206">
        <v>14</v>
      </c>
      <c r="B20" s="221" t="s">
        <v>33</v>
      </c>
      <c r="C20" s="222" t="s">
        <v>32</v>
      </c>
      <c r="D20" s="223" t="s">
        <v>31</v>
      </c>
      <c r="E20" s="206"/>
      <c r="F20" s="206"/>
      <c r="G20" s="223">
        <v>7</v>
      </c>
      <c r="H20" s="335">
        <v>1</v>
      </c>
      <c r="I20" s="336">
        <f t="shared" si="0"/>
        <v>0.11666666666666667</v>
      </c>
      <c r="J20" s="223" t="s">
        <v>20</v>
      </c>
      <c r="K20" s="223" t="s">
        <v>18</v>
      </c>
      <c r="L20" s="223" t="s">
        <v>18</v>
      </c>
      <c r="M20" s="223" t="s">
        <v>18</v>
      </c>
      <c r="N20" s="223" t="s">
        <v>18</v>
      </c>
      <c r="O20" s="223" t="s">
        <v>20</v>
      </c>
      <c r="P20" s="223" t="s">
        <v>18</v>
      </c>
      <c r="Q20" s="224" t="s">
        <v>30</v>
      </c>
      <c r="R20" s="224">
        <v>51141</v>
      </c>
      <c r="S20" s="223" t="s">
        <v>18</v>
      </c>
      <c r="T20" s="223" t="s">
        <v>18</v>
      </c>
      <c r="U20" s="206"/>
      <c r="V20" s="202" t="s">
        <v>17</v>
      </c>
      <c r="W20" s="206"/>
      <c r="X20" s="206"/>
      <c r="Y20" s="206"/>
      <c r="Z20" s="206">
        <v>1</v>
      </c>
      <c r="AA20" s="206"/>
      <c r="AB20" s="206"/>
      <c r="AC20" s="206"/>
      <c r="AD20" s="206"/>
      <c r="AE20" s="206"/>
    </row>
    <row r="21" spans="1:31" x14ac:dyDescent="0.3">
      <c r="A21" s="206">
        <v>15</v>
      </c>
      <c r="B21" s="206" t="s">
        <v>29</v>
      </c>
      <c r="C21" s="206" t="s">
        <v>28</v>
      </c>
      <c r="D21" s="225" t="s">
        <v>25</v>
      </c>
      <c r="E21" s="225" t="s">
        <v>24</v>
      </c>
      <c r="F21" s="223">
        <v>2022</v>
      </c>
      <c r="G21" s="223">
        <v>1</v>
      </c>
      <c r="H21" s="226">
        <v>108</v>
      </c>
      <c r="I21" s="336">
        <f t="shared" si="0"/>
        <v>1.8</v>
      </c>
      <c r="J21" s="223" t="s">
        <v>18</v>
      </c>
      <c r="K21" s="223" t="s">
        <v>18</v>
      </c>
      <c r="L21" s="223" t="s">
        <v>18</v>
      </c>
      <c r="M21" s="223" t="s">
        <v>18</v>
      </c>
      <c r="N21" s="223" t="s">
        <v>18</v>
      </c>
      <c r="O21" s="223" t="s">
        <v>18</v>
      </c>
      <c r="P21" s="223" t="s">
        <v>18</v>
      </c>
      <c r="Q21" s="227">
        <v>2022</v>
      </c>
      <c r="R21" s="228" t="s">
        <v>23</v>
      </c>
      <c r="S21" s="223" t="s">
        <v>18</v>
      </c>
      <c r="T21" s="223" t="s">
        <v>18</v>
      </c>
      <c r="U21" s="229"/>
      <c r="V21" s="202" t="s">
        <v>17</v>
      </c>
      <c r="W21" s="206"/>
      <c r="X21" s="206"/>
      <c r="Y21" s="206"/>
      <c r="Z21" s="206"/>
      <c r="AA21" s="206"/>
      <c r="AB21" s="206"/>
      <c r="AC21" s="206"/>
      <c r="AD21" s="206"/>
      <c r="AE21" s="206"/>
    </row>
    <row r="22" spans="1:31" ht="55.2" x14ac:dyDescent="0.3">
      <c r="A22" s="354">
        <v>16</v>
      </c>
      <c r="B22" s="354" t="s">
        <v>27</v>
      </c>
      <c r="C22" s="354" t="s">
        <v>26</v>
      </c>
      <c r="D22" s="355" t="s">
        <v>25</v>
      </c>
      <c r="E22" s="355" t="s">
        <v>24</v>
      </c>
      <c r="F22" s="354">
        <v>2025</v>
      </c>
      <c r="G22" s="354">
        <v>6</v>
      </c>
      <c r="H22" s="356">
        <v>15</v>
      </c>
      <c r="I22" s="357">
        <f t="shared" si="0"/>
        <v>1.5</v>
      </c>
      <c r="J22" s="358" t="s">
        <v>18</v>
      </c>
      <c r="K22" s="358" t="s">
        <v>18</v>
      </c>
      <c r="L22" s="358" t="s">
        <v>18</v>
      </c>
      <c r="M22" s="358" t="s">
        <v>18</v>
      </c>
      <c r="N22" s="358" t="s">
        <v>18</v>
      </c>
      <c r="O22" s="358" t="s">
        <v>18</v>
      </c>
      <c r="P22" s="358" t="s">
        <v>18</v>
      </c>
      <c r="Q22" s="354">
        <v>2025</v>
      </c>
      <c r="R22" s="359" t="s">
        <v>23</v>
      </c>
      <c r="S22" s="358" t="s">
        <v>18</v>
      </c>
      <c r="T22" s="358" t="s">
        <v>18</v>
      </c>
      <c r="U22" s="354"/>
      <c r="V22" s="360" t="s">
        <v>17</v>
      </c>
      <c r="W22" s="361" t="s">
        <v>2374</v>
      </c>
      <c r="X22" s="354"/>
      <c r="Y22" s="354">
        <f>COUNTIF('TK 15666. Phim SX'!$C$4:$C$13,'KK5. Doc'!W22)</f>
        <v>1</v>
      </c>
      <c r="Z22" s="354"/>
      <c r="AA22" s="354"/>
      <c r="AB22" s="354"/>
      <c r="AC22" s="354"/>
      <c r="AD22" s="354"/>
      <c r="AE22" s="354"/>
    </row>
    <row r="23" spans="1:31" s="206" customFormat="1" x14ac:dyDescent="0.3">
      <c r="A23" s="206">
        <v>17</v>
      </c>
      <c r="B23" s="337" t="s">
        <v>22</v>
      </c>
      <c r="D23" s="223" t="s">
        <v>21</v>
      </c>
      <c r="E23" s="206">
        <v>2025</v>
      </c>
      <c r="F23" s="206">
        <v>2025</v>
      </c>
      <c r="G23" s="206">
        <v>105</v>
      </c>
      <c r="H23" s="226">
        <v>25</v>
      </c>
      <c r="I23" s="336">
        <f t="shared" si="0"/>
        <v>43.75</v>
      </c>
      <c r="J23" s="223" t="s">
        <v>20</v>
      </c>
      <c r="K23" s="223" t="s">
        <v>18</v>
      </c>
      <c r="L23" s="223" t="s">
        <v>18</v>
      </c>
      <c r="M23" s="223" t="s">
        <v>18</v>
      </c>
      <c r="N23" s="223" t="s">
        <v>18</v>
      </c>
      <c r="O23" s="223" t="s">
        <v>18</v>
      </c>
      <c r="P23" s="223" t="s">
        <v>18</v>
      </c>
      <c r="Q23" s="226" t="s">
        <v>19</v>
      </c>
      <c r="R23" s="338">
        <v>46362</v>
      </c>
      <c r="S23" s="223" t="s">
        <v>18</v>
      </c>
      <c r="T23" s="223" t="s">
        <v>18</v>
      </c>
      <c r="V23" s="202" t="s">
        <v>17</v>
      </c>
      <c r="W23" s="206" t="s">
        <v>2446</v>
      </c>
      <c r="X23" s="206">
        <f>COUNTIF('TK 15661.Bản quyền phim '!$F:$F,W23)</f>
        <v>1</v>
      </c>
    </row>
    <row r="24" spans="1:31" s="362" customFormat="1" x14ac:dyDescent="0.3">
      <c r="A24" s="362" t="s">
        <v>3263</v>
      </c>
      <c r="B24" s="363" t="s">
        <v>2440</v>
      </c>
      <c r="D24" s="364" t="s">
        <v>2441</v>
      </c>
      <c r="G24" s="362">
        <v>1</v>
      </c>
      <c r="Q24" s="365">
        <v>45806</v>
      </c>
      <c r="R24" s="366">
        <v>46170</v>
      </c>
    </row>
  </sheetData>
  <autoFilter ref="A6:V23" xr:uid="{A9C55B2F-4036-42DA-98BE-8BC12D9FBFB8}"/>
  <mergeCells count="9">
    <mergeCell ref="AA1:AE1"/>
    <mergeCell ref="AA2:AE2"/>
    <mergeCell ref="A3:T3"/>
    <mergeCell ref="A4:T4"/>
    <mergeCell ref="S5:U5"/>
    <mergeCell ref="W5:Y5"/>
    <mergeCell ref="AA5:AC5"/>
    <mergeCell ref="AD5:AD6"/>
    <mergeCell ref="AE5:AE6"/>
  </mergeCells>
  <conditionalFormatting sqref="A6:B6">
    <cfRule type="duplicateValues" dxfId="36" priority="5"/>
  </conditionalFormatting>
  <conditionalFormatting sqref="B7:B20">
    <cfRule type="duplicateValues" dxfId="35" priority="4"/>
  </conditionalFormatting>
  <conditionalFormatting sqref="B21">
    <cfRule type="duplicateValues" dxfId="34" priority="3"/>
  </conditionalFormatting>
  <conditionalFormatting sqref="D24">
    <cfRule type="duplicateValues" dxfId="33" priority="1"/>
    <cfRule type="duplicateValues" dxfId="32" priority="2"/>
  </conditionalFormatting>
  <pageMargins left="0.7" right="0.7" top="0.75" bottom="0.75" header="0.3" footer="0.3"/>
  <headerFooter>
    <oddFooter>&amp;L_x000D_&amp;1#&amp;"Aptos"&amp;10&amp;K000000 C0 - This document or email is owned by Canal+ Group.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90D9-36EA-4C23-A734-1CAF9CA1AAF0}">
  <sheetPr codeName="Sheet9" filterMode="1">
    <tabColor theme="5" tint="0.79998168889431442"/>
  </sheetPr>
  <dimension ref="A1:AR19874"/>
  <sheetViews>
    <sheetView showGridLines="0" zoomScaleNormal="100" workbookViewId="0">
      <pane xSplit="5" ySplit="5" topLeftCell="F6" activePane="bottomRight" state="frozen"/>
      <selection activeCell="C28" sqref="C28"/>
      <selection pane="topRight" activeCell="C28" sqref="C28"/>
      <selection pane="bottomLeft" activeCell="C28" sqref="C28"/>
      <selection pane="bottomRight" activeCell="B164" sqref="B164"/>
    </sheetView>
  </sheetViews>
  <sheetFormatPr defaultColWidth="9.21875" defaultRowHeight="10.199999999999999" outlineLevelCol="2" x14ac:dyDescent="0.2"/>
  <cols>
    <col min="1" max="1" width="4.21875" style="47" customWidth="1"/>
    <col min="2" max="2" width="12.5546875" style="10" customWidth="1" outlineLevel="1"/>
    <col min="3" max="3" width="5.77734375" style="43" customWidth="1" outlineLevel="1"/>
    <col min="4" max="4" width="9.77734375" style="10" customWidth="1" outlineLevel="1"/>
    <col min="5" max="5" width="24.33203125" style="10" customWidth="1"/>
    <col min="6" max="6" width="40.33203125" style="10" customWidth="1" outlineLevel="1"/>
    <col min="7" max="7" width="12.77734375" style="10" customWidth="1"/>
    <col min="8" max="8" width="6.21875" style="45" customWidth="1"/>
    <col min="9" max="9" width="5.44140625" style="45" customWidth="1" outlineLevel="2"/>
    <col min="10" max="10" width="6.21875" style="45" customWidth="1" outlineLevel="2"/>
    <col min="11" max="11" width="13.77734375" style="45" customWidth="1" outlineLevel="2"/>
    <col min="12" max="12" width="13.44140625" style="45" customWidth="1" outlineLevel="2"/>
    <col min="13" max="13" width="12.77734375" style="45" customWidth="1" outlineLevel="2"/>
    <col min="14" max="14" width="13.44140625" style="45" customWidth="1" outlineLevel="2"/>
    <col min="15" max="16" width="10.44140625" style="46" customWidth="1" outlineLevel="1"/>
    <col min="17" max="17" width="11" style="45" customWidth="1"/>
    <col min="18" max="18" width="13.44140625" style="44" customWidth="1"/>
    <col min="19" max="19" width="6.77734375" style="45" customWidth="1"/>
    <col min="20" max="20" width="12.77734375" style="44" bestFit="1" customWidth="1"/>
    <col min="21" max="21" width="7.5546875" style="45" customWidth="1"/>
    <col min="22" max="22" width="13.21875" style="44" bestFit="1" customWidth="1"/>
    <col min="23" max="23" width="7.77734375" style="45" customWidth="1"/>
    <col min="24" max="24" width="13.44140625" style="44" customWidth="1"/>
    <col min="25" max="25" width="12.21875" style="43" customWidth="1" outlineLevel="1"/>
    <col min="26" max="29" width="9.21875" style="43" customWidth="1" outlineLevel="1"/>
    <col min="30" max="34" width="9.21875" style="43"/>
    <col min="35" max="35" width="18" style="43" customWidth="1"/>
    <col min="36" max="16384" width="9.21875" style="43"/>
  </cols>
  <sheetData>
    <row r="1" spans="1:34" x14ac:dyDescent="0.2">
      <c r="G1" s="13" t="s">
        <v>3138</v>
      </c>
      <c r="I1" s="65"/>
      <c r="S1" s="44"/>
      <c r="U1" s="44"/>
      <c r="W1" s="44"/>
    </row>
    <row r="2" spans="1:34" ht="13.8" thickBot="1" x14ac:dyDescent="0.3">
      <c r="B2" s="64" t="s">
        <v>3137</v>
      </c>
      <c r="C2" s="59"/>
      <c r="D2" s="63"/>
      <c r="E2" s="63"/>
      <c r="F2" s="63"/>
      <c r="G2" s="13" t="s">
        <v>3136</v>
      </c>
      <c r="H2" s="61"/>
      <c r="I2" s="61"/>
      <c r="J2" s="61"/>
      <c r="K2" s="61"/>
      <c r="L2" s="61"/>
      <c r="M2" s="61"/>
      <c r="N2" s="61"/>
      <c r="O2" s="62"/>
      <c r="P2" s="62"/>
      <c r="Q2" s="61"/>
      <c r="R2" s="60"/>
      <c r="S2" s="61"/>
      <c r="T2" s="60"/>
      <c r="U2" s="61"/>
      <c r="V2" s="60"/>
      <c r="W2" s="61"/>
      <c r="X2" s="60"/>
      <c r="Y2" s="59"/>
      <c r="Z2" s="59"/>
      <c r="AA2" s="59"/>
      <c r="AB2" s="59"/>
    </row>
    <row r="3" spans="1:34" ht="10.8" thickTop="1" x14ac:dyDescent="0.2">
      <c r="B3" s="10">
        <v>1</v>
      </c>
      <c r="C3" s="43">
        <f t="shared" ref="C3:AB3" si="0">B3+1</f>
        <v>2</v>
      </c>
      <c r="D3" s="43">
        <f t="shared" si="0"/>
        <v>3</v>
      </c>
      <c r="E3" s="43">
        <f t="shared" si="0"/>
        <v>4</v>
      </c>
      <c r="F3" s="43">
        <f t="shared" si="0"/>
        <v>5</v>
      </c>
      <c r="G3" s="43">
        <f t="shared" si="0"/>
        <v>6</v>
      </c>
      <c r="H3" s="43">
        <f t="shared" si="0"/>
        <v>7</v>
      </c>
      <c r="I3" s="43">
        <f t="shared" si="0"/>
        <v>8</v>
      </c>
      <c r="J3" s="43">
        <f t="shared" si="0"/>
        <v>9</v>
      </c>
      <c r="K3" s="43">
        <f t="shared" si="0"/>
        <v>10</v>
      </c>
      <c r="L3" s="43">
        <f t="shared" si="0"/>
        <v>11</v>
      </c>
      <c r="M3" s="43">
        <f t="shared" si="0"/>
        <v>12</v>
      </c>
      <c r="N3" s="43">
        <f t="shared" si="0"/>
        <v>13</v>
      </c>
      <c r="O3" s="43">
        <f t="shared" si="0"/>
        <v>14</v>
      </c>
      <c r="P3" s="43">
        <f t="shared" si="0"/>
        <v>15</v>
      </c>
      <c r="Q3" s="43">
        <f t="shared" si="0"/>
        <v>16</v>
      </c>
      <c r="R3" s="43">
        <f t="shared" si="0"/>
        <v>17</v>
      </c>
      <c r="S3" s="43">
        <f t="shared" si="0"/>
        <v>18</v>
      </c>
      <c r="T3" s="43">
        <f t="shared" si="0"/>
        <v>19</v>
      </c>
      <c r="U3" s="43">
        <f t="shared" si="0"/>
        <v>20</v>
      </c>
      <c r="V3" s="43">
        <f t="shared" si="0"/>
        <v>21</v>
      </c>
      <c r="W3" s="43">
        <f t="shared" si="0"/>
        <v>22</v>
      </c>
      <c r="X3" s="43">
        <f t="shared" si="0"/>
        <v>23</v>
      </c>
      <c r="Y3" s="43">
        <f t="shared" si="0"/>
        <v>24</v>
      </c>
      <c r="Z3" s="43">
        <f t="shared" si="0"/>
        <v>25</v>
      </c>
      <c r="AA3" s="43">
        <f t="shared" si="0"/>
        <v>26</v>
      </c>
      <c r="AB3" s="43">
        <f t="shared" si="0"/>
        <v>27</v>
      </c>
    </row>
    <row r="4" spans="1:34" s="52" customFormat="1" x14ac:dyDescent="0.2">
      <c r="A4" s="58">
        <f>+A5/4</f>
        <v>0</v>
      </c>
      <c r="B4" s="56"/>
      <c r="C4" s="57"/>
      <c r="D4" s="56"/>
      <c r="E4" s="56"/>
      <c r="F4" s="56"/>
      <c r="G4" s="56"/>
      <c r="H4" s="51">
        <f>SUBTOTAL(9,H6:H1048576)</f>
        <v>105</v>
      </c>
      <c r="I4" s="51">
        <f>SUBTOTAL(1,I6:I1048576)</f>
        <v>3</v>
      </c>
      <c r="J4" s="51">
        <f>SUBTOTAL(9,J6:J1048576)</f>
        <v>315</v>
      </c>
      <c r="K4" s="51">
        <f>SUBTOTAL(9,K6:K1048576)</f>
        <v>669910800</v>
      </c>
      <c r="L4" s="51">
        <f>SUBTOTAL(9,L6:L1048576)</f>
        <v>4243200</v>
      </c>
      <c r="M4" s="51">
        <f>SUBTOTAL(9,M6:M1048576)</f>
        <v>157</v>
      </c>
      <c r="N4" s="51">
        <f>SUBTOTAL(9,N6:N1048576)</f>
        <v>305775600</v>
      </c>
      <c r="O4" s="55"/>
      <c r="P4" s="55"/>
      <c r="Q4" s="51">
        <f t="shared" ref="Q4:X4" si="1">SUBTOTAL(9,Q6:Q1048576)</f>
        <v>158</v>
      </c>
      <c r="R4" s="51">
        <f t="shared" si="1"/>
        <v>364135200</v>
      </c>
      <c r="S4" s="51">
        <f t="shared" si="1"/>
        <v>0</v>
      </c>
      <c r="T4" s="51">
        <f t="shared" si="1"/>
        <v>0</v>
      </c>
      <c r="U4" s="51">
        <f t="shared" si="1"/>
        <v>105</v>
      </c>
      <c r="V4" s="51">
        <f t="shared" si="1"/>
        <v>223303600</v>
      </c>
      <c r="W4" s="51">
        <f t="shared" si="1"/>
        <v>53</v>
      </c>
      <c r="X4" s="51">
        <f t="shared" si="1"/>
        <v>140831600</v>
      </c>
      <c r="Y4" s="54"/>
      <c r="Z4" s="53"/>
      <c r="AA4" s="53"/>
      <c r="AB4" s="53"/>
      <c r="AC4" s="565" t="s">
        <v>3216</v>
      </c>
      <c r="AD4" s="565"/>
      <c r="AE4" s="565"/>
      <c r="AF4" s="565"/>
      <c r="AG4" s="565"/>
      <c r="AH4" s="565"/>
    </row>
    <row r="5" spans="1:34" s="50" customFormat="1" ht="36" customHeight="1" x14ac:dyDescent="0.3">
      <c r="A5" s="51">
        <f>SUBTOTAL(9,A6:A8473)</f>
        <v>0</v>
      </c>
      <c r="B5" s="107" t="s">
        <v>3135</v>
      </c>
      <c r="C5" s="107" t="s">
        <v>3134</v>
      </c>
      <c r="D5" s="107" t="s">
        <v>3133</v>
      </c>
      <c r="E5" s="107" t="s">
        <v>3132</v>
      </c>
      <c r="F5" s="107" t="s">
        <v>3131</v>
      </c>
      <c r="G5" s="107" t="s">
        <v>3130</v>
      </c>
      <c r="H5" s="111" t="s">
        <v>3129</v>
      </c>
      <c r="I5" s="112" t="s">
        <v>3124</v>
      </c>
      <c r="J5" s="112" t="s">
        <v>3123</v>
      </c>
      <c r="K5" s="113" t="s">
        <v>3128</v>
      </c>
      <c r="L5" s="113" t="s">
        <v>3127</v>
      </c>
      <c r="M5" s="113" t="s">
        <v>3126</v>
      </c>
      <c r="N5" s="113" t="s">
        <v>3125</v>
      </c>
      <c r="O5" s="114" t="s">
        <v>3124</v>
      </c>
      <c r="P5" s="114" t="s">
        <v>3123</v>
      </c>
      <c r="Q5" s="113" t="s">
        <v>3122</v>
      </c>
      <c r="R5" s="115" t="s">
        <v>3121</v>
      </c>
      <c r="S5" s="113" t="s">
        <v>3120</v>
      </c>
      <c r="T5" s="115" t="s">
        <v>3119</v>
      </c>
      <c r="U5" s="113" t="s">
        <v>3118</v>
      </c>
      <c r="V5" s="115" t="s">
        <v>3117</v>
      </c>
      <c r="W5" s="113" t="s">
        <v>3116</v>
      </c>
      <c r="X5" s="115" t="s">
        <v>3115</v>
      </c>
      <c r="Y5" s="116" t="s">
        <v>3114</v>
      </c>
      <c r="Z5" s="117" t="s">
        <v>3113</v>
      </c>
      <c r="AA5" s="117" t="s">
        <v>3112</v>
      </c>
      <c r="AB5" s="117" t="s">
        <v>3111</v>
      </c>
      <c r="AC5" s="118" t="s">
        <v>3110</v>
      </c>
      <c r="AD5" s="118" t="s">
        <v>3109</v>
      </c>
      <c r="AE5" s="118" t="s">
        <v>3108</v>
      </c>
      <c r="AF5" s="118" t="s">
        <v>3107</v>
      </c>
      <c r="AG5" s="118" t="s">
        <v>3221</v>
      </c>
      <c r="AH5" s="118" t="s">
        <v>13</v>
      </c>
    </row>
    <row r="6" spans="1:34" ht="15.6" hidden="1" x14ac:dyDescent="0.3">
      <c r="B6" s="108" t="s">
        <v>3106</v>
      </c>
      <c r="C6" s="94" t="s">
        <v>2412</v>
      </c>
      <c r="D6" s="94" t="s">
        <v>3105</v>
      </c>
      <c r="E6" s="94" t="s">
        <v>3104</v>
      </c>
      <c r="F6" s="94" t="s">
        <v>1105</v>
      </c>
      <c r="G6" s="94" t="s">
        <v>2428</v>
      </c>
      <c r="H6" s="119">
        <v>16</v>
      </c>
      <c r="I6" s="119">
        <v>5</v>
      </c>
      <c r="J6" s="119">
        <f t="shared" ref="J6:J69" si="2">H6*I6</f>
        <v>80</v>
      </c>
      <c r="K6" s="119">
        <v>660158900</v>
      </c>
      <c r="L6" s="119">
        <v>8251986.2500000009</v>
      </c>
      <c r="M6" s="119">
        <f t="shared" ref="M6:M69" si="3">J6-Q6</f>
        <v>64</v>
      </c>
      <c r="N6" s="119">
        <f t="shared" ref="N6:N69" si="4">K6-R6</f>
        <v>528127120</v>
      </c>
      <c r="O6" s="120">
        <v>44286</v>
      </c>
      <c r="P6" s="120">
        <v>46111</v>
      </c>
      <c r="Q6" s="119">
        <v>16</v>
      </c>
      <c r="R6" s="121">
        <v>132031779.99999999</v>
      </c>
      <c r="S6" s="119">
        <v>0</v>
      </c>
      <c r="T6" s="121">
        <v>0</v>
      </c>
      <c r="U6" s="119">
        <v>16</v>
      </c>
      <c r="V6" s="121">
        <f t="shared" ref="V6:V69" si="5">U6*L6</f>
        <v>132031780.00000001</v>
      </c>
      <c r="W6" s="119">
        <f t="shared" ref="W6:W69" si="6">Q6+S6-U6</f>
        <v>0</v>
      </c>
      <c r="X6" s="121">
        <f t="shared" ref="X6:X69" si="7">R6+T6-V6</f>
        <v>0</v>
      </c>
      <c r="Y6" s="122" t="s">
        <v>2427</v>
      </c>
      <c r="Z6" s="123" t="s">
        <v>2407</v>
      </c>
      <c r="AA6" s="123" t="s">
        <v>2406</v>
      </c>
      <c r="AB6" s="123" t="s">
        <v>2372</v>
      </c>
      <c r="AC6" s="124" t="s">
        <v>10</v>
      </c>
      <c r="AD6" s="110">
        <f>COUNTIF('KK1. Movies'!AI:AI,'TK 15661.Bản quyền phim '!F6)</f>
        <v>0</v>
      </c>
      <c r="AE6" s="110">
        <f>COUNTIF('KK2. Series'!AM:AM,'TK 15661.Bản quyền phim '!F6)</f>
        <v>1</v>
      </c>
      <c r="AF6" s="110">
        <f>COUNTIF('KK3. Kids'!AF:AF,'TK 15661.Bản quyền phim '!F6)</f>
        <v>0</v>
      </c>
      <c r="AG6" s="110"/>
      <c r="AH6" s="110" t="str">
        <f>IF(SUM(AD6:AG6)&gt;0,"OK",0)</f>
        <v>OK</v>
      </c>
    </row>
    <row r="7" spans="1:34" ht="15.6" hidden="1" x14ac:dyDescent="0.3">
      <c r="A7" s="43"/>
      <c r="B7" s="108" t="s">
        <v>3103</v>
      </c>
      <c r="C7" s="94" t="s">
        <v>2493</v>
      </c>
      <c r="D7" s="94" t="s">
        <v>3041</v>
      </c>
      <c r="E7" s="94" t="s">
        <v>3040</v>
      </c>
      <c r="F7" s="94" t="s">
        <v>1444</v>
      </c>
      <c r="G7" s="94" t="s">
        <v>2490</v>
      </c>
      <c r="H7" s="119">
        <v>1</v>
      </c>
      <c r="I7" s="119">
        <v>5</v>
      </c>
      <c r="J7" s="119">
        <f t="shared" si="2"/>
        <v>5</v>
      </c>
      <c r="K7" s="119">
        <v>442476190.47619045</v>
      </c>
      <c r="L7" s="119">
        <v>88495238.09523809</v>
      </c>
      <c r="M7" s="119">
        <f t="shared" si="3"/>
        <v>4</v>
      </c>
      <c r="N7" s="119">
        <f t="shared" si="4"/>
        <v>353980952.38095236</v>
      </c>
      <c r="O7" s="120">
        <v>44255</v>
      </c>
      <c r="P7" s="120">
        <v>46108</v>
      </c>
      <c r="Q7" s="119">
        <v>1</v>
      </c>
      <c r="R7" s="121">
        <v>88495238.09523809</v>
      </c>
      <c r="S7" s="119">
        <v>0</v>
      </c>
      <c r="T7" s="121">
        <v>0</v>
      </c>
      <c r="U7" s="119">
        <v>1</v>
      </c>
      <c r="V7" s="121">
        <f t="shared" si="5"/>
        <v>88495238.09523809</v>
      </c>
      <c r="W7" s="119">
        <f t="shared" si="6"/>
        <v>0</v>
      </c>
      <c r="X7" s="121">
        <f t="shared" si="7"/>
        <v>0</v>
      </c>
      <c r="Y7" s="122" t="s">
        <v>2489</v>
      </c>
      <c r="Z7" s="123" t="s">
        <v>2407</v>
      </c>
      <c r="AA7" s="123" t="s">
        <v>2406</v>
      </c>
      <c r="AB7" s="123" t="s">
        <v>2372</v>
      </c>
      <c r="AC7" s="124" t="s">
        <v>12</v>
      </c>
      <c r="AD7" s="110">
        <f>COUNTIF('KK1. Movies'!AI:AI,'TK 15661.Bản quyền phim '!F7)</f>
        <v>1</v>
      </c>
      <c r="AE7" s="110">
        <f>COUNTIF('KK2. Series'!AM:AM,'TK 15661.Bản quyền phim '!F7)</f>
        <v>0</v>
      </c>
      <c r="AF7" s="110">
        <f>COUNTIF('KK3. Kids'!AF:AF,'TK 15661.Bản quyền phim '!F7)</f>
        <v>0</v>
      </c>
      <c r="AG7" s="110"/>
      <c r="AH7" s="110" t="str">
        <f t="shared" ref="AH7:AH70" si="8">IF(SUM(AD7:AG7)&gt;0,"OK",0)</f>
        <v>OK</v>
      </c>
    </row>
    <row r="8" spans="1:34" ht="15.6" hidden="1" x14ac:dyDescent="0.3">
      <c r="A8" s="43"/>
      <c r="B8" s="108" t="s">
        <v>3102</v>
      </c>
      <c r="C8" s="94" t="s">
        <v>2493</v>
      </c>
      <c r="D8" s="94" t="s">
        <v>3041</v>
      </c>
      <c r="E8" s="94" t="s">
        <v>3040</v>
      </c>
      <c r="F8" s="94" t="s">
        <v>1612</v>
      </c>
      <c r="G8" s="94" t="s">
        <v>2490</v>
      </c>
      <c r="H8" s="119">
        <v>1</v>
      </c>
      <c r="I8" s="119">
        <v>5</v>
      </c>
      <c r="J8" s="119">
        <f t="shared" si="2"/>
        <v>5</v>
      </c>
      <c r="K8" s="119">
        <v>553095238.09523809</v>
      </c>
      <c r="L8" s="119">
        <v>110619047.61904761</v>
      </c>
      <c r="M8" s="119">
        <f t="shared" si="3"/>
        <v>4</v>
      </c>
      <c r="N8" s="119">
        <f t="shared" si="4"/>
        <v>442476190.47619051</v>
      </c>
      <c r="O8" s="120">
        <v>44281</v>
      </c>
      <c r="P8" s="120">
        <v>46106</v>
      </c>
      <c r="Q8" s="119">
        <v>1</v>
      </c>
      <c r="R8" s="121">
        <v>110619047.61904758</v>
      </c>
      <c r="S8" s="119">
        <v>0</v>
      </c>
      <c r="T8" s="121">
        <v>0</v>
      </c>
      <c r="U8" s="119">
        <v>1</v>
      </c>
      <c r="V8" s="121">
        <f t="shared" si="5"/>
        <v>110619047.61904761</v>
      </c>
      <c r="W8" s="119">
        <f t="shared" si="6"/>
        <v>0</v>
      </c>
      <c r="X8" s="121">
        <f t="shared" si="7"/>
        <v>0</v>
      </c>
      <c r="Y8" s="122" t="s">
        <v>2489</v>
      </c>
      <c r="Z8" s="123" t="s">
        <v>2407</v>
      </c>
      <c r="AA8" s="123" t="s">
        <v>2406</v>
      </c>
      <c r="AB8" s="123" t="s">
        <v>2372</v>
      </c>
      <c r="AC8" s="124" t="s">
        <v>12</v>
      </c>
      <c r="AD8" s="110">
        <f>COUNTIF('KK1. Movies'!AI:AI,'TK 15661.Bản quyền phim '!F8)</f>
        <v>1</v>
      </c>
      <c r="AE8" s="110">
        <f>COUNTIF('KK2. Series'!AM:AM,'TK 15661.Bản quyền phim '!F8)</f>
        <v>0</v>
      </c>
      <c r="AF8" s="110">
        <f>COUNTIF('KK3. Kids'!AF:AF,'TK 15661.Bản quyền phim '!F8)</f>
        <v>0</v>
      </c>
      <c r="AG8" s="110"/>
      <c r="AH8" s="110" t="str">
        <f t="shared" si="8"/>
        <v>OK</v>
      </c>
    </row>
    <row r="9" spans="1:34" ht="15.6" hidden="1" x14ac:dyDescent="0.3">
      <c r="A9" s="43"/>
      <c r="B9" s="108" t="s">
        <v>3101</v>
      </c>
      <c r="C9" s="94" t="s">
        <v>2493</v>
      </c>
      <c r="D9" s="94" t="s">
        <v>3041</v>
      </c>
      <c r="E9" s="94" t="s">
        <v>3040</v>
      </c>
      <c r="F9" s="94" t="s">
        <v>1919</v>
      </c>
      <c r="G9" s="94" t="s">
        <v>2490</v>
      </c>
      <c r="H9" s="119">
        <v>1</v>
      </c>
      <c r="I9" s="119">
        <v>4.5</v>
      </c>
      <c r="J9" s="119">
        <f t="shared" si="2"/>
        <v>4.5</v>
      </c>
      <c r="K9" s="119">
        <v>661714286</v>
      </c>
      <c r="L9" s="119">
        <v>147047619.1111111</v>
      </c>
      <c r="M9" s="119">
        <f t="shared" si="3"/>
        <v>3</v>
      </c>
      <c r="N9" s="119">
        <f t="shared" si="4"/>
        <v>441142857.33333331</v>
      </c>
      <c r="O9" s="120">
        <v>44729</v>
      </c>
      <c r="P9" s="120">
        <v>46372</v>
      </c>
      <c r="Q9" s="119">
        <v>1.5</v>
      </c>
      <c r="R9" s="121">
        <v>220571428.66666669</v>
      </c>
      <c r="S9" s="119">
        <v>0</v>
      </c>
      <c r="T9" s="121">
        <v>0</v>
      </c>
      <c r="U9" s="119">
        <v>1</v>
      </c>
      <c r="V9" s="121">
        <f t="shared" si="5"/>
        <v>147047619.1111111</v>
      </c>
      <c r="W9" s="119">
        <f t="shared" si="6"/>
        <v>0.5</v>
      </c>
      <c r="X9" s="121">
        <f t="shared" si="7"/>
        <v>73523809.555555582</v>
      </c>
      <c r="Y9" s="122" t="s">
        <v>2489</v>
      </c>
      <c r="Z9" s="123" t="s">
        <v>2407</v>
      </c>
      <c r="AA9" s="123" t="s">
        <v>2406</v>
      </c>
      <c r="AB9" s="123" t="s">
        <v>2372</v>
      </c>
      <c r="AC9" s="124" t="s">
        <v>12</v>
      </c>
      <c r="AD9" s="110">
        <f>COUNTIF('KK1. Movies'!AI:AI,'TK 15661.Bản quyền phim '!F9)</f>
        <v>1</v>
      </c>
      <c r="AE9" s="110">
        <f>COUNTIF('KK2. Series'!AM:AM,'TK 15661.Bản quyền phim '!F9)</f>
        <v>0</v>
      </c>
      <c r="AF9" s="110">
        <f>COUNTIF('KK3. Kids'!AF:AF,'TK 15661.Bản quyền phim '!F9)</f>
        <v>0</v>
      </c>
      <c r="AG9" s="110"/>
      <c r="AH9" s="110" t="str">
        <f t="shared" si="8"/>
        <v>OK</v>
      </c>
    </row>
    <row r="10" spans="1:34" ht="15.6" hidden="1" x14ac:dyDescent="0.3">
      <c r="A10" s="43"/>
      <c r="B10" s="108" t="s">
        <v>3100</v>
      </c>
      <c r="C10" s="94" t="s">
        <v>2412</v>
      </c>
      <c r="D10" s="94" t="s">
        <v>3090</v>
      </c>
      <c r="E10" s="94" t="s">
        <v>3089</v>
      </c>
      <c r="F10" s="94" t="s">
        <v>3099</v>
      </c>
      <c r="G10" s="94" t="s">
        <v>2417</v>
      </c>
      <c r="H10" s="119">
        <v>1</v>
      </c>
      <c r="I10" s="119">
        <v>5</v>
      </c>
      <c r="J10" s="119">
        <f t="shared" si="2"/>
        <v>5</v>
      </c>
      <c r="K10" s="119">
        <v>129454800</v>
      </c>
      <c r="L10" s="119">
        <v>25890960</v>
      </c>
      <c r="M10" s="119">
        <f t="shared" si="3"/>
        <v>4</v>
      </c>
      <c r="N10" s="119">
        <f t="shared" si="4"/>
        <v>103563840</v>
      </c>
      <c r="O10" s="120">
        <v>44284</v>
      </c>
      <c r="P10" s="120">
        <v>46109</v>
      </c>
      <c r="Q10" s="119">
        <v>1</v>
      </c>
      <c r="R10" s="121">
        <v>25890960</v>
      </c>
      <c r="S10" s="119">
        <v>0</v>
      </c>
      <c r="T10" s="121">
        <v>0</v>
      </c>
      <c r="U10" s="119">
        <v>1</v>
      </c>
      <c r="V10" s="121">
        <f t="shared" si="5"/>
        <v>25890960</v>
      </c>
      <c r="W10" s="119">
        <f t="shared" si="6"/>
        <v>0</v>
      </c>
      <c r="X10" s="121">
        <f t="shared" si="7"/>
        <v>0</v>
      </c>
      <c r="Y10" s="122" t="s">
        <v>2416</v>
      </c>
      <c r="Z10" s="123" t="s">
        <v>2407</v>
      </c>
      <c r="AA10" s="123" t="s">
        <v>2406</v>
      </c>
      <c r="AB10" s="123" t="s">
        <v>2372</v>
      </c>
      <c r="AC10" s="124" t="s">
        <v>12</v>
      </c>
      <c r="AD10" s="110">
        <f>COUNTIF('KK1. Movies'!AI:AI,'TK 15661.Bản quyền phim '!F10)</f>
        <v>1</v>
      </c>
      <c r="AE10" s="110">
        <f>COUNTIF('KK2. Series'!AM:AM,'TK 15661.Bản quyền phim '!F10)</f>
        <v>0</v>
      </c>
      <c r="AF10" s="110">
        <f>COUNTIF('KK3. Kids'!AF:AF,'TK 15661.Bản quyền phim '!F10)</f>
        <v>0</v>
      </c>
      <c r="AG10" s="110"/>
      <c r="AH10" s="110" t="str">
        <f t="shared" si="8"/>
        <v>OK</v>
      </c>
    </row>
    <row r="11" spans="1:34" ht="15.6" hidden="1" x14ac:dyDescent="0.3">
      <c r="A11" s="43"/>
      <c r="B11" s="108" t="s">
        <v>3098</v>
      </c>
      <c r="C11" s="94" t="s">
        <v>2412</v>
      </c>
      <c r="D11" s="94" t="s">
        <v>3090</v>
      </c>
      <c r="E11" s="94" t="s">
        <v>3089</v>
      </c>
      <c r="F11" s="94" t="s">
        <v>3097</v>
      </c>
      <c r="G11" s="94" t="s">
        <v>2417</v>
      </c>
      <c r="H11" s="119">
        <v>1</v>
      </c>
      <c r="I11" s="119">
        <v>5</v>
      </c>
      <c r="J11" s="119">
        <f t="shared" si="2"/>
        <v>5</v>
      </c>
      <c r="K11" s="119">
        <v>77658900</v>
      </c>
      <c r="L11" s="119">
        <v>15531780</v>
      </c>
      <c r="M11" s="119">
        <f t="shared" si="3"/>
        <v>4</v>
      </c>
      <c r="N11" s="119">
        <f t="shared" si="4"/>
        <v>62127120</v>
      </c>
      <c r="O11" s="120">
        <v>44284</v>
      </c>
      <c r="P11" s="120">
        <v>46109</v>
      </c>
      <c r="Q11" s="119">
        <v>1</v>
      </c>
      <c r="R11" s="121">
        <v>15531780</v>
      </c>
      <c r="S11" s="119">
        <v>0</v>
      </c>
      <c r="T11" s="121">
        <v>0</v>
      </c>
      <c r="U11" s="119">
        <v>1</v>
      </c>
      <c r="V11" s="121">
        <f t="shared" si="5"/>
        <v>15531780</v>
      </c>
      <c r="W11" s="119">
        <f t="shared" si="6"/>
        <v>0</v>
      </c>
      <c r="X11" s="121">
        <f t="shared" si="7"/>
        <v>0</v>
      </c>
      <c r="Y11" s="122" t="s">
        <v>2416</v>
      </c>
      <c r="Z11" s="123" t="s">
        <v>2407</v>
      </c>
      <c r="AA11" s="123" t="s">
        <v>2406</v>
      </c>
      <c r="AB11" s="123" t="s">
        <v>2372</v>
      </c>
      <c r="AC11" s="124" t="s">
        <v>12</v>
      </c>
      <c r="AD11" s="110">
        <f>COUNTIF('KK1. Movies'!AI:AI,'TK 15661.Bản quyền phim '!F11)</f>
        <v>1</v>
      </c>
      <c r="AE11" s="110">
        <f>COUNTIF('KK2. Series'!AM:AM,'TK 15661.Bản quyền phim '!F11)</f>
        <v>0</v>
      </c>
      <c r="AF11" s="110">
        <f>COUNTIF('KK3. Kids'!AF:AF,'TK 15661.Bản quyền phim '!F11)</f>
        <v>0</v>
      </c>
      <c r="AG11" s="110"/>
      <c r="AH11" s="110" t="str">
        <f t="shared" si="8"/>
        <v>OK</v>
      </c>
    </row>
    <row r="12" spans="1:34" ht="15.6" hidden="1" x14ac:dyDescent="0.3">
      <c r="A12" s="43"/>
      <c r="B12" s="108" t="s">
        <v>3096</v>
      </c>
      <c r="C12" s="94" t="s">
        <v>2412</v>
      </c>
      <c r="D12" s="94" t="s">
        <v>3090</v>
      </c>
      <c r="E12" s="94" t="s">
        <v>3089</v>
      </c>
      <c r="F12" s="94" t="s">
        <v>3095</v>
      </c>
      <c r="G12" s="94" t="s">
        <v>2417</v>
      </c>
      <c r="H12" s="119">
        <v>1</v>
      </c>
      <c r="I12" s="119">
        <v>5</v>
      </c>
      <c r="J12" s="119">
        <f t="shared" si="2"/>
        <v>5</v>
      </c>
      <c r="K12" s="119">
        <v>77658900</v>
      </c>
      <c r="L12" s="119">
        <v>15531780</v>
      </c>
      <c r="M12" s="119">
        <f t="shared" si="3"/>
        <v>4</v>
      </c>
      <c r="N12" s="119">
        <f t="shared" si="4"/>
        <v>62127120</v>
      </c>
      <c r="O12" s="120">
        <v>44284</v>
      </c>
      <c r="P12" s="120">
        <v>46109</v>
      </c>
      <c r="Q12" s="119">
        <v>1</v>
      </c>
      <c r="R12" s="121">
        <v>15531780</v>
      </c>
      <c r="S12" s="119">
        <v>0</v>
      </c>
      <c r="T12" s="121">
        <v>0</v>
      </c>
      <c r="U12" s="119">
        <v>1</v>
      </c>
      <c r="V12" s="121">
        <f t="shared" si="5"/>
        <v>15531780</v>
      </c>
      <c r="W12" s="119">
        <f t="shared" si="6"/>
        <v>0</v>
      </c>
      <c r="X12" s="121">
        <f t="shared" si="7"/>
        <v>0</v>
      </c>
      <c r="Y12" s="122" t="s">
        <v>2416</v>
      </c>
      <c r="Z12" s="123" t="s">
        <v>2407</v>
      </c>
      <c r="AA12" s="123" t="s">
        <v>2406</v>
      </c>
      <c r="AB12" s="123" t="s">
        <v>2372</v>
      </c>
      <c r="AC12" s="124" t="s">
        <v>12</v>
      </c>
      <c r="AD12" s="110">
        <f>COUNTIF('KK1. Movies'!AI:AI,'TK 15661.Bản quyền phim '!F12)</f>
        <v>1</v>
      </c>
      <c r="AE12" s="110">
        <f>COUNTIF('KK2. Series'!AM:AM,'TK 15661.Bản quyền phim '!F12)</f>
        <v>0</v>
      </c>
      <c r="AF12" s="110">
        <f>COUNTIF('KK3. Kids'!AF:AF,'TK 15661.Bản quyền phim '!F12)</f>
        <v>0</v>
      </c>
      <c r="AG12" s="110"/>
      <c r="AH12" s="110" t="str">
        <f t="shared" si="8"/>
        <v>OK</v>
      </c>
    </row>
    <row r="13" spans="1:34" ht="15.6" hidden="1" x14ac:dyDescent="0.3">
      <c r="A13" s="43"/>
      <c r="B13" s="108" t="s">
        <v>3094</v>
      </c>
      <c r="C13" s="94" t="s">
        <v>2412</v>
      </c>
      <c r="D13" s="94" t="s">
        <v>3090</v>
      </c>
      <c r="E13" s="94" t="s">
        <v>3089</v>
      </c>
      <c r="F13" s="94" t="s">
        <v>2321</v>
      </c>
      <c r="G13" s="94" t="s">
        <v>2417</v>
      </c>
      <c r="H13" s="119">
        <v>1</v>
      </c>
      <c r="I13" s="119">
        <v>5</v>
      </c>
      <c r="J13" s="119">
        <f t="shared" si="2"/>
        <v>5</v>
      </c>
      <c r="K13" s="119">
        <v>71204800</v>
      </c>
      <c r="L13" s="119">
        <v>14240960.000000002</v>
      </c>
      <c r="M13" s="119">
        <f t="shared" si="3"/>
        <v>4</v>
      </c>
      <c r="N13" s="119">
        <f t="shared" si="4"/>
        <v>56963840</v>
      </c>
      <c r="O13" s="120">
        <v>44284</v>
      </c>
      <c r="P13" s="120">
        <v>46109</v>
      </c>
      <c r="Q13" s="119">
        <v>1</v>
      </c>
      <c r="R13" s="121">
        <v>14240959.999999998</v>
      </c>
      <c r="S13" s="119">
        <v>0</v>
      </c>
      <c r="T13" s="121">
        <v>0</v>
      </c>
      <c r="U13" s="119">
        <v>1</v>
      </c>
      <c r="V13" s="121">
        <f t="shared" si="5"/>
        <v>14240960.000000002</v>
      </c>
      <c r="W13" s="119">
        <f t="shared" si="6"/>
        <v>0</v>
      </c>
      <c r="X13" s="121">
        <f t="shared" si="7"/>
        <v>0</v>
      </c>
      <c r="Y13" s="122" t="s">
        <v>2416</v>
      </c>
      <c r="Z13" s="123" t="s">
        <v>2407</v>
      </c>
      <c r="AA13" s="123" t="s">
        <v>2406</v>
      </c>
      <c r="AB13" s="123" t="s">
        <v>2372</v>
      </c>
      <c r="AC13" s="124" t="s">
        <v>12</v>
      </c>
      <c r="AD13" s="110">
        <f>COUNTIF('KK1. Movies'!AI:AI,'TK 15661.Bản quyền phim '!F13)</f>
        <v>1</v>
      </c>
      <c r="AE13" s="110">
        <f>COUNTIF('KK2. Series'!AM:AM,'TK 15661.Bản quyền phim '!F13)</f>
        <v>0</v>
      </c>
      <c r="AF13" s="110">
        <f>COUNTIF('KK3. Kids'!AF:AF,'TK 15661.Bản quyền phim '!F13)</f>
        <v>0</v>
      </c>
      <c r="AG13" s="110"/>
      <c r="AH13" s="110" t="str">
        <f t="shared" si="8"/>
        <v>OK</v>
      </c>
    </row>
    <row r="14" spans="1:34" ht="15.6" hidden="1" x14ac:dyDescent="0.3">
      <c r="A14" s="43"/>
      <c r="B14" s="108" t="s">
        <v>3093</v>
      </c>
      <c r="C14" s="94" t="s">
        <v>2412</v>
      </c>
      <c r="D14" s="94" t="s">
        <v>3090</v>
      </c>
      <c r="E14" s="94" t="s">
        <v>3089</v>
      </c>
      <c r="F14" s="94" t="s">
        <v>1737</v>
      </c>
      <c r="G14" s="94" t="s">
        <v>2417</v>
      </c>
      <c r="H14" s="119">
        <v>1</v>
      </c>
      <c r="I14" s="119">
        <v>5</v>
      </c>
      <c r="J14" s="119">
        <f t="shared" si="2"/>
        <v>5</v>
      </c>
      <c r="K14" s="119">
        <v>77658900</v>
      </c>
      <c r="L14" s="119">
        <v>15531780</v>
      </c>
      <c r="M14" s="119">
        <f t="shared" si="3"/>
        <v>4</v>
      </c>
      <c r="N14" s="119">
        <f t="shared" si="4"/>
        <v>62127120</v>
      </c>
      <c r="O14" s="120">
        <v>44284</v>
      </c>
      <c r="P14" s="120">
        <v>46109</v>
      </c>
      <c r="Q14" s="119">
        <v>1</v>
      </c>
      <c r="R14" s="121">
        <v>15531780</v>
      </c>
      <c r="S14" s="119">
        <v>0</v>
      </c>
      <c r="T14" s="121">
        <v>0</v>
      </c>
      <c r="U14" s="119">
        <v>1</v>
      </c>
      <c r="V14" s="121">
        <f t="shared" si="5"/>
        <v>15531780</v>
      </c>
      <c r="W14" s="119">
        <f t="shared" si="6"/>
        <v>0</v>
      </c>
      <c r="X14" s="121">
        <f t="shared" si="7"/>
        <v>0</v>
      </c>
      <c r="Y14" s="122" t="s">
        <v>2416</v>
      </c>
      <c r="Z14" s="123" t="s">
        <v>2407</v>
      </c>
      <c r="AA14" s="123" t="s">
        <v>2406</v>
      </c>
      <c r="AB14" s="123" t="s">
        <v>2372</v>
      </c>
      <c r="AC14" s="124" t="s">
        <v>12</v>
      </c>
      <c r="AD14" s="110">
        <f>COUNTIF('KK1. Movies'!AI:AI,'TK 15661.Bản quyền phim '!F14)</f>
        <v>1</v>
      </c>
      <c r="AE14" s="110">
        <f>COUNTIF('KK2. Series'!AM:AM,'TK 15661.Bản quyền phim '!F14)</f>
        <v>0</v>
      </c>
      <c r="AF14" s="110">
        <f>COUNTIF('KK3. Kids'!AF:AF,'TK 15661.Bản quyền phim '!F14)</f>
        <v>0</v>
      </c>
      <c r="AG14" s="110"/>
      <c r="AH14" s="110" t="str">
        <f t="shared" si="8"/>
        <v>OK</v>
      </c>
    </row>
    <row r="15" spans="1:34" ht="15.6" hidden="1" x14ac:dyDescent="0.3">
      <c r="A15" s="43"/>
      <c r="B15" s="108" t="s">
        <v>3092</v>
      </c>
      <c r="C15" s="94" t="s">
        <v>2412</v>
      </c>
      <c r="D15" s="94" t="s">
        <v>3090</v>
      </c>
      <c r="E15" s="94" t="s">
        <v>3089</v>
      </c>
      <c r="F15" s="94" t="s">
        <v>2185</v>
      </c>
      <c r="G15" s="94" t="s">
        <v>2417</v>
      </c>
      <c r="H15" s="119">
        <v>1</v>
      </c>
      <c r="I15" s="119">
        <v>5</v>
      </c>
      <c r="J15" s="119">
        <f t="shared" si="2"/>
        <v>5</v>
      </c>
      <c r="K15" s="119">
        <v>71204800</v>
      </c>
      <c r="L15" s="119">
        <v>14240960.000000002</v>
      </c>
      <c r="M15" s="119">
        <f t="shared" si="3"/>
        <v>4</v>
      </c>
      <c r="N15" s="119">
        <f t="shared" si="4"/>
        <v>56963840</v>
      </c>
      <c r="O15" s="120">
        <v>44284</v>
      </c>
      <c r="P15" s="120">
        <v>46109</v>
      </c>
      <c r="Q15" s="119">
        <v>1</v>
      </c>
      <c r="R15" s="121">
        <v>14240959.999999998</v>
      </c>
      <c r="S15" s="119">
        <v>0</v>
      </c>
      <c r="T15" s="121">
        <v>0</v>
      </c>
      <c r="U15" s="119">
        <v>1</v>
      </c>
      <c r="V15" s="121">
        <f t="shared" si="5"/>
        <v>14240960.000000002</v>
      </c>
      <c r="W15" s="119">
        <f t="shared" si="6"/>
        <v>0</v>
      </c>
      <c r="X15" s="121">
        <f t="shared" si="7"/>
        <v>0</v>
      </c>
      <c r="Y15" s="122" t="s">
        <v>2416</v>
      </c>
      <c r="Z15" s="123" t="s">
        <v>2407</v>
      </c>
      <c r="AA15" s="123" t="s">
        <v>2406</v>
      </c>
      <c r="AB15" s="123" t="s">
        <v>2372</v>
      </c>
      <c r="AC15" s="124" t="s">
        <v>12</v>
      </c>
      <c r="AD15" s="110">
        <f>COUNTIF('KK1. Movies'!AI:AI,'TK 15661.Bản quyền phim '!F15)</f>
        <v>1</v>
      </c>
      <c r="AE15" s="110">
        <f>COUNTIF('KK2. Series'!AM:AM,'TK 15661.Bản quyền phim '!F15)</f>
        <v>0</v>
      </c>
      <c r="AF15" s="110">
        <f>COUNTIF('KK3. Kids'!AF:AF,'TK 15661.Bản quyền phim '!F15)</f>
        <v>0</v>
      </c>
      <c r="AG15" s="110"/>
      <c r="AH15" s="110" t="str">
        <f t="shared" si="8"/>
        <v>OK</v>
      </c>
    </row>
    <row r="16" spans="1:34" ht="15.6" hidden="1" x14ac:dyDescent="0.3">
      <c r="A16" s="43"/>
      <c r="B16" s="108" t="s">
        <v>3091</v>
      </c>
      <c r="C16" s="94" t="s">
        <v>2412</v>
      </c>
      <c r="D16" s="94" t="s">
        <v>3090</v>
      </c>
      <c r="E16" s="94" t="s">
        <v>3089</v>
      </c>
      <c r="F16" s="94" t="s">
        <v>2087</v>
      </c>
      <c r="G16" s="94" t="s">
        <v>2417</v>
      </c>
      <c r="H16" s="119">
        <v>1</v>
      </c>
      <c r="I16" s="119">
        <v>5</v>
      </c>
      <c r="J16" s="119">
        <f t="shared" si="2"/>
        <v>5</v>
      </c>
      <c r="K16" s="119">
        <v>77658900</v>
      </c>
      <c r="L16" s="119">
        <v>15531780</v>
      </c>
      <c r="M16" s="119">
        <f t="shared" si="3"/>
        <v>4</v>
      </c>
      <c r="N16" s="119">
        <f t="shared" si="4"/>
        <v>62127120</v>
      </c>
      <c r="O16" s="120">
        <v>44284</v>
      </c>
      <c r="P16" s="120">
        <v>46109</v>
      </c>
      <c r="Q16" s="119">
        <v>1</v>
      </c>
      <c r="R16" s="121">
        <v>15531780</v>
      </c>
      <c r="S16" s="119">
        <v>0</v>
      </c>
      <c r="T16" s="121">
        <v>0</v>
      </c>
      <c r="U16" s="119">
        <v>1</v>
      </c>
      <c r="V16" s="121">
        <f t="shared" si="5"/>
        <v>15531780</v>
      </c>
      <c r="W16" s="119">
        <f t="shared" si="6"/>
        <v>0</v>
      </c>
      <c r="X16" s="121">
        <f t="shared" si="7"/>
        <v>0</v>
      </c>
      <c r="Y16" s="122" t="s">
        <v>2416</v>
      </c>
      <c r="Z16" s="123" t="s">
        <v>2407</v>
      </c>
      <c r="AA16" s="123" t="s">
        <v>2406</v>
      </c>
      <c r="AB16" s="123" t="s">
        <v>2372</v>
      </c>
      <c r="AC16" s="124" t="s">
        <v>12</v>
      </c>
      <c r="AD16" s="110">
        <f>COUNTIF('KK1. Movies'!AI:AI,'TK 15661.Bản quyền phim '!F16)</f>
        <v>1</v>
      </c>
      <c r="AE16" s="110">
        <f>COUNTIF('KK2. Series'!AM:AM,'TK 15661.Bản quyền phim '!F16)</f>
        <v>0</v>
      </c>
      <c r="AF16" s="110">
        <f>COUNTIF('KK3. Kids'!AF:AF,'TK 15661.Bản quyền phim '!F16)</f>
        <v>0</v>
      </c>
      <c r="AG16" s="110"/>
      <c r="AH16" s="110" t="str">
        <f t="shared" si="8"/>
        <v>OK</v>
      </c>
    </row>
    <row r="17" spans="1:34" ht="15.6" hidden="1" x14ac:dyDescent="0.3">
      <c r="A17" s="43"/>
      <c r="B17" s="108" t="s">
        <v>3088</v>
      </c>
      <c r="C17" s="94" t="s">
        <v>2493</v>
      </c>
      <c r="D17" s="94" t="s">
        <v>3029</v>
      </c>
      <c r="E17" s="94" t="s">
        <v>3028</v>
      </c>
      <c r="F17" s="94" t="s">
        <v>3087</v>
      </c>
      <c r="G17" s="94" t="s">
        <v>2490</v>
      </c>
      <c r="H17" s="119">
        <v>1</v>
      </c>
      <c r="I17" s="119">
        <v>3</v>
      </c>
      <c r="J17" s="119">
        <f t="shared" si="2"/>
        <v>3</v>
      </c>
      <c r="K17" s="119">
        <v>394285714</v>
      </c>
      <c r="L17" s="119">
        <v>131428571.33333333</v>
      </c>
      <c r="M17" s="119">
        <f t="shared" si="3"/>
        <v>3</v>
      </c>
      <c r="N17" s="119">
        <f t="shared" si="4"/>
        <v>394285714</v>
      </c>
      <c r="O17" s="120">
        <v>44228</v>
      </c>
      <c r="P17" s="120">
        <v>46053</v>
      </c>
      <c r="Q17" s="119">
        <v>0</v>
      </c>
      <c r="R17" s="121">
        <v>0</v>
      </c>
      <c r="S17" s="119">
        <v>0</v>
      </c>
      <c r="T17" s="121">
        <v>0</v>
      </c>
      <c r="U17" s="119">
        <v>0</v>
      </c>
      <c r="V17" s="121">
        <f t="shared" si="5"/>
        <v>0</v>
      </c>
      <c r="W17" s="119">
        <f t="shared" si="6"/>
        <v>0</v>
      </c>
      <c r="X17" s="121">
        <f t="shared" si="7"/>
        <v>0</v>
      </c>
      <c r="Y17" s="122" t="s">
        <v>2489</v>
      </c>
      <c r="Z17" s="123" t="s">
        <v>2407</v>
      </c>
      <c r="AA17" s="123" t="s">
        <v>2406</v>
      </c>
      <c r="AB17" s="123" t="s">
        <v>2372</v>
      </c>
      <c r="AC17" s="124" t="s">
        <v>12</v>
      </c>
      <c r="AD17" s="110">
        <f>COUNTIF('KK1. Movies'!AI:AI,'TK 15661.Bản quyền phim '!F17)</f>
        <v>1</v>
      </c>
      <c r="AE17" s="110">
        <f>COUNTIF('KK2. Series'!AM:AM,'TK 15661.Bản quyền phim '!F17)</f>
        <v>0</v>
      </c>
      <c r="AF17" s="110">
        <f>COUNTIF('KK3. Kids'!AF:AF,'TK 15661.Bản quyền phim '!F17)</f>
        <v>0</v>
      </c>
      <c r="AG17" s="110"/>
      <c r="AH17" s="110" t="str">
        <f t="shared" si="8"/>
        <v>OK</v>
      </c>
    </row>
    <row r="18" spans="1:34" ht="15.6" hidden="1" x14ac:dyDescent="0.3">
      <c r="A18" s="43"/>
      <c r="B18" s="108" t="s">
        <v>3086</v>
      </c>
      <c r="C18" s="94" t="s">
        <v>2493</v>
      </c>
      <c r="D18" s="94" t="s">
        <v>3041</v>
      </c>
      <c r="E18" s="94" t="s">
        <v>3040</v>
      </c>
      <c r="F18" s="94" t="s">
        <v>3085</v>
      </c>
      <c r="G18" s="94" t="s">
        <v>2490</v>
      </c>
      <c r="H18" s="119">
        <v>1</v>
      </c>
      <c r="I18" s="119">
        <v>5</v>
      </c>
      <c r="J18" s="119">
        <f t="shared" si="2"/>
        <v>5</v>
      </c>
      <c r="K18" s="119">
        <v>220476190</v>
      </c>
      <c r="L18" s="119">
        <v>44095238</v>
      </c>
      <c r="M18" s="119">
        <f t="shared" si="3"/>
        <v>4</v>
      </c>
      <c r="N18" s="119">
        <f t="shared" si="4"/>
        <v>176380952</v>
      </c>
      <c r="O18" s="120">
        <v>44344</v>
      </c>
      <c r="P18" s="120">
        <v>46169</v>
      </c>
      <c r="Q18" s="119">
        <v>1</v>
      </c>
      <c r="R18" s="121">
        <v>44095238</v>
      </c>
      <c r="S18" s="119">
        <v>0</v>
      </c>
      <c r="T18" s="121">
        <v>0</v>
      </c>
      <c r="U18" s="119">
        <v>1</v>
      </c>
      <c r="V18" s="121">
        <f t="shared" si="5"/>
        <v>44095238</v>
      </c>
      <c r="W18" s="119">
        <f t="shared" si="6"/>
        <v>0</v>
      </c>
      <c r="X18" s="121">
        <f t="shared" si="7"/>
        <v>0</v>
      </c>
      <c r="Y18" s="122" t="s">
        <v>2489</v>
      </c>
      <c r="Z18" s="123" t="s">
        <v>2407</v>
      </c>
      <c r="AA18" s="123" t="s">
        <v>2406</v>
      </c>
      <c r="AB18" s="123" t="s">
        <v>2372</v>
      </c>
      <c r="AC18" s="124" t="s">
        <v>12</v>
      </c>
      <c r="AD18" s="110">
        <f>COUNTIF('KK1. Movies'!AI:AI,'TK 15661.Bản quyền phim '!F18)</f>
        <v>1</v>
      </c>
      <c r="AE18" s="110">
        <f>COUNTIF('KK2. Series'!AM:AM,'TK 15661.Bản quyền phim '!F18)</f>
        <v>0</v>
      </c>
      <c r="AF18" s="110">
        <f>COUNTIF('KK3. Kids'!AF:AF,'TK 15661.Bản quyền phim '!F18)</f>
        <v>0</v>
      </c>
      <c r="AG18" s="110"/>
      <c r="AH18" s="110" t="str">
        <f t="shared" si="8"/>
        <v>OK</v>
      </c>
    </row>
    <row r="19" spans="1:34" ht="15.6" hidden="1" x14ac:dyDescent="0.3">
      <c r="A19" s="43"/>
      <c r="B19" s="108" t="s">
        <v>3084</v>
      </c>
      <c r="C19" s="94" t="s">
        <v>2493</v>
      </c>
      <c r="D19" s="94" t="s">
        <v>3083</v>
      </c>
      <c r="E19" s="94" t="s">
        <v>3082</v>
      </c>
      <c r="F19" s="94" t="s">
        <v>3081</v>
      </c>
      <c r="G19" s="94" t="s">
        <v>2490</v>
      </c>
      <c r="H19" s="119">
        <v>1</v>
      </c>
      <c r="I19" s="119">
        <v>5</v>
      </c>
      <c r="J19" s="119">
        <f t="shared" si="2"/>
        <v>5</v>
      </c>
      <c r="K19" s="119">
        <v>484209524</v>
      </c>
      <c r="L19" s="119">
        <v>96841904.799999997</v>
      </c>
      <c r="M19" s="119">
        <f t="shared" si="3"/>
        <v>4</v>
      </c>
      <c r="N19" s="119">
        <f t="shared" si="4"/>
        <v>387367619.20000005</v>
      </c>
      <c r="O19" s="120">
        <v>44407</v>
      </c>
      <c r="P19" s="120">
        <v>46232</v>
      </c>
      <c r="Q19" s="119">
        <v>1</v>
      </c>
      <c r="R19" s="121">
        <v>96841904.799999967</v>
      </c>
      <c r="S19" s="119">
        <v>0</v>
      </c>
      <c r="T19" s="121">
        <v>0</v>
      </c>
      <c r="U19" s="119">
        <v>1</v>
      </c>
      <c r="V19" s="121">
        <f t="shared" si="5"/>
        <v>96841904.799999997</v>
      </c>
      <c r="W19" s="119">
        <f t="shared" si="6"/>
        <v>0</v>
      </c>
      <c r="X19" s="121">
        <f t="shared" si="7"/>
        <v>0</v>
      </c>
      <c r="Y19" s="122" t="s">
        <v>2489</v>
      </c>
      <c r="Z19" s="123" t="s">
        <v>2407</v>
      </c>
      <c r="AA19" s="123" t="s">
        <v>2406</v>
      </c>
      <c r="AB19" s="123" t="s">
        <v>2372</v>
      </c>
      <c r="AC19" s="124" t="s">
        <v>12</v>
      </c>
      <c r="AD19" s="110">
        <f>COUNTIF('KK1. Movies'!AI:AI,'TK 15661.Bản quyền phim '!F19)</f>
        <v>1</v>
      </c>
      <c r="AE19" s="110">
        <f>COUNTIF('KK2. Series'!AM:AM,'TK 15661.Bản quyền phim '!F19)</f>
        <v>0</v>
      </c>
      <c r="AF19" s="110">
        <f>COUNTIF('KK3. Kids'!AF:AF,'TK 15661.Bản quyền phim '!F19)</f>
        <v>0</v>
      </c>
      <c r="AG19" s="110"/>
      <c r="AH19" s="110" t="str">
        <f t="shared" si="8"/>
        <v>OK</v>
      </c>
    </row>
    <row r="20" spans="1:34" ht="15.6" hidden="1" x14ac:dyDescent="0.3">
      <c r="B20" s="108" t="s">
        <v>3080</v>
      </c>
      <c r="C20" s="94" t="s">
        <v>2412</v>
      </c>
      <c r="D20" s="94" t="s">
        <v>3079</v>
      </c>
      <c r="E20" s="94" t="s">
        <v>3078</v>
      </c>
      <c r="F20" s="94" t="s">
        <v>3077</v>
      </c>
      <c r="G20" s="94" t="s">
        <v>2428</v>
      </c>
      <c r="H20" s="119">
        <v>40</v>
      </c>
      <c r="I20" s="119">
        <v>5</v>
      </c>
      <c r="J20" s="119">
        <f t="shared" si="2"/>
        <v>200</v>
      </c>
      <c r="K20" s="119">
        <v>2767800000</v>
      </c>
      <c r="L20" s="119">
        <v>13839000</v>
      </c>
      <c r="M20" s="119">
        <f t="shared" si="3"/>
        <v>160</v>
      </c>
      <c r="N20" s="119">
        <f t="shared" si="4"/>
        <v>2214240000</v>
      </c>
      <c r="O20" s="120">
        <v>44378</v>
      </c>
      <c r="P20" s="120">
        <v>46204</v>
      </c>
      <c r="Q20" s="119">
        <v>40</v>
      </c>
      <c r="R20" s="121">
        <v>553560000</v>
      </c>
      <c r="S20" s="119">
        <v>0</v>
      </c>
      <c r="T20" s="121">
        <v>0</v>
      </c>
      <c r="U20" s="119">
        <v>40</v>
      </c>
      <c r="V20" s="121">
        <f t="shared" si="5"/>
        <v>553560000</v>
      </c>
      <c r="W20" s="119">
        <f t="shared" si="6"/>
        <v>0</v>
      </c>
      <c r="X20" s="121">
        <f t="shared" si="7"/>
        <v>0</v>
      </c>
      <c r="Y20" s="122" t="s">
        <v>2427</v>
      </c>
      <c r="Z20" s="123" t="s">
        <v>2407</v>
      </c>
      <c r="AA20" s="123" t="s">
        <v>2406</v>
      </c>
      <c r="AB20" s="123" t="s">
        <v>2372</v>
      </c>
      <c r="AC20" s="124" t="s">
        <v>10</v>
      </c>
      <c r="AD20" s="110">
        <f>COUNTIF('KK1. Movies'!AI:AI,'TK 15661.Bản quyền phim '!F20)</f>
        <v>0</v>
      </c>
      <c r="AE20" s="110">
        <f>COUNTIF('KK2. Series'!AM:AM,'TK 15661.Bản quyền phim '!F20)</f>
        <v>1</v>
      </c>
      <c r="AF20" s="110">
        <f>COUNTIF('KK3. Kids'!AF:AF,'TK 15661.Bản quyền phim '!F20)</f>
        <v>0</v>
      </c>
      <c r="AG20" s="110"/>
      <c r="AH20" s="110" t="str">
        <f t="shared" si="8"/>
        <v>OK</v>
      </c>
    </row>
    <row r="21" spans="1:34" hidden="1" x14ac:dyDescent="0.2">
      <c r="A21" s="43"/>
      <c r="B21" s="108" t="s">
        <v>3076</v>
      </c>
      <c r="C21" s="94" t="s">
        <v>2493</v>
      </c>
      <c r="D21" s="94" t="s">
        <v>2928</v>
      </c>
      <c r="E21" s="94" t="s">
        <v>2927</v>
      </c>
      <c r="F21" s="94" t="s">
        <v>3075</v>
      </c>
      <c r="G21" s="94" t="s">
        <v>2417</v>
      </c>
      <c r="H21" s="119">
        <v>1</v>
      </c>
      <c r="I21" s="119">
        <v>5</v>
      </c>
      <c r="J21" s="119">
        <f t="shared" si="2"/>
        <v>5</v>
      </c>
      <c r="K21" s="119">
        <v>83672381</v>
      </c>
      <c r="L21" s="119">
        <v>16734476.199999999</v>
      </c>
      <c r="M21" s="119">
        <f t="shared" si="3"/>
        <v>4</v>
      </c>
      <c r="N21" s="119">
        <f t="shared" si="4"/>
        <v>66937904.800000004</v>
      </c>
      <c r="O21" s="120">
        <v>44519</v>
      </c>
      <c r="P21" s="120">
        <v>46160</v>
      </c>
      <c r="Q21" s="119">
        <v>1</v>
      </c>
      <c r="R21" s="121">
        <v>16734476.199999996</v>
      </c>
      <c r="S21" s="119">
        <v>0</v>
      </c>
      <c r="T21" s="121">
        <v>0</v>
      </c>
      <c r="U21" s="119">
        <v>1</v>
      </c>
      <c r="V21" s="121">
        <f t="shared" si="5"/>
        <v>16734476.199999999</v>
      </c>
      <c r="W21" s="119">
        <f t="shared" si="6"/>
        <v>0</v>
      </c>
      <c r="X21" s="121">
        <f t="shared" si="7"/>
        <v>0</v>
      </c>
      <c r="Y21" s="122" t="s">
        <v>2416</v>
      </c>
      <c r="Z21" s="123" t="s">
        <v>2407</v>
      </c>
      <c r="AA21" s="123" t="s">
        <v>2406</v>
      </c>
      <c r="AB21" s="123" t="s">
        <v>2372</v>
      </c>
      <c r="AC21" s="123"/>
      <c r="AD21" s="110">
        <f>COUNTIF('KK1. Movies'!AI:AI,'TK 15661.Bản quyền phim '!F21)</f>
        <v>0</v>
      </c>
      <c r="AE21" s="110">
        <f>COUNTIF('KK2. Series'!AM:AM,'TK 15661.Bản quyền phim '!F21)</f>
        <v>0</v>
      </c>
      <c r="AF21" s="110">
        <f>COUNTIF('KK3. Kids'!AF:AF,'TK 15661.Bản quyền phim '!F21)</f>
        <v>0</v>
      </c>
      <c r="AG21" s="110"/>
      <c r="AH21" s="110">
        <f t="shared" si="8"/>
        <v>0</v>
      </c>
    </row>
    <row r="22" spans="1:34" hidden="1" x14ac:dyDescent="0.2">
      <c r="A22" s="43"/>
      <c r="B22" s="108" t="s">
        <v>3074</v>
      </c>
      <c r="C22" s="94" t="s">
        <v>2493</v>
      </c>
      <c r="D22" s="94" t="s">
        <v>2928</v>
      </c>
      <c r="E22" s="94" t="s">
        <v>2927</v>
      </c>
      <c r="F22" s="94" t="s">
        <v>3073</v>
      </c>
      <c r="G22" s="94" t="s">
        <v>2417</v>
      </c>
      <c r="H22" s="119">
        <v>1</v>
      </c>
      <c r="I22" s="119">
        <v>5</v>
      </c>
      <c r="J22" s="119">
        <f t="shared" si="2"/>
        <v>5</v>
      </c>
      <c r="K22" s="119">
        <v>83672381</v>
      </c>
      <c r="L22" s="119">
        <v>16734476.199999999</v>
      </c>
      <c r="M22" s="119">
        <f t="shared" si="3"/>
        <v>4</v>
      </c>
      <c r="N22" s="119">
        <f t="shared" si="4"/>
        <v>66937904.800000004</v>
      </c>
      <c r="O22" s="120">
        <v>44491</v>
      </c>
      <c r="P22" s="120">
        <v>46133</v>
      </c>
      <c r="Q22" s="119">
        <v>1</v>
      </c>
      <c r="R22" s="121">
        <v>16734476.199999996</v>
      </c>
      <c r="S22" s="119">
        <v>0</v>
      </c>
      <c r="T22" s="121">
        <v>0</v>
      </c>
      <c r="U22" s="119">
        <v>1</v>
      </c>
      <c r="V22" s="121">
        <f t="shared" si="5"/>
        <v>16734476.199999999</v>
      </c>
      <c r="W22" s="119">
        <f t="shared" si="6"/>
        <v>0</v>
      </c>
      <c r="X22" s="121">
        <f t="shared" si="7"/>
        <v>0</v>
      </c>
      <c r="Y22" s="122" t="s">
        <v>2416</v>
      </c>
      <c r="Z22" s="123" t="s">
        <v>2407</v>
      </c>
      <c r="AA22" s="123" t="s">
        <v>2406</v>
      </c>
      <c r="AB22" s="123" t="s">
        <v>2372</v>
      </c>
      <c r="AC22" s="123"/>
      <c r="AD22" s="110">
        <f>COUNTIF('KK1. Movies'!AI:AI,'TK 15661.Bản quyền phim '!F22)</f>
        <v>0</v>
      </c>
      <c r="AE22" s="110">
        <f>COUNTIF('KK2. Series'!AM:AM,'TK 15661.Bản quyền phim '!F22)</f>
        <v>0</v>
      </c>
      <c r="AF22" s="110">
        <f>COUNTIF('KK3. Kids'!AF:AF,'TK 15661.Bản quyền phim '!F22)</f>
        <v>0</v>
      </c>
      <c r="AG22" s="110"/>
      <c r="AH22" s="110">
        <f t="shared" si="8"/>
        <v>0</v>
      </c>
    </row>
    <row r="23" spans="1:34" hidden="1" x14ac:dyDescent="0.2">
      <c r="A23" s="43"/>
      <c r="B23" s="108" t="s">
        <v>3072</v>
      </c>
      <c r="C23" s="94" t="s">
        <v>2493</v>
      </c>
      <c r="D23" s="94" t="s">
        <v>2928</v>
      </c>
      <c r="E23" s="94" t="s">
        <v>2927</v>
      </c>
      <c r="F23" s="94" t="s">
        <v>3071</v>
      </c>
      <c r="G23" s="94" t="s">
        <v>2417</v>
      </c>
      <c r="H23" s="119">
        <v>1</v>
      </c>
      <c r="I23" s="119">
        <v>5</v>
      </c>
      <c r="J23" s="119">
        <f t="shared" si="2"/>
        <v>5</v>
      </c>
      <c r="K23" s="119">
        <v>83672381</v>
      </c>
      <c r="L23" s="119">
        <v>16734476.199999999</v>
      </c>
      <c r="M23" s="119">
        <f t="shared" si="3"/>
        <v>4</v>
      </c>
      <c r="N23" s="119">
        <f t="shared" si="4"/>
        <v>66937904.800000004</v>
      </c>
      <c r="O23" s="120">
        <v>44533</v>
      </c>
      <c r="P23" s="120">
        <v>46175</v>
      </c>
      <c r="Q23" s="119">
        <v>1</v>
      </c>
      <c r="R23" s="121">
        <v>16734476.199999996</v>
      </c>
      <c r="S23" s="119">
        <v>0</v>
      </c>
      <c r="T23" s="121">
        <v>0</v>
      </c>
      <c r="U23" s="119">
        <v>1</v>
      </c>
      <c r="V23" s="121">
        <f t="shared" si="5"/>
        <v>16734476.199999999</v>
      </c>
      <c r="W23" s="119">
        <f t="shared" si="6"/>
        <v>0</v>
      </c>
      <c r="X23" s="121">
        <f t="shared" si="7"/>
        <v>0</v>
      </c>
      <c r="Y23" s="122" t="s">
        <v>2416</v>
      </c>
      <c r="Z23" s="123" t="s">
        <v>2407</v>
      </c>
      <c r="AA23" s="123" t="s">
        <v>2406</v>
      </c>
      <c r="AB23" s="123" t="s">
        <v>2372</v>
      </c>
      <c r="AC23" s="123"/>
      <c r="AD23" s="110">
        <f>COUNTIF('KK1. Movies'!AI:AI,'TK 15661.Bản quyền phim '!F23)</f>
        <v>0</v>
      </c>
      <c r="AE23" s="110">
        <f>COUNTIF('KK2. Series'!AM:AM,'TK 15661.Bản quyền phim '!F23)</f>
        <v>0</v>
      </c>
      <c r="AF23" s="110">
        <f>COUNTIF('KK3. Kids'!AF:AF,'TK 15661.Bản quyền phim '!F23)</f>
        <v>0</v>
      </c>
      <c r="AG23" s="110"/>
      <c r="AH23" s="110">
        <f t="shared" si="8"/>
        <v>0</v>
      </c>
    </row>
    <row r="24" spans="1:34" hidden="1" x14ac:dyDescent="0.2">
      <c r="A24" s="43"/>
      <c r="B24" s="108" t="s">
        <v>3070</v>
      </c>
      <c r="C24" s="94" t="s">
        <v>2493</v>
      </c>
      <c r="D24" s="94" t="s">
        <v>2928</v>
      </c>
      <c r="E24" s="94" t="s">
        <v>2927</v>
      </c>
      <c r="F24" s="94" t="s">
        <v>3069</v>
      </c>
      <c r="G24" s="94" t="s">
        <v>2417</v>
      </c>
      <c r="H24" s="119">
        <v>1</v>
      </c>
      <c r="I24" s="119">
        <v>5</v>
      </c>
      <c r="J24" s="119">
        <f t="shared" si="2"/>
        <v>5</v>
      </c>
      <c r="K24" s="119">
        <v>83672381</v>
      </c>
      <c r="L24" s="119">
        <v>16734476.199999999</v>
      </c>
      <c r="M24" s="119">
        <f t="shared" si="3"/>
        <v>4</v>
      </c>
      <c r="N24" s="119">
        <f t="shared" si="4"/>
        <v>66937904.800000004</v>
      </c>
      <c r="O24" s="120">
        <v>44517</v>
      </c>
      <c r="P24" s="120">
        <v>46158</v>
      </c>
      <c r="Q24" s="119">
        <v>1</v>
      </c>
      <c r="R24" s="121">
        <v>16734476.199999996</v>
      </c>
      <c r="S24" s="119">
        <v>0</v>
      </c>
      <c r="T24" s="121">
        <v>0</v>
      </c>
      <c r="U24" s="119">
        <v>1</v>
      </c>
      <c r="V24" s="121">
        <f t="shared" si="5"/>
        <v>16734476.199999999</v>
      </c>
      <c r="W24" s="119">
        <f t="shared" si="6"/>
        <v>0</v>
      </c>
      <c r="X24" s="121">
        <f t="shared" si="7"/>
        <v>0</v>
      </c>
      <c r="Y24" s="122" t="s">
        <v>2416</v>
      </c>
      <c r="Z24" s="123" t="s">
        <v>2407</v>
      </c>
      <c r="AA24" s="123" t="s">
        <v>2406</v>
      </c>
      <c r="AB24" s="123" t="s">
        <v>2372</v>
      </c>
      <c r="AC24" s="123"/>
      <c r="AD24" s="110">
        <f>COUNTIF('KK1. Movies'!AI:AI,'TK 15661.Bản quyền phim '!F24)</f>
        <v>0</v>
      </c>
      <c r="AE24" s="110">
        <f>COUNTIF('KK2. Series'!AM:AM,'TK 15661.Bản quyền phim '!F24)</f>
        <v>0</v>
      </c>
      <c r="AF24" s="110">
        <f>COUNTIF('KK3. Kids'!AF:AF,'TK 15661.Bản quyền phim '!F24)</f>
        <v>0</v>
      </c>
      <c r="AG24" s="110"/>
      <c r="AH24" s="110">
        <f t="shared" si="8"/>
        <v>0</v>
      </c>
    </row>
    <row r="25" spans="1:34" hidden="1" x14ac:dyDescent="0.2">
      <c r="A25" s="43"/>
      <c r="B25" s="108" t="s">
        <v>3068</v>
      </c>
      <c r="C25" s="94" t="s">
        <v>2493</v>
      </c>
      <c r="D25" s="94" t="s">
        <v>2928</v>
      </c>
      <c r="E25" s="94" t="s">
        <v>2927</v>
      </c>
      <c r="F25" s="94" t="s">
        <v>3067</v>
      </c>
      <c r="G25" s="94" t="s">
        <v>2417</v>
      </c>
      <c r="H25" s="119">
        <v>1</v>
      </c>
      <c r="I25" s="119">
        <v>5</v>
      </c>
      <c r="J25" s="119">
        <f t="shared" si="2"/>
        <v>5</v>
      </c>
      <c r="K25" s="119">
        <v>83672381</v>
      </c>
      <c r="L25" s="119">
        <v>16734476.199999999</v>
      </c>
      <c r="M25" s="119">
        <f t="shared" si="3"/>
        <v>4</v>
      </c>
      <c r="N25" s="119">
        <f t="shared" si="4"/>
        <v>66937904.800000004</v>
      </c>
      <c r="O25" s="120">
        <v>44538</v>
      </c>
      <c r="P25" s="120">
        <v>46180</v>
      </c>
      <c r="Q25" s="119">
        <v>1</v>
      </c>
      <c r="R25" s="121">
        <v>16734476.199999996</v>
      </c>
      <c r="S25" s="119">
        <v>0</v>
      </c>
      <c r="T25" s="121">
        <v>0</v>
      </c>
      <c r="U25" s="119">
        <v>1</v>
      </c>
      <c r="V25" s="121">
        <f t="shared" si="5"/>
        <v>16734476.199999999</v>
      </c>
      <c r="W25" s="119">
        <f t="shared" si="6"/>
        <v>0</v>
      </c>
      <c r="X25" s="121">
        <f t="shared" si="7"/>
        <v>0</v>
      </c>
      <c r="Y25" s="122" t="s">
        <v>2416</v>
      </c>
      <c r="Z25" s="123" t="s">
        <v>2407</v>
      </c>
      <c r="AA25" s="123" t="s">
        <v>2406</v>
      </c>
      <c r="AB25" s="123" t="s">
        <v>2372</v>
      </c>
      <c r="AC25" s="123"/>
      <c r="AD25" s="110">
        <f>COUNTIF('KK1. Movies'!AI:AI,'TK 15661.Bản quyền phim '!F25)</f>
        <v>0</v>
      </c>
      <c r="AE25" s="110">
        <f>COUNTIF('KK2. Series'!AM:AM,'TK 15661.Bản quyền phim '!F25)</f>
        <v>0</v>
      </c>
      <c r="AF25" s="110">
        <f>COUNTIF('KK3. Kids'!AF:AF,'TK 15661.Bản quyền phim '!F25)</f>
        <v>0</v>
      </c>
      <c r="AG25" s="110"/>
      <c r="AH25" s="110">
        <f t="shared" si="8"/>
        <v>0</v>
      </c>
    </row>
    <row r="26" spans="1:34" ht="15.6" hidden="1" x14ac:dyDescent="0.3">
      <c r="A26" s="43"/>
      <c r="B26" s="108" t="s">
        <v>3066</v>
      </c>
      <c r="C26" s="94" t="s">
        <v>2493</v>
      </c>
      <c r="D26" s="94" t="s">
        <v>2928</v>
      </c>
      <c r="E26" s="94" t="s">
        <v>2927</v>
      </c>
      <c r="F26" s="94" t="s">
        <v>2358</v>
      </c>
      <c r="G26" s="94" t="s">
        <v>2417</v>
      </c>
      <c r="H26" s="119">
        <v>1</v>
      </c>
      <c r="I26" s="119">
        <v>5</v>
      </c>
      <c r="J26" s="119">
        <f t="shared" si="2"/>
        <v>5</v>
      </c>
      <c r="K26" s="119">
        <v>83672381</v>
      </c>
      <c r="L26" s="119">
        <v>16734476.199999999</v>
      </c>
      <c r="M26" s="119">
        <f t="shared" si="3"/>
        <v>4</v>
      </c>
      <c r="N26" s="119">
        <f t="shared" si="4"/>
        <v>66937904.800000004</v>
      </c>
      <c r="O26" s="120">
        <v>44552</v>
      </c>
      <c r="P26" s="120">
        <v>46194</v>
      </c>
      <c r="Q26" s="119">
        <v>1</v>
      </c>
      <c r="R26" s="121">
        <v>16734476.199999996</v>
      </c>
      <c r="S26" s="119">
        <v>0</v>
      </c>
      <c r="T26" s="121">
        <v>0</v>
      </c>
      <c r="U26" s="119">
        <v>1</v>
      </c>
      <c r="V26" s="121">
        <f t="shared" si="5"/>
        <v>16734476.199999999</v>
      </c>
      <c r="W26" s="119">
        <f t="shared" si="6"/>
        <v>0</v>
      </c>
      <c r="X26" s="121">
        <f t="shared" si="7"/>
        <v>0</v>
      </c>
      <c r="Y26" s="122" t="s">
        <v>2416</v>
      </c>
      <c r="Z26" s="123" t="s">
        <v>2407</v>
      </c>
      <c r="AA26" s="123" t="s">
        <v>2406</v>
      </c>
      <c r="AB26" s="123" t="s">
        <v>2372</v>
      </c>
      <c r="AC26" s="124" t="s">
        <v>12</v>
      </c>
      <c r="AD26" s="110">
        <f>COUNTIF('KK1. Movies'!AI:AI,'TK 15661.Bản quyền phim '!F26)</f>
        <v>1</v>
      </c>
      <c r="AE26" s="110">
        <f>COUNTIF('KK2. Series'!AM:AM,'TK 15661.Bản quyền phim '!F26)</f>
        <v>0</v>
      </c>
      <c r="AF26" s="110">
        <f>COUNTIF('KK3. Kids'!AF:AF,'TK 15661.Bản quyền phim '!F26)</f>
        <v>0</v>
      </c>
      <c r="AG26" s="110"/>
      <c r="AH26" s="110" t="str">
        <f t="shared" si="8"/>
        <v>OK</v>
      </c>
    </row>
    <row r="27" spans="1:34" ht="15.6" hidden="1" x14ac:dyDescent="0.3">
      <c r="A27" s="43"/>
      <c r="B27" s="108" t="s">
        <v>3065</v>
      </c>
      <c r="C27" s="94" t="s">
        <v>2493</v>
      </c>
      <c r="D27" s="94" t="s">
        <v>2928</v>
      </c>
      <c r="E27" s="94" t="s">
        <v>2927</v>
      </c>
      <c r="F27" s="94" t="s">
        <v>1565</v>
      </c>
      <c r="G27" s="94" t="s">
        <v>2417</v>
      </c>
      <c r="H27" s="119">
        <v>1</v>
      </c>
      <c r="I27" s="119">
        <v>5</v>
      </c>
      <c r="J27" s="119">
        <f t="shared" si="2"/>
        <v>5</v>
      </c>
      <c r="K27" s="119">
        <v>83672381</v>
      </c>
      <c r="L27" s="119">
        <v>16734476.199999999</v>
      </c>
      <c r="M27" s="119">
        <f t="shared" si="3"/>
        <v>4</v>
      </c>
      <c r="N27" s="119">
        <f t="shared" si="4"/>
        <v>66937904.800000004</v>
      </c>
      <c r="O27" s="120">
        <v>44561</v>
      </c>
      <c r="P27" s="120">
        <v>46203</v>
      </c>
      <c r="Q27" s="119">
        <v>1</v>
      </c>
      <c r="R27" s="121">
        <v>16734476.199999996</v>
      </c>
      <c r="S27" s="119">
        <v>0</v>
      </c>
      <c r="T27" s="121">
        <v>0</v>
      </c>
      <c r="U27" s="119">
        <v>1</v>
      </c>
      <c r="V27" s="121">
        <f t="shared" si="5"/>
        <v>16734476.199999999</v>
      </c>
      <c r="W27" s="119">
        <f t="shared" si="6"/>
        <v>0</v>
      </c>
      <c r="X27" s="121">
        <f t="shared" si="7"/>
        <v>0</v>
      </c>
      <c r="Y27" s="122" t="s">
        <v>2416</v>
      </c>
      <c r="Z27" s="123" t="s">
        <v>2407</v>
      </c>
      <c r="AA27" s="123" t="s">
        <v>2406</v>
      </c>
      <c r="AB27" s="123" t="s">
        <v>2372</v>
      </c>
      <c r="AC27" s="124" t="s">
        <v>12</v>
      </c>
      <c r="AD27" s="110">
        <f>COUNTIF('KK1. Movies'!AI:AI,'TK 15661.Bản quyền phim '!F27)</f>
        <v>1</v>
      </c>
      <c r="AE27" s="110">
        <f>COUNTIF('KK2. Series'!AM:AM,'TK 15661.Bản quyền phim '!F27)</f>
        <v>0</v>
      </c>
      <c r="AF27" s="110">
        <f>COUNTIF('KK3. Kids'!AF:AF,'TK 15661.Bản quyền phim '!F27)</f>
        <v>0</v>
      </c>
      <c r="AG27" s="110"/>
      <c r="AH27" s="110" t="str">
        <f t="shared" si="8"/>
        <v>OK</v>
      </c>
    </row>
    <row r="28" spans="1:34" hidden="1" x14ac:dyDescent="0.2">
      <c r="A28" s="43"/>
      <c r="B28" s="108" t="s">
        <v>3064</v>
      </c>
      <c r="C28" s="94" t="s">
        <v>2493</v>
      </c>
      <c r="D28" s="94" t="s">
        <v>2928</v>
      </c>
      <c r="E28" s="94" t="s">
        <v>2927</v>
      </c>
      <c r="F28" s="94" t="s">
        <v>3063</v>
      </c>
      <c r="G28" s="94" t="s">
        <v>2417</v>
      </c>
      <c r="H28" s="119">
        <v>1</v>
      </c>
      <c r="I28" s="119">
        <v>5</v>
      </c>
      <c r="J28" s="119">
        <f t="shared" si="2"/>
        <v>5</v>
      </c>
      <c r="K28" s="119">
        <v>83672381</v>
      </c>
      <c r="L28" s="119">
        <v>16734476.199999999</v>
      </c>
      <c r="M28" s="119">
        <f t="shared" si="3"/>
        <v>4</v>
      </c>
      <c r="N28" s="119">
        <f t="shared" si="4"/>
        <v>66937904.800000004</v>
      </c>
      <c r="O28" s="120">
        <v>44531</v>
      </c>
      <c r="P28" s="120">
        <v>46356</v>
      </c>
      <c r="Q28" s="119">
        <v>1</v>
      </c>
      <c r="R28" s="121">
        <v>16734476.199999996</v>
      </c>
      <c r="S28" s="119">
        <v>0</v>
      </c>
      <c r="T28" s="121">
        <v>0</v>
      </c>
      <c r="U28" s="119">
        <v>1</v>
      </c>
      <c r="V28" s="121">
        <f t="shared" si="5"/>
        <v>16734476.199999999</v>
      </c>
      <c r="W28" s="119">
        <f t="shared" si="6"/>
        <v>0</v>
      </c>
      <c r="X28" s="121">
        <f t="shared" si="7"/>
        <v>0</v>
      </c>
      <c r="Y28" s="122" t="s">
        <v>2416</v>
      </c>
      <c r="Z28" s="123" t="s">
        <v>2407</v>
      </c>
      <c r="AA28" s="123" t="s">
        <v>2406</v>
      </c>
      <c r="AB28" s="123" t="s">
        <v>2372</v>
      </c>
      <c r="AC28" s="123"/>
      <c r="AD28" s="110">
        <f>COUNTIF('KK1. Movies'!AI:AI,'TK 15661.Bản quyền phim '!F28)</f>
        <v>0</v>
      </c>
      <c r="AE28" s="110">
        <f>COUNTIF('KK2. Series'!AM:AM,'TK 15661.Bản quyền phim '!F28)</f>
        <v>0</v>
      </c>
      <c r="AF28" s="110">
        <f>COUNTIF('KK3. Kids'!AF:AF,'TK 15661.Bản quyền phim '!F28)</f>
        <v>0</v>
      </c>
      <c r="AG28" s="110"/>
      <c r="AH28" s="110">
        <f t="shared" si="8"/>
        <v>0</v>
      </c>
    </row>
    <row r="29" spans="1:34" hidden="1" x14ac:dyDescent="0.2">
      <c r="A29" s="43"/>
      <c r="B29" s="108" t="s">
        <v>3062</v>
      </c>
      <c r="C29" s="94" t="s">
        <v>2493</v>
      </c>
      <c r="D29" s="94" t="s">
        <v>2928</v>
      </c>
      <c r="E29" s="94" t="s">
        <v>2927</v>
      </c>
      <c r="F29" s="94" t="s">
        <v>3061</v>
      </c>
      <c r="G29" s="94" t="s">
        <v>2417</v>
      </c>
      <c r="H29" s="119">
        <v>1</v>
      </c>
      <c r="I29" s="119">
        <v>5</v>
      </c>
      <c r="J29" s="119">
        <f t="shared" si="2"/>
        <v>5</v>
      </c>
      <c r="K29" s="119">
        <v>83672381</v>
      </c>
      <c r="L29" s="119">
        <v>16734476.199999999</v>
      </c>
      <c r="M29" s="119">
        <f t="shared" si="3"/>
        <v>4</v>
      </c>
      <c r="N29" s="119">
        <f t="shared" si="4"/>
        <v>66937904.800000004</v>
      </c>
      <c r="O29" s="120">
        <v>44489</v>
      </c>
      <c r="P29" s="120">
        <v>46131</v>
      </c>
      <c r="Q29" s="119">
        <v>1</v>
      </c>
      <c r="R29" s="121">
        <v>16734476.199999996</v>
      </c>
      <c r="S29" s="119">
        <v>0</v>
      </c>
      <c r="T29" s="121">
        <v>0</v>
      </c>
      <c r="U29" s="119">
        <v>1</v>
      </c>
      <c r="V29" s="121">
        <f t="shared" si="5"/>
        <v>16734476.199999999</v>
      </c>
      <c r="W29" s="119">
        <f t="shared" si="6"/>
        <v>0</v>
      </c>
      <c r="X29" s="121">
        <f t="shared" si="7"/>
        <v>0</v>
      </c>
      <c r="Y29" s="122" t="s">
        <v>2416</v>
      </c>
      <c r="Z29" s="123" t="s">
        <v>2407</v>
      </c>
      <c r="AA29" s="123" t="s">
        <v>2406</v>
      </c>
      <c r="AB29" s="123" t="s">
        <v>2372</v>
      </c>
      <c r="AC29" s="123"/>
      <c r="AD29" s="110">
        <f>COUNTIF('KK1. Movies'!AI:AI,'TK 15661.Bản quyền phim '!F29)</f>
        <v>0</v>
      </c>
      <c r="AE29" s="110">
        <f>COUNTIF('KK2. Series'!AM:AM,'TK 15661.Bản quyền phim '!F29)</f>
        <v>0</v>
      </c>
      <c r="AF29" s="110">
        <f>COUNTIF('KK3. Kids'!AF:AF,'TK 15661.Bản quyền phim '!F29)</f>
        <v>0</v>
      </c>
      <c r="AG29" s="110"/>
      <c r="AH29" s="110">
        <f t="shared" si="8"/>
        <v>0</v>
      </c>
    </row>
    <row r="30" spans="1:34" hidden="1" x14ac:dyDescent="0.2">
      <c r="A30" s="43"/>
      <c r="B30" s="108" t="s">
        <v>3060</v>
      </c>
      <c r="C30" s="94" t="s">
        <v>2493</v>
      </c>
      <c r="D30" s="94" t="s">
        <v>2928</v>
      </c>
      <c r="E30" s="94" t="s">
        <v>2927</v>
      </c>
      <c r="F30" s="94" t="s">
        <v>3059</v>
      </c>
      <c r="G30" s="94" t="s">
        <v>2417</v>
      </c>
      <c r="H30" s="119">
        <v>1</v>
      </c>
      <c r="I30" s="119">
        <v>5</v>
      </c>
      <c r="J30" s="119">
        <f t="shared" si="2"/>
        <v>5</v>
      </c>
      <c r="K30" s="119">
        <v>83672381</v>
      </c>
      <c r="L30" s="119">
        <v>16734476.199999999</v>
      </c>
      <c r="M30" s="119">
        <f t="shared" si="3"/>
        <v>4</v>
      </c>
      <c r="N30" s="119">
        <f t="shared" si="4"/>
        <v>66937904.800000004</v>
      </c>
      <c r="O30" s="120">
        <v>44461</v>
      </c>
      <c r="P30" s="120">
        <v>46102</v>
      </c>
      <c r="Q30" s="119">
        <v>1</v>
      </c>
      <c r="R30" s="121">
        <v>16734476.199999996</v>
      </c>
      <c r="S30" s="119">
        <v>0</v>
      </c>
      <c r="T30" s="121">
        <v>0</v>
      </c>
      <c r="U30" s="119">
        <v>1</v>
      </c>
      <c r="V30" s="121">
        <f t="shared" si="5"/>
        <v>16734476.199999999</v>
      </c>
      <c r="W30" s="119">
        <f t="shared" si="6"/>
        <v>0</v>
      </c>
      <c r="X30" s="121">
        <f t="shared" si="7"/>
        <v>0</v>
      </c>
      <c r="Y30" s="122" t="s">
        <v>2416</v>
      </c>
      <c r="Z30" s="123" t="s">
        <v>2407</v>
      </c>
      <c r="AA30" s="123" t="s">
        <v>2406</v>
      </c>
      <c r="AB30" s="123" t="s">
        <v>2372</v>
      </c>
      <c r="AC30" s="123"/>
      <c r="AD30" s="110">
        <f>COUNTIF('KK1. Movies'!AI:AI,'TK 15661.Bản quyền phim '!F30)</f>
        <v>0</v>
      </c>
      <c r="AE30" s="110">
        <f>COUNTIF('KK2. Series'!AM:AM,'TK 15661.Bản quyền phim '!F30)</f>
        <v>0</v>
      </c>
      <c r="AF30" s="110">
        <f>COUNTIF('KK3. Kids'!AF:AF,'TK 15661.Bản quyền phim '!F30)</f>
        <v>0</v>
      </c>
      <c r="AG30" s="110"/>
      <c r="AH30" s="110">
        <f t="shared" si="8"/>
        <v>0</v>
      </c>
    </row>
    <row r="31" spans="1:34" hidden="1" x14ac:dyDescent="0.2">
      <c r="A31" s="43"/>
      <c r="B31" s="108" t="s">
        <v>3058</v>
      </c>
      <c r="C31" s="94" t="s">
        <v>2493</v>
      </c>
      <c r="D31" s="94" t="s">
        <v>2928</v>
      </c>
      <c r="E31" s="94" t="s">
        <v>2927</v>
      </c>
      <c r="F31" s="94" t="s">
        <v>3057</v>
      </c>
      <c r="G31" s="94" t="s">
        <v>2417</v>
      </c>
      <c r="H31" s="119">
        <v>1</v>
      </c>
      <c r="I31" s="119">
        <v>5</v>
      </c>
      <c r="J31" s="119">
        <f t="shared" si="2"/>
        <v>5</v>
      </c>
      <c r="K31" s="119">
        <v>83672381</v>
      </c>
      <c r="L31" s="119">
        <v>16734476.199999999</v>
      </c>
      <c r="M31" s="119">
        <f t="shared" si="3"/>
        <v>4</v>
      </c>
      <c r="N31" s="119">
        <f t="shared" si="4"/>
        <v>66937904.800000004</v>
      </c>
      <c r="O31" s="120">
        <v>44475</v>
      </c>
      <c r="P31" s="120">
        <v>46117</v>
      </c>
      <c r="Q31" s="119">
        <v>1</v>
      </c>
      <c r="R31" s="121">
        <v>16734476.199999996</v>
      </c>
      <c r="S31" s="119">
        <v>0</v>
      </c>
      <c r="T31" s="121">
        <v>0</v>
      </c>
      <c r="U31" s="119">
        <v>1</v>
      </c>
      <c r="V31" s="121">
        <f t="shared" si="5"/>
        <v>16734476.199999999</v>
      </c>
      <c r="W31" s="119">
        <f t="shared" si="6"/>
        <v>0</v>
      </c>
      <c r="X31" s="121">
        <f t="shared" si="7"/>
        <v>0</v>
      </c>
      <c r="Y31" s="122" t="s">
        <v>2416</v>
      </c>
      <c r="Z31" s="123" t="s">
        <v>2407</v>
      </c>
      <c r="AA31" s="123" t="s">
        <v>2406</v>
      </c>
      <c r="AB31" s="123" t="s">
        <v>2372</v>
      </c>
      <c r="AC31" s="123"/>
      <c r="AD31" s="110">
        <f>COUNTIF('KK1. Movies'!AI:AI,'TK 15661.Bản quyền phim '!F31)</f>
        <v>0</v>
      </c>
      <c r="AE31" s="110">
        <f>COUNTIF('KK2. Series'!AM:AM,'TK 15661.Bản quyền phim '!F31)</f>
        <v>0</v>
      </c>
      <c r="AF31" s="110">
        <f>COUNTIF('KK3. Kids'!AF:AF,'TK 15661.Bản quyền phim '!F31)</f>
        <v>0</v>
      </c>
      <c r="AG31" s="110"/>
      <c r="AH31" s="110">
        <f t="shared" si="8"/>
        <v>0</v>
      </c>
    </row>
    <row r="32" spans="1:34" ht="15.6" hidden="1" x14ac:dyDescent="0.3">
      <c r="A32" s="43"/>
      <c r="B32" s="108" t="s">
        <v>3056</v>
      </c>
      <c r="C32" s="94" t="s">
        <v>2493</v>
      </c>
      <c r="D32" s="94" t="s">
        <v>2928</v>
      </c>
      <c r="E32" s="94" t="s">
        <v>2927</v>
      </c>
      <c r="F32" s="94" t="s">
        <v>1858</v>
      </c>
      <c r="G32" s="94" t="s">
        <v>2417</v>
      </c>
      <c r="H32" s="119">
        <v>1</v>
      </c>
      <c r="I32" s="119">
        <v>5</v>
      </c>
      <c r="J32" s="119">
        <f t="shared" si="2"/>
        <v>5</v>
      </c>
      <c r="K32" s="119">
        <v>83672381</v>
      </c>
      <c r="L32" s="119">
        <v>16734476.199999999</v>
      </c>
      <c r="M32" s="119">
        <f t="shared" si="3"/>
        <v>4</v>
      </c>
      <c r="N32" s="119">
        <f t="shared" si="4"/>
        <v>66937904.800000004</v>
      </c>
      <c r="O32" s="120">
        <v>44561</v>
      </c>
      <c r="P32" s="120">
        <v>46203</v>
      </c>
      <c r="Q32" s="119">
        <v>1</v>
      </c>
      <c r="R32" s="121">
        <v>16734476.199999996</v>
      </c>
      <c r="S32" s="119">
        <v>0</v>
      </c>
      <c r="T32" s="121">
        <v>0</v>
      </c>
      <c r="U32" s="119">
        <v>1</v>
      </c>
      <c r="V32" s="121">
        <f t="shared" si="5"/>
        <v>16734476.199999999</v>
      </c>
      <c r="W32" s="119">
        <f t="shared" si="6"/>
        <v>0</v>
      </c>
      <c r="X32" s="121">
        <f t="shared" si="7"/>
        <v>0</v>
      </c>
      <c r="Y32" s="122" t="s">
        <v>2416</v>
      </c>
      <c r="Z32" s="123" t="s">
        <v>2407</v>
      </c>
      <c r="AA32" s="123" t="s">
        <v>2406</v>
      </c>
      <c r="AB32" s="123" t="s">
        <v>2372</v>
      </c>
      <c r="AC32" s="124" t="s">
        <v>12</v>
      </c>
      <c r="AD32" s="110">
        <f>COUNTIF('KK1. Movies'!AI:AI,'TK 15661.Bản quyền phim '!F32)</f>
        <v>1</v>
      </c>
      <c r="AE32" s="110">
        <f>COUNTIF('KK2. Series'!AM:AM,'TK 15661.Bản quyền phim '!F32)</f>
        <v>0</v>
      </c>
      <c r="AF32" s="110">
        <f>COUNTIF('KK3. Kids'!AF:AF,'TK 15661.Bản quyền phim '!F32)</f>
        <v>0</v>
      </c>
      <c r="AG32" s="110"/>
      <c r="AH32" s="110" t="str">
        <f t="shared" si="8"/>
        <v>OK</v>
      </c>
    </row>
    <row r="33" spans="1:34" hidden="1" x14ac:dyDescent="0.2">
      <c r="A33" s="43"/>
      <c r="B33" s="108" t="s">
        <v>3055</v>
      </c>
      <c r="C33" s="94" t="s">
        <v>2493</v>
      </c>
      <c r="D33" s="94" t="s">
        <v>2928</v>
      </c>
      <c r="E33" s="94" t="s">
        <v>2927</v>
      </c>
      <c r="F33" s="94" t="s">
        <v>3054</v>
      </c>
      <c r="G33" s="94" t="s">
        <v>2417</v>
      </c>
      <c r="H33" s="119">
        <v>1</v>
      </c>
      <c r="I33" s="119">
        <v>5</v>
      </c>
      <c r="J33" s="119">
        <f t="shared" si="2"/>
        <v>5</v>
      </c>
      <c r="K33" s="119">
        <v>0</v>
      </c>
      <c r="L33" s="119">
        <v>0</v>
      </c>
      <c r="M33" s="119">
        <f t="shared" si="3"/>
        <v>0</v>
      </c>
      <c r="N33" s="119">
        <f t="shared" si="4"/>
        <v>0</v>
      </c>
      <c r="O33" s="120">
        <v>44559</v>
      </c>
      <c r="P33" s="120">
        <v>46201</v>
      </c>
      <c r="Q33" s="119">
        <v>5</v>
      </c>
      <c r="R33" s="121">
        <v>0</v>
      </c>
      <c r="S33" s="119">
        <v>0</v>
      </c>
      <c r="T33" s="121">
        <v>0</v>
      </c>
      <c r="U33" s="119">
        <v>0</v>
      </c>
      <c r="V33" s="121">
        <f t="shared" si="5"/>
        <v>0</v>
      </c>
      <c r="W33" s="119">
        <f t="shared" si="6"/>
        <v>5</v>
      </c>
      <c r="X33" s="121">
        <f t="shared" si="7"/>
        <v>0</v>
      </c>
      <c r="Y33" s="122" t="s">
        <v>2416</v>
      </c>
      <c r="Z33" s="123" t="s">
        <v>2407</v>
      </c>
      <c r="AA33" s="123" t="s">
        <v>2406</v>
      </c>
      <c r="AB33" s="123" t="s">
        <v>2372</v>
      </c>
      <c r="AC33" s="123"/>
      <c r="AD33" s="110">
        <f>COUNTIF('KK1. Movies'!AI:AI,'TK 15661.Bản quyền phim '!F33)</f>
        <v>0</v>
      </c>
      <c r="AE33" s="110">
        <f>COUNTIF('KK2. Series'!AM:AM,'TK 15661.Bản quyền phim '!F33)</f>
        <v>0</v>
      </c>
      <c r="AF33" s="110">
        <f>COUNTIF('KK3. Kids'!AF:AF,'TK 15661.Bản quyền phim '!F33)</f>
        <v>0</v>
      </c>
      <c r="AG33" s="110"/>
      <c r="AH33" s="110">
        <f t="shared" si="8"/>
        <v>0</v>
      </c>
    </row>
    <row r="34" spans="1:34" hidden="1" x14ac:dyDescent="0.2">
      <c r="A34" s="43"/>
      <c r="B34" s="108" t="s">
        <v>3053</v>
      </c>
      <c r="C34" s="94" t="s">
        <v>2493</v>
      </c>
      <c r="D34" s="94" t="s">
        <v>2928</v>
      </c>
      <c r="E34" s="94" t="s">
        <v>2927</v>
      </c>
      <c r="F34" s="94" t="s">
        <v>3052</v>
      </c>
      <c r="G34" s="94" t="s">
        <v>2417</v>
      </c>
      <c r="H34" s="119">
        <v>1</v>
      </c>
      <c r="I34" s="119">
        <v>5</v>
      </c>
      <c r="J34" s="119">
        <f t="shared" si="2"/>
        <v>5</v>
      </c>
      <c r="K34" s="119">
        <v>83672381</v>
      </c>
      <c r="L34" s="119">
        <v>16734476.199999999</v>
      </c>
      <c r="M34" s="119">
        <f t="shared" si="3"/>
        <v>4</v>
      </c>
      <c r="N34" s="119">
        <f t="shared" si="4"/>
        <v>66937904.800000004</v>
      </c>
      <c r="O34" s="120">
        <v>44503</v>
      </c>
      <c r="P34" s="120">
        <v>46144</v>
      </c>
      <c r="Q34" s="119">
        <v>1</v>
      </c>
      <c r="R34" s="121">
        <v>16734476.199999996</v>
      </c>
      <c r="S34" s="119">
        <v>0</v>
      </c>
      <c r="T34" s="121">
        <v>0</v>
      </c>
      <c r="U34" s="119">
        <v>1</v>
      </c>
      <c r="V34" s="121">
        <f t="shared" si="5"/>
        <v>16734476.199999999</v>
      </c>
      <c r="W34" s="119">
        <f t="shared" si="6"/>
        <v>0</v>
      </c>
      <c r="X34" s="121">
        <f t="shared" si="7"/>
        <v>0</v>
      </c>
      <c r="Y34" s="122" t="s">
        <v>2416</v>
      </c>
      <c r="Z34" s="123" t="s">
        <v>2407</v>
      </c>
      <c r="AA34" s="123" t="s">
        <v>2406</v>
      </c>
      <c r="AB34" s="123" t="s">
        <v>2372</v>
      </c>
      <c r="AC34" s="123"/>
      <c r="AD34" s="110">
        <f>COUNTIF('KK1. Movies'!AI:AI,'TK 15661.Bản quyền phim '!F34)</f>
        <v>0</v>
      </c>
      <c r="AE34" s="110">
        <f>COUNTIF('KK2. Series'!AM:AM,'TK 15661.Bản quyền phim '!F34)</f>
        <v>0</v>
      </c>
      <c r="AF34" s="110">
        <f>COUNTIF('KK3. Kids'!AF:AF,'TK 15661.Bản quyền phim '!F34)</f>
        <v>0</v>
      </c>
      <c r="AG34" s="110"/>
      <c r="AH34" s="110">
        <f t="shared" si="8"/>
        <v>0</v>
      </c>
    </row>
    <row r="35" spans="1:34" ht="15.6" hidden="1" x14ac:dyDescent="0.3">
      <c r="A35" s="43"/>
      <c r="B35" s="108" t="s">
        <v>3051</v>
      </c>
      <c r="C35" s="94" t="s">
        <v>2493</v>
      </c>
      <c r="D35" s="94" t="s">
        <v>2928</v>
      </c>
      <c r="E35" s="94" t="s">
        <v>2927</v>
      </c>
      <c r="F35" s="94" t="s">
        <v>1672</v>
      </c>
      <c r="G35" s="94" t="s">
        <v>2417</v>
      </c>
      <c r="H35" s="119">
        <v>1</v>
      </c>
      <c r="I35" s="119">
        <v>5</v>
      </c>
      <c r="J35" s="119">
        <f t="shared" si="2"/>
        <v>5</v>
      </c>
      <c r="K35" s="119">
        <v>83672381</v>
      </c>
      <c r="L35" s="119">
        <v>16734476.199999999</v>
      </c>
      <c r="M35" s="119">
        <f t="shared" si="3"/>
        <v>4</v>
      </c>
      <c r="N35" s="119">
        <f t="shared" si="4"/>
        <v>66937904.800000004</v>
      </c>
      <c r="O35" s="120">
        <v>44559</v>
      </c>
      <c r="P35" s="120">
        <v>46201</v>
      </c>
      <c r="Q35" s="119">
        <v>1</v>
      </c>
      <c r="R35" s="121">
        <v>16734476.199999996</v>
      </c>
      <c r="S35" s="119">
        <v>0</v>
      </c>
      <c r="T35" s="121">
        <v>0</v>
      </c>
      <c r="U35" s="119">
        <v>1</v>
      </c>
      <c r="V35" s="121">
        <f t="shared" si="5"/>
        <v>16734476.199999999</v>
      </c>
      <c r="W35" s="119">
        <f t="shared" si="6"/>
        <v>0</v>
      </c>
      <c r="X35" s="121">
        <f t="shared" si="7"/>
        <v>0</v>
      </c>
      <c r="Y35" s="122" t="s">
        <v>2416</v>
      </c>
      <c r="Z35" s="123" t="s">
        <v>2407</v>
      </c>
      <c r="AA35" s="123" t="s">
        <v>2406</v>
      </c>
      <c r="AB35" s="123" t="s">
        <v>2372</v>
      </c>
      <c r="AC35" s="124" t="s">
        <v>12</v>
      </c>
      <c r="AD35" s="110">
        <f>COUNTIF('KK1. Movies'!AI:AI,'TK 15661.Bản quyền phim '!F35)</f>
        <v>1</v>
      </c>
      <c r="AE35" s="110">
        <f>COUNTIF('KK2. Series'!AM:AM,'TK 15661.Bản quyền phim '!F35)</f>
        <v>0</v>
      </c>
      <c r="AF35" s="110">
        <f>COUNTIF('KK3. Kids'!AF:AF,'TK 15661.Bản quyền phim '!F35)</f>
        <v>0</v>
      </c>
      <c r="AG35" s="110"/>
      <c r="AH35" s="110" t="str">
        <f t="shared" si="8"/>
        <v>OK</v>
      </c>
    </row>
    <row r="36" spans="1:34" ht="15.6" hidden="1" x14ac:dyDescent="0.3">
      <c r="A36" s="43"/>
      <c r="B36" s="108" t="s">
        <v>3050</v>
      </c>
      <c r="C36" s="94" t="s">
        <v>2493</v>
      </c>
      <c r="D36" s="94" t="s">
        <v>2604</v>
      </c>
      <c r="E36" s="94" t="s">
        <v>2603</v>
      </c>
      <c r="F36" s="94" t="s">
        <v>1978</v>
      </c>
      <c r="G36" s="94" t="s">
        <v>2417</v>
      </c>
      <c r="H36" s="119">
        <v>1</v>
      </c>
      <c r="I36" s="119">
        <v>4</v>
      </c>
      <c r="J36" s="119">
        <f t="shared" si="2"/>
        <v>4</v>
      </c>
      <c r="K36" s="119">
        <v>130571429</v>
      </c>
      <c r="L36" s="119">
        <v>32642857.25</v>
      </c>
      <c r="M36" s="119">
        <f t="shared" si="3"/>
        <v>3</v>
      </c>
      <c r="N36" s="119">
        <f t="shared" si="4"/>
        <v>97928571.75</v>
      </c>
      <c r="O36" s="120">
        <v>44563</v>
      </c>
      <c r="P36" s="120">
        <v>46023</v>
      </c>
      <c r="Q36" s="119">
        <v>1</v>
      </c>
      <c r="R36" s="121">
        <v>32642857.25</v>
      </c>
      <c r="S36" s="119">
        <v>0</v>
      </c>
      <c r="T36" s="121">
        <v>0</v>
      </c>
      <c r="U36" s="119">
        <v>1</v>
      </c>
      <c r="V36" s="121">
        <f t="shared" si="5"/>
        <v>32642857.25</v>
      </c>
      <c r="W36" s="119">
        <f t="shared" si="6"/>
        <v>0</v>
      </c>
      <c r="X36" s="121">
        <f t="shared" si="7"/>
        <v>0</v>
      </c>
      <c r="Y36" s="122" t="s">
        <v>2416</v>
      </c>
      <c r="Z36" s="123" t="s">
        <v>2407</v>
      </c>
      <c r="AA36" s="123" t="s">
        <v>2406</v>
      </c>
      <c r="AB36" s="123" t="s">
        <v>2372</v>
      </c>
      <c r="AC36" s="124" t="s">
        <v>12</v>
      </c>
      <c r="AD36" s="110">
        <f>COUNTIF('KK1. Movies'!AI:AI,'TK 15661.Bản quyền phim '!F36)</f>
        <v>1</v>
      </c>
      <c r="AE36" s="110">
        <f>COUNTIF('KK2. Series'!AM:AM,'TK 15661.Bản quyền phim '!F36)</f>
        <v>0</v>
      </c>
      <c r="AF36" s="110">
        <f>COUNTIF('KK3. Kids'!AF:AF,'TK 15661.Bản quyền phim '!F36)</f>
        <v>0</v>
      </c>
      <c r="AG36" s="110"/>
      <c r="AH36" s="110" t="str">
        <f t="shared" si="8"/>
        <v>OK</v>
      </c>
    </row>
    <row r="37" spans="1:34" ht="15.6" hidden="1" x14ac:dyDescent="0.3">
      <c r="A37" s="43"/>
      <c r="B37" s="108" t="s">
        <v>3049</v>
      </c>
      <c r="C37" s="94" t="s">
        <v>2493</v>
      </c>
      <c r="D37" s="94" t="s">
        <v>2604</v>
      </c>
      <c r="E37" s="94" t="s">
        <v>2603</v>
      </c>
      <c r="F37" s="94" t="s">
        <v>2007</v>
      </c>
      <c r="G37" s="94" t="s">
        <v>2417</v>
      </c>
      <c r="H37" s="119">
        <v>1</v>
      </c>
      <c r="I37" s="119">
        <v>4</v>
      </c>
      <c r="J37" s="119">
        <f t="shared" si="2"/>
        <v>4</v>
      </c>
      <c r="K37" s="119">
        <v>119690476</v>
      </c>
      <c r="L37" s="119">
        <v>29922619</v>
      </c>
      <c r="M37" s="119">
        <f t="shared" si="3"/>
        <v>3</v>
      </c>
      <c r="N37" s="119">
        <f t="shared" si="4"/>
        <v>89767857</v>
      </c>
      <c r="O37" s="120">
        <v>44567</v>
      </c>
      <c r="P37" s="120">
        <v>46058</v>
      </c>
      <c r="Q37" s="119">
        <v>1</v>
      </c>
      <c r="R37" s="121">
        <v>29922619</v>
      </c>
      <c r="S37" s="119">
        <v>0</v>
      </c>
      <c r="T37" s="121">
        <v>0</v>
      </c>
      <c r="U37" s="119">
        <v>1</v>
      </c>
      <c r="V37" s="121">
        <f t="shared" si="5"/>
        <v>29922619</v>
      </c>
      <c r="W37" s="119">
        <f t="shared" si="6"/>
        <v>0</v>
      </c>
      <c r="X37" s="121">
        <f t="shared" si="7"/>
        <v>0</v>
      </c>
      <c r="Y37" s="122" t="s">
        <v>2416</v>
      </c>
      <c r="Z37" s="123" t="s">
        <v>2407</v>
      </c>
      <c r="AA37" s="123" t="s">
        <v>2406</v>
      </c>
      <c r="AB37" s="123" t="s">
        <v>2372</v>
      </c>
      <c r="AC37" s="124" t="s">
        <v>12</v>
      </c>
      <c r="AD37" s="110">
        <f>COUNTIF('KK1. Movies'!AI:AI,'TK 15661.Bản quyền phim '!F37)</f>
        <v>1</v>
      </c>
      <c r="AE37" s="110">
        <f>COUNTIF('KK2. Series'!AM:AM,'TK 15661.Bản quyền phim '!F37)</f>
        <v>0</v>
      </c>
      <c r="AF37" s="110">
        <f>COUNTIF('KK3. Kids'!AF:AF,'TK 15661.Bản quyền phim '!F37)</f>
        <v>0</v>
      </c>
      <c r="AG37" s="110"/>
      <c r="AH37" s="110" t="str">
        <f t="shared" si="8"/>
        <v>OK</v>
      </c>
    </row>
    <row r="38" spans="1:34" ht="15.6" hidden="1" x14ac:dyDescent="0.3">
      <c r="A38" s="43"/>
      <c r="B38" s="108" t="s">
        <v>3048</v>
      </c>
      <c r="C38" s="94" t="s">
        <v>2493</v>
      </c>
      <c r="D38" s="94" t="s">
        <v>2604</v>
      </c>
      <c r="E38" s="94" t="s">
        <v>2603</v>
      </c>
      <c r="F38" s="94" t="s">
        <v>1793</v>
      </c>
      <c r="G38" s="94" t="s">
        <v>2417</v>
      </c>
      <c r="H38" s="119">
        <v>1</v>
      </c>
      <c r="I38" s="119">
        <v>4</v>
      </c>
      <c r="J38" s="119">
        <f t="shared" si="2"/>
        <v>4</v>
      </c>
      <c r="K38" s="119">
        <v>130571429</v>
      </c>
      <c r="L38" s="119">
        <v>32642857.25</v>
      </c>
      <c r="M38" s="119">
        <f t="shared" si="3"/>
        <v>3</v>
      </c>
      <c r="N38" s="119">
        <f t="shared" si="4"/>
        <v>97928571.75</v>
      </c>
      <c r="O38" s="120">
        <v>44748</v>
      </c>
      <c r="P38" s="120">
        <v>46208</v>
      </c>
      <c r="Q38" s="119">
        <v>1</v>
      </c>
      <c r="R38" s="121">
        <v>32642857.25</v>
      </c>
      <c r="S38" s="119">
        <v>0</v>
      </c>
      <c r="T38" s="121">
        <v>0</v>
      </c>
      <c r="U38" s="119">
        <v>1</v>
      </c>
      <c r="V38" s="121">
        <f t="shared" si="5"/>
        <v>32642857.25</v>
      </c>
      <c r="W38" s="119">
        <f t="shared" si="6"/>
        <v>0</v>
      </c>
      <c r="X38" s="121">
        <f t="shared" si="7"/>
        <v>0</v>
      </c>
      <c r="Y38" s="122" t="s">
        <v>2416</v>
      </c>
      <c r="Z38" s="123" t="s">
        <v>2407</v>
      </c>
      <c r="AA38" s="123" t="s">
        <v>2406</v>
      </c>
      <c r="AB38" s="123" t="s">
        <v>2372</v>
      </c>
      <c r="AC38" s="124" t="s">
        <v>12</v>
      </c>
      <c r="AD38" s="110">
        <f>COUNTIF('KK1. Movies'!AI:AI,'TK 15661.Bản quyền phim '!F38)</f>
        <v>1</v>
      </c>
      <c r="AE38" s="110">
        <f>COUNTIF('KK2. Series'!AM:AM,'TK 15661.Bản quyền phim '!F38)</f>
        <v>0</v>
      </c>
      <c r="AF38" s="110">
        <f>COUNTIF('KK3. Kids'!AF:AF,'TK 15661.Bản quyền phim '!F38)</f>
        <v>0</v>
      </c>
      <c r="AG38" s="110"/>
      <c r="AH38" s="110" t="str">
        <f t="shared" si="8"/>
        <v>OK</v>
      </c>
    </row>
    <row r="39" spans="1:34" ht="15.6" hidden="1" x14ac:dyDescent="0.3">
      <c r="A39" s="43"/>
      <c r="B39" s="108" t="s">
        <v>3047</v>
      </c>
      <c r="C39" s="94" t="s">
        <v>2493</v>
      </c>
      <c r="D39" s="94" t="s">
        <v>2604</v>
      </c>
      <c r="E39" s="94" t="s">
        <v>2603</v>
      </c>
      <c r="F39" s="94" t="s">
        <v>2197</v>
      </c>
      <c r="G39" s="94" t="s">
        <v>2417</v>
      </c>
      <c r="H39" s="119">
        <v>1</v>
      </c>
      <c r="I39" s="119">
        <v>4</v>
      </c>
      <c r="J39" s="119">
        <f t="shared" si="2"/>
        <v>4</v>
      </c>
      <c r="K39" s="119">
        <v>108809524</v>
      </c>
      <c r="L39" s="119">
        <v>27202381</v>
      </c>
      <c r="M39" s="119">
        <f t="shared" si="3"/>
        <v>3</v>
      </c>
      <c r="N39" s="119">
        <f t="shared" si="4"/>
        <v>81607143</v>
      </c>
      <c r="O39" s="120">
        <v>44755</v>
      </c>
      <c r="P39" s="120">
        <v>46215</v>
      </c>
      <c r="Q39" s="119">
        <v>1</v>
      </c>
      <c r="R39" s="121">
        <v>27202381</v>
      </c>
      <c r="S39" s="119">
        <v>0</v>
      </c>
      <c r="T39" s="121">
        <v>0</v>
      </c>
      <c r="U39" s="119">
        <v>1</v>
      </c>
      <c r="V39" s="121">
        <f t="shared" si="5"/>
        <v>27202381</v>
      </c>
      <c r="W39" s="119">
        <f t="shared" si="6"/>
        <v>0</v>
      </c>
      <c r="X39" s="121">
        <f t="shared" si="7"/>
        <v>0</v>
      </c>
      <c r="Y39" s="122" t="s">
        <v>2416</v>
      </c>
      <c r="Z39" s="123" t="s">
        <v>2407</v>
      </c>
      <c r="AA39" s="123" t="s">
        <v>2406</v>
      </c>
      <c r="AB39" s="123" t="s">
        <v>2372</v>
      </c>
      <c r="AC39" s="124" t="s">
        <v>12</v>
      </c>
      <c r="AD39" s="110">
        <f>COUNTIF('KK1. Movies'!AI:AI,'TK 15661.Bản quyền phim '!F39)</f>
        <v>1</v>
      </c>
      <c r="AE39" s="110">
        <f>COUNTIF('KK2. Series'!AM:AM,'TK 15661.Bản quyền phim '!F39)</f>
        <v>0</v>
      </c>
      <c r="AF39" s="110">
        <f>COUNTIF('KK3. Kids'!AF:AF,'TK 15661.Bản quyền phim '!F39)</f>
        <v>0</v>
      </c>
      <c r="AG39" s="110"/>
      <c r="AH39" s="110" t="str">
        <f t="shared" si="8"/>
        <v>OK</v>
      </c>
    </row>
    <row r="40" spans="1:34" ht="15.6" hidden="1" x14ac:dyDescent="0.3">
      <c r="A40" s="43"/>
      <c r="B40" s="108" t="s">
        <v>3046</v>
      </c>
      <c r="C40" s="94" t="s">
        <v>2493</v>
      </c>
      <c r="D40" s="94" t="s">
        <v>2604</v>
      </c>
      <c r="E40" s="94" t="s">
        <v>2603</v>
      </c>
      <c r="F40" s="94" t="s">
        <v>1638</v>
      </c>
      <c r="G40" s="94" t="s">
        <v>2417</v>
      </c>
      <c r="H40" s="119">
        <v>1</v>
      </c>
      <c r="I40" s="119">
        <v>4</v>
      </c>
      <c r="J40" s="119">
        <f t="shared" si="2"/>
        <v>4</v>
      </c>
      <c r="K40" s="119">
        <v>130571429</v>
      </c>
      <c r="L40" s="119">
        <v>32642857.25</v>
      </c>
      <c r="M40" s="119">
        <f t="shared" si="3"/>
        <v>3</v>
      </c>
      <c r="N40" s="119">
        <f t="shared" si="4"/>
        <v>97928571.75</v>
      </c>
      <c r="O40" s="120">
        <v>44792</v>
      </c>
      <c r="P40" s="120">
        <v>46344</v>
      </c>
      <c r="Q40" s="119">
        <v>1</v>
      </c>
      <c r="R40" s="121">
        <v>32642857.25</v>
      </c>
      <c r="S40" s="119">
        <v>0</v>
      </c>
      <c r="T40" s="121">
        <v>0</v>
      </c>
      <c r="U40" s="119">
        <v>1</v>
      </c>
      <c r="V40" s="121">
        <f t="shared" si="5"/>
        <v>32642857.25</v>
      </c>
      <c r="W40" s="119">
        <f t="shared" si="6"/>
        <v>0</v>
      </c>
      <c r="X40" s="121">
        <f t="shared" si="7"/>
        <v>0</v>
      </c>
      <c r="Y40" s="122" t="s">
        <v>2416</v>
      </c>
      <c r="Z40" s="123" t="s">
        <v>2407</v>
      </c>
      <c r="AA40" s="123" t="s">
        <v>2406</v>
      </c>
      <c r="AB40" s="123" t="s">
        <v>2372</v>
      </c>
      <c r="AC40" s="124" t="s">
        <v>12</v>
      </c>
      <c r="AD40" s="110">
        <f>COUNTIF('KK1. Movies'!AI:AI,'TK 15661.Bản quyền phim '!F40)</f>
        <v>1</v>
      </c>
      <c r="AE40" s="110">
        <f>COUNTIF('KK2. Series'!AM:AM,'TK 15661.Bản quyền phim '!F40)</f>
        <v>0</v>
      </c>
      <c r="AF40" s="110">
        <f>COUNTIF('KK3. Kids'!AF:AF,'TK 15661.Bản quyền phim '!F40)</f>
        <v>0</v>
      </c>
      <c r="AG40" s="110"/>
      <c r="AH40" s="110" t="str">
        <f t="shared" si="8"/>
        <v>OK</v>
      </c>
    </row>
    <row r="41" spans="1:34" ht="15.6" hidden="1" x14ac:dyDescent="0.3">
      <c r="A41" s="47">
        <f>+U41-H41</f>
        <v>0</v>
      </c>
      <c r="B41" s="108" t="s">
        <v>3045</v>
      </c>
      <c r="C41" s="94" t="s">
        <v>2412</v>
      </c>
      <c r="D41" s="94" t="s">
        <v>2570</v>
      </c>
      <c r="E41" s="94" t="s">
        <v>2569</v>
      </c>
      <c r="F41" s="94" t="s">
        <v>999</v>
      </c>
      <c r="G41" s="94" t="s">
        <v>2428</v>
      </c>
      <c r="H41" s="119">
        <v>39</v>
      </c>
      <c r="I41" s="119">
        <v>4</v>
      </c>
      <c r="J41" s="119">
        <f t="shared" si="2"/>
        <v>156</v>
      </c>
      <c r="K41" s="119">
        <v>2280380960</v>
      </c>
      <c r="L41" s="119">
        <v>14617826.666666666</v>
      </c>
      <c r="M41" s="119">
        <f t="shared" si="3"/>
        <v>117</v>
      </c>
      <c r="N41" s="119">
        <f t="shared" si="4"/>
        <v>1710285720</v>
      </c>
      <c r="O41" s="120">
        <v>44638</v>
      </c>
      <c r="P41" s="120">
        <v>46098</v>
      </c>
      <c r="Q41" s="119">
        <v>39</v>
      </c>
      <c r="R41" s="121">
        <v>570095240</v>
      </c>
      <c r="S41" s="119">
        <v>0</v>
      </c>
      <c r="T41" s="121">
        <v>0</v>
      </c>
      <c r="U41" s="119">
        <v>39</v>
      </c>
      <c r="V41" s="121">
        <f t="shared" si="5"/>
        <v>570095240</v>
      </c>
      <c r="W41" s="119">
        <f t="shared" si="6"/>
        <v>0</v>
      </c>
      <c r="X41" s="121">
        <f t="shared" si="7"/>
        <v>0</v>
      </c>
      <c r="Y41" s="122" t="s">
        <v>2427</v>
      </c>
      <c r="Z41" s="123" t="s">
        <v>2407</v>
      </c>
      <c r="AA41" s="123" t="s">
        <v>2406</v>
      </c>
      <c r="AB41" s="123" t="s">
        <v>2372</v>
      </c>
      <c r="AC41" s="124" t="s">
        <v>10</v>
      </c>
      <c r="AD41" s="110">
        <f>COUNTIF('KK1. Movies'!AI:AI,'TK 15661.Bản quyền phim '!F41)</f>
        <v>0</v>
      </c>
      <c r="AE41" s="110">
        <f>COUNTIF('KK2. Series'!AM:AM,'TK 15661.Bản quyền phim '!F41)</f>
        <v>1</v>
      </c>
      <c r="AF41" s="110">
        <f>COUNTIF('KK3. Kids'!AF:AF,'TK 15661.Bản quyền phim '!F41)</f>
        <v>0</v>
      </c>
      <c r="AG41" s="110"/>
      <c r="AH41" s="110" t="str">
        <f t="shared" si="8"/>
        <v>OK</v>
      </c>
    </row>
    <row r="42" spans="1:34" hidden="1" x14ac:dyDescent="0.2">
      <c r="A42" s="47">
        <f>(U42-H42)*L42</f>
        <v>-411840000</v>
      </c>
      <c r="B42" s="108" t="s">
        <v>3044</v>
      </c>
      <c r="C42" s="94" t="s">
        <v>2412</v>
      </c>
      <c r="D42" s="94" t="s">
        <v>2570</v>
      </c>
      <c r="E42" s="94" t="s">
        <v>2569</v>
      </c>
      <c r="F42" s="94" t="s">
        <v>3043</v>
      </c>
      <c r="G42" s="94" t="s">
        <v>2428</v>
      </c>
      <c r="H42" s="119">
        <v>40</v>
      </c>
      <c r="I42" s="119">
        <v>4</v>
      </c>
      <c r="J42" s="119">
        <f t="shared" si="2"/>
        <v>160</v>
      </c>
      <c r="K42" s="119">
        <v>1647360000</v>
      </c>
      <c r="L42" s="119">
        <v>10296000</v>
      </c>
      <c r="M42" s="119">
        <f t="shared" si="3"/>
        <v>120</v>
      </c>
      <c r="N42" s="119">
        <f t="shared" si="4"/>
        <v>1235520000</v>
      </c>
      <c r="O42" s="120">
        <v>44642</v>
      </c>
      <c r="P42" s="120">
        <v>46102</v>
      </c>
      <c r="Q42" s="119">
        <v>40</v>
      </c>
      <c r="R42" s="121">
        <v>411840000</v>
      </c>
      <c r="S42" s="119">
        <v>0</v>
      </c>
      <c r="T42" s="121">
        <v>0</v>
      </c>
      <c r="U42" s="119">
        <v>0</v>
      </c>
      <c r="V42" s="121">
        <f t="shared" si="5"/>
        <v>0</v>
      </c>
      <c r="W42" s="119">
        <f t="shared" si="6"/>
        <v>40</v>
      </c>
      <c r="X42" s="121">
        <f t="shared" si="7"/>
        <v>411840000</v>
      </c>
      <c r="Y42" s="122" t="s">
        <v>2427</v>
      </c>
      <c r="Z42" s="123" t="s">
        <v>2407</v>
      </c>
      <c r="AA42" s="123" t="s">
        <v>2406</v>
      </c>
      <c r="AB42" s="123" t="s">
        <v>2372</v>
      </c>
      <c r="AC42" s="123"/>
      <c r="AD42" s="110">
        <f>COUNTIF('KK1. Movies'!AI:AI,'TK 15661.Bản quyền phim '!F42)</f>
        <v>0</v>
      </c>
      <c r="AE42" s="110">
        <f>COUNTIF('KK2. Series'!AM:AM,'TK 15661.Bản quyền phim '!F42)</f>
        <v>0</v>
      </c>
      <c r="AF42" s="110">
        <f>COUNTIF('KK3. Kids'!AF:AF,'TK 15661.Bản quyền phim '!F42)</f>
        <v>0</v>
      </c>
      <c r="AG42" s="110"/>
      <c r="AH42" s="110">
        <f t="shared" si="8"/>
        <v>0</v>
      </c>
    </row>
    <row r="43" spans="1:34" ht="15.6" hidden="1" x14ac:dyDescent="0.3">
      <c r="A43" s="43"/>
      <c r="B43" s="108" t="s">
        <v>3042</v>
      </c>
      <c r="C43" s="94" t="s">
        <v>2493</v>
      </c>
      <c r="D43" s="94" t="s">
        <v>3041</v>
      </c>
      <c r="E43" s="94" t="s">
        <v>3040</v>
      </c>
      <c r="F43" s="94" t="s">
        <v>1393</v>
      </c>
      <c r="G43" s="94" t="s">
        <v>2490</v>
      </c>
      <c r="H43" s="119">
        <v>1</v>
      </c>
      <c r="I43" s="119">
        <v>5</v>
      </c>
      <c r="J43" s="119">
        <f t="shared" si="2"/>
        <v>5</v>
      </c>
      <c r="K43" s="119">
        <v>547619048</v>
      </c>
      <c r="L43" s="119">
        <v>109523809.59999999</v>
      </c>
      <c r="M43" s="119">
        <f t="shared" si="3"/>
        <v>3</v>
      </c>
      <c r="N43" s="119">
        <f t="shared" si="4"/>
        <v>328571428.80000007</v>
      </c>
      <c r="O43" s="120">
        <v>44708</v>
      </c>
      <c r="P43" s="120">
        <v>46533</v>
      </c>
      <c r="Q43" s="119">
        <v>2</v>
      </c>
      <c r="R43" s="121">
        <v>219047619.19999996</v>
      </c>
      <c r="S43" s="119">
        <v>0</v>
      </c>
      <c r="T43" s="121">
        <v>0</v>
      </c>
      <c r="U43" s="119">
        <v>1</v>
      </c>
      <c r="V43" s="121">
        <f t="shared" si="5"/>
        <v>109523809.59999999</v>
      </c>
      <c r="W43" s="119">
        <f t="shared" si="6"/>
        <v>1</v>
      </c>
      <c r="X43" s="121">
        <f t="shared" si="7"/>
        <v>109523809.59999996</v>
      </c>
      <c r="Y43" s="122" t="s">
        <v>2489</v>
      </c>
      <c r="Z43" s="123" t="s">
        <v>2407</v>
      </c>
      <c r="AA43" s="123" t="s">
        <v>2406</v>
      </c>
      <c r="AB43" s="123" t="s">
        <v>2372</v>
      </c>
      <c r="AC43" s="124" t="s">
        <v>12</v>
      </c>
      <c r="AD43" s="110">
        <f>COUNTIF('KK1. Movies'!AI:AI,'TK 15661.Bản quyền phim '!F43)</f>
        <v>1</v>
      </c>
      <c r="AE43" s="110">
        <f>COUNTIF('KK2. Series'!AM:AM,'TK 15661.Bản quyền phim '!F43)</f>
        <v>0</v>
      </c>
      <c r="AF43" s="110">
        <f>COUNTIF('KK3. Kids'!AF:AF,'TK 15661.Bản quyền phim '!F43)</f>
        <v>0</v>
      </c>
      <c r="AG43" s="110"/>
      <c r="AH43" s="110" t="str">
        <f t="shared" si="8"/>
        <v>OK</v>
      </c>
    </row>
    <row r="44" spans="1:34" ht="15.6" hidden="1" x14ac:dyDescent="0.3">
      <c r="A44" s="43"/>
      <c r="B44" s="108" t="s">
        <v>3039</v>
      </c>
      <c r="C44" s="94" t="s">
        <v>2493</v>
      </c>
      <c r="D44" s="94" t="s">
        <v>2604</v>
      </c>
      <c r="E44" s="94" t="s">
        <v>2603</v>
      </c>
      <c r="F44" s="94" t="s">
        <v>1852</v>
      </c>
      <c r="G44" s="94" t="s">
        <v>2490</v>
      </c>
      <c r="H44" s="119">
        <v>1</v>
      </c>
      <c r="I44" s="119">
        <v>5</v>
      </c>
      <c r="J44" s="119">
        <f t="shared" si="2"/>
        <v>5</v>
      </c>
      <c r="K44" s="119">
        <v>544047619</v>
      </c>
      <c r="L44" s="119">
        <v>108809523.8</v>
      </c>
      <c r="M44" s="119">
        <f t="shared" si="3"/>
        <v>3</v>
      </c>
      <c r="N44" s="119">
        <f t="shared" si="4"/>
        <v>326428571.40000004</v>
      </c>
      <c r="O44" s="120">
        <v>44885</v>
      </c>
      <c r="P44" s="120">
        <v>46345</v>
      </c>
      <c r="Q44" s="119">
        <v>2</v>
      </c>
      <c r="R44" s="121">
        <v>217619047.59999996</v>
      </c>
      <c r="S44" s="119">
        <v>0</v>
      </c>
      <c r="T44" s="121">
        <v>0</v>
      </c>
      <c r="U44" s="119">
        <v>1</v>
      </c>
      <c r="V44" s="121">
        <f t="shared" si="5"/>
        <v>108809523.8</v>
      </c>
      <c r="W44" s="119">
        <f t="shared" si="6"/>
        <v>1</v>
      </c>
      <c r="X44" s="121">
        <f t="shared" si="7"/>
        <v>108809523.79999997</v>
      </c>
      <c r="Y44" s="122" t="s">
        <v>2489</v>
      </c>
      <c r="Z44" s="123" t="s">
        <v>2407</v>
      </c>
      <c r="AA44" s="123" t="s">
        <v>2406</v>
      </c>
      <c r="AB44" s="123" t="s">
        <v>2372</v>
      </c>
      <c r="AC44" s="124" t="s">
        <v>12</v>
      </c>
      <c r="AD44" s="110">
        <f>COUNTIF('KK1. Movies'!AI:AI,'TK 15661.Bản quyền phim '!F44)</f>
        <v>1</v>
      </c>
      <c r="AE44" s="110">
        <f>COUNTIF('KK2. Series'!AM:AM,'TK 15661.Bản quyền phim '!F44)</f>
        <v>0</v>
      </c>
      <c r="AF44" s="110">
        <f>COUNTIF('KK3. Kids'!AF:AF,'TK 15661.Bản quyền phim '!F44)</f>
        <v>0</v>
      </c>
      <c r="AG44" s="110"/>
      <c r="AH44" s="110" t="str">
        <f t="shared" si="8"/>
        <v>OK</v>
      </c>
    </row>
    <row r="45" spans="1:34" ht="15.6" hidden="1" x14ac:dyDescent="0.3">
      <c r="A45" s="49"/>
      <c r="B45" s="108" t="s">
        <v>3038</v>
      </c>
      <c r="C45" s="94" t="s">
        <v>2493</v>
      </c>
      <c r="D45" s="94" t="s">
        <v>2928</v>
      </c>
      <c r="E45" s="94" t="s">
        <v>2927</v>
      </c>
      <c r="F45" s="94" t="s">
        <v>2192</v>
      </c>
      <c r="G45" s="94" t="s">
        <v>2409</v>
      </c>
      <c r="H45" s="119">
        <v>1</v>
      </c>
      <c r="I45" s="119">
        <v>4</v>
      </c>
      <c r="J45" s="119">
        <f t="shared" si="2"/>
        <v>4</v>
      </c>
      <c r="K45" s="119">
        <v>44247619</v>
      </c>
      <c r="L45" s="119">
        <v>11061904.75</v>
      </c>
      <c r="M45" s="119">
        <f t="shared" si="3"/>
        <v>3</v>
      </c>
      <c r="N45" s="119">
        <f t="shared" si="4"/>
        <v>33185714.25</v>
      </c>
      <c r="O45" s="120">
        <v>44730</v>
      </c>
      <c r="P45" s="120">
        <v>46190</v>
      </c>
      <c r="Q45" s="119">
        <v>1</v>
      </c>
      <c r="R45" s="121">
        <v>11061904.75</v>
      </c>
      <c r="S45" s="119">
        <v>0</v>
      </c>
      <c r="T45" s="121">
        <v>0</v>
      </c>
      <c r="U45" s="119">
        <v>1</v>
      </c>
      <c r="V45" s="121">
        <f t="shared" si="5"/>
        <v>11061904.75</v>
      </c>
      <c r="W45" s="119">
        <f t="shared" si="6"/>
        <v>0</v>
      </c>
      <c r="X45" s="121">
        <f t="shared" si="7"/>
        <v>0</v>
      </c>
      <c r="Y45" s="122" t="s">
        <v>2408</v>
      </c>
      <c r="Z45" s="123" t="s">
        <v>2407</v>
      </c>
      <c r="AA45" s="123" t="s">
        <v>2406</v>
      </c>
      <c r="AB45" s="123" t="s">
        <v>2372</v>
      </c>
      <c r="AC45" s="124" t="s">
        <v>12</v>
      </c>
      <c r="AD45" s="110">
        <f>COUNTIF('KK1. Movies'!AI:AI,'TK 15661.Bản quyền phim '!F45)</f>
        <v>1</v>
      </c>
      <c r="AE45" s="110">
        <f>COUNTIF('KK2. Series'!AM:AM,'TK 15661.Bản quyền phim '!F45)</f>
        <v>0</v>
      </c>
      <c r="AF45" s="110">
        <f>COUNTIF('KK3. Kids'!AF:AF,'TK 15661.Bản quyền phim '!F45)</f>
        <v>0</v>
      </c>
      <c r="AG45" s="110"/>
      <c r="AH45" s="110" t="str">
        <f t="shared" si="8"/>
        <v>OK</v>
      </c>
    </row>
    <row r="46" spans="1:34" ht="15.6" hidden="1" x14ac:dyDescent="0.3">
      <c r="A46" s="49"/>
      <c r="B46" s="108" t="s">
        <v>3037</v>
      </c>
      <c r="C46" s="94" t="s">
        <v>2493</v>
      </c>
      <c r="D46" s="94" t="s">
        <v>2928</v>
      </c>
      <c r="E46" s="94" t="s">
        <v>2927</v>
      </c>
      <c r="F46" s="94" t="s">
        <v>1882</v>
      </c>
      <c r="G46" s="94" t="s">
        <v>2409</v>
      </c>
      <c r="H46" s="119">
        <v>1</v>
      </c>
      <c r="I46" s="119">
        <v>4</v>
      </c>
      <c r="J46" s="119">
        <f t="shared" si="2"/>
        <v>4</v>
      </c>
      <c r="K46" s="119">
        <v>44247619</v>
      </c>
      <c r="L46" s="119">
        <v>11061904.75</v>
      </c>
      <c r="M46" s="119">
        <f t="shared" si="3"/>
        <v>3</v>
      </c>
      <c r="N46" s="119">
        <f t="shared" si="4"/>
        <v>33185714.25</v>
      </c>
      <c r="O46" s="120">
        <v>44737</v>
      </c>
      <c r="P46" s="120">
        <v>46197</v>
      </c>
      <c r="Q46" s="119">
        <v>1</v>
      </c>
      <c r="R46" s="121">
        <v>11061904.75</v>
      </c>
      <c r="S46" s="119">
        <v>0</v>
      </c>
      <c r="T46" s="121">
        <v>0</v>
      </c>
      <c r="U46" s="119">
        <v>1</v>
      </c>
      <c r="V46" s="121">
        <f t="shared" si="5"/>
        <v>11061904.75</v>
      </c>
      <c r="W46" s="119">
        <f t="shared" si="6"/>
        <v>0</v>
      </c>
      <c r="X46" s="121">
        <f t="shared" si="7"/>
        <v>0</v>
      </c>
      <c r="Y46" s="122" t="s">
        <v>2408</v>
      </c>
      <c r="Z46" s="123" t="s">
        <v>2407</v>
      </c>
      <c r="AA46" s="123" t="s">
        <v>2406</v>
      </c>
      <c r="AB46" s="123" t="s">
        <v>2372</v>
      </c>
      <c r="AC46" s="124" t="s">
        <v>12</v>
      </c>
      <c r="AD46" s="110">
        <f>COUNTIF('KK1. Movies'!AI:AI,'TK 15661.Bản quyền phim '!F46)</f>
        <v>1</v>
      </c>
      <c r="AE46" s="110">
        <f>COUNTIF('KK2. Series'!AM:AM,'TK 15661.Bản quyền phim '!F46)</f>
        <v>0</v>
      </c>
      <c r="AF46" s="110">
        <f>COUNTIF('KK3. Kids'!AF:AF,'TK 15661.Bản quyền phim '!F46)</f>
        <v>0</v>
      </c>
      <c r="AG46" s="110"/>
      <c r="AH46" s="110" t="str">
        <f t="shared" si="8"/>
        <v>OK</v>
      </c>
    </row>
    <row r="47" spans="1:34" hidden="1" x14ac:dyDescent="0.2">
      <c r="A47" s="49"/>
      <c r="B47" s="108" t="s">
        <v>3036</v>
      </c>
      <c r="C47" s="94" t="s">
        <v>2412</v>
      </c>
      <c r="D47" s="94" t="s">
        <v>3032</v>
      </c>
      <c r="E47" s="94" t="s">
        <v>3031</v>
      </c>
      <c r="F47" s="94" t="s">
        <v>315</v>
      </c>
      <c r="G47" s="94" t="s">
        <v>2409</v>
      </c>
      <c r="H47" s="119">
        <v>80</v>
      </c>
      <c r="I47" s="119">
        <v>4</v>
      </c>
      <c r="J47" s="119">
        <f t="shared" si="2"/>
        <v>320</v>
      </c>
      <c r="K47" s="119">
        <v>252720000</v>
      </c>
      <c r="L47" s="119">
        <v>789750</v>
      </c>
      <c r="M47" s="119">
        <f t="shared" si="3"/>
        <v>240</v>
      </c>
      <c r="N47" s="119">
        <f t="shared" si="4"/>
        <v>189540000</v>
      </c>
      <c r="O47" s="120">
        <v>44682</v>
      </c>
      <c r="P47" s="120">
        <v>46142</v>
      </c>
      <c r="Q47" s="119">
        <v>80</v>
      </c>
      <c r="R47" s="121">
        <v>63180000</v>
      </c>
      <c r="S47" s="119">
        <v>0</v>
      </c>
      <c r="T47" s="121">
        <v>0</v>
      </c>
      <c r="U47" s="119">
        <v>80</v>
      </c>
      <c r="V47" s="121">
        <f t="shared" si="5"/>
        <v>63180000</v>
      </c>
      <c r="W47" s="119">
        <f t="shared" si="6"/>
        <v>0</v>
      </c>
      <c r="X47" s="121">
        <f t="shared" si="7"/>
        <v>0</v>
      </c>
      <c r="Y47" s="122" t="s">
        <v>2408</v>
      </c>
      <c r="Z47" s="123" t="s">
        <v>2407</v>
      </c>
      <c r="AA47" s="123" t="s">
        <v>2406</v>
      </c>
      <c r="AB47" s="123" t="s">
        <v>2372</v>
      </c>
      <c r="AC47" s="123" t="s">
        <v>8</v>
      </c>
      <c r="AD47" s="110">
        <f>COUNTIF('KK1. Movies'!AI:AI,'TK 15661.Bản quyền phim '!F47)</f>
        <v>0</v>
      </c>
      <c r="AE47" s="110">
        <f>COUNTIF('KK2. Series'!AM:AM,'TK 15661.Bản quyền phim '!F47)</f>
        <v>0</v>
      </c>
      <c r="AF47" s="110">
        <f>COUNTIF('KK3. Kids'!AF:AF,'TK 15661.Bản quyền phim '!F47)</f>
        <v>1</v>
      </c>
      <c r="AG47" s="110"/>
      <c r="AH47" s="110" t="str">
        <f t="shared" si="8"/>
        <v>OK</v>
      </c>
    </row>
    <row r="48" spans="1:34" hidden="1" x14ac:dyDescent="0.2">
      <c r="A48" s="47">
        <f>(U48-H48)*L48</f>
        <v>0</v>
      </c>
      <c r="B48" s="108" t="s">
        <v>3035</v>
      </c>
      <c r="C48" s="94" t="s">
        <v>2412</v>
      </c>
      <c r="D48" s="94" t="s">
        <v>3032</v>
      </c>
      <c r="E48" s="94" t="s">
        <v>3031</v>
      </c>
      <c r="F48" s="94" t="s">
        <v>313</v>
      </c>
      <c r="G48" s="94" t="s">
        <v>2409</v>
      </c>
      <c r="H48" s="119">
        <v>40</v>
      </c>
      <c r="I48" s="119">
        <v>4</v>
      </c>
      <c r="J48" s="119">
        <f t="shared" si="2"/>
        <v>160</v>
      </c>
      <c r="K48" s="119">
        <v>252720000</v>
      </c>
      <c r="L48" s="119">
        <v>1579500</v>
      </c>
      <c r="M48" s="119">
        <f t="shared" si="3"/>
        <v>80</v>
      </c>
      <c r="N48" s="119">
        <f t="shared" si="4"/>
        <v>126360000</v>
      </c>
      <c r="O48" s="120">
        <v>44682</v>
      </c>
      <c r="P48" s="120">
        <v>46142</v>
      </c>
      <c r="Q48" s="119">
        <v>80</v>
      </c>
      <c r="R48" s="121">
        <v>126360000</v>
      </c>
      <c r="S48" s="119">
        <v>0</v>
      </c>
      <c r="T48" s="121">
        <v>0</v>
      </c>
      <c r="U48" s="119">
        <v>40</v>
      </c>
      <c r="V48" s="121">
        <f t="shared" si="5"/>
        <v>63180000</v>
      </c>
      <c r="W48" s="119">
        <f t="shared" si="6"/>
        <v>40</v>
      </c>
      <c r="X48" s="121">
        <f t="shared" si="7"/>
        <v>63180000</v>
      </c>
      <c r="Y48" s="122" t="s">
        <v>2408</v>
      </c>
      <c r="Z48" s="123" t="s">
        <v>2407</v>
      </c>
      <c r="AA48" s="123" t="s">
        <v>2406</v>
      </c>
      <c r="AB48" s="123" t="s">
        <v>2372</v>
      </c>
      <c r="AC48" s="123" t="s">
        <v>8</v>
      </c>
      <c r="AD48" s="110">
        <f>COUNTIF('KK1. Movies'!AI:AI,'TK 15661.Bản quyền phim '!F48)</f>
        <v>0</v>
      </c>
      <c r="AE48" s="110">
        <f>COUNTIF('KK2. Series'!AM:AM,'TK 15661.Bản quyền phim '!F48)</f>
        <v>0</v>
      </c>
      <c r="AF48" s="110">
        <f>COUNTIF('KK3. Kids'!AF:AF,'TK 15661.Bản quyền phim '!F48)</f>
        <v>1</v>
      </c>
      <c r="AG48" s="110"/>
      <c r="AH48" s="110" t="str">
        <f t="shared" si="8"/>
        <v>OK</v>
      </c>
    </row>
    <row r="49" spans="1:34" hidden="1" x14ac:dyDescent="0.2">
      <c r="A49" s="49"/>
      <c r="B49" s="108" t="s">
        <v>3034</v>
      </c>
      <c r="C49" s="94" t="s">
        <v>2412</v>
      </c>
      <c r="D49" s="94" t="s">
        <v>3032</v>
      </c>
      <c r="E49" s="94" t="s">
        <v>3031</v>
      </c>
      <c r="F49" s="94" t="s">
        <v>311</v>
      </c>
      <c r="G49" s="94" t="s">
        <v>2409</v>
      </c>
      <c r="H49" s="119">
        <v>80</v>
      </c>
      <c r="I49" s="119">
        <v>4</v>
      </c>
      <c r="J49" s="119">
        <f t="shared" si="2"/>
        <v>320</v>
      </c>
      <c r="K49" s="119">
        <v>252720000</v>
      </c>
      <c r="L49" s="119">
        <v>789750</v>
      </c>
      <c r="M49" s="119">
        <f t="shared" si="3"/>
        <v>240</v>
      </c>
      <c r="N49" s="119">
        <f t="shared" si="4"/>
        <v>189540000</v>
      </c>
      <c r="O49" s="120">
        <v>44727</v>
      </c>
      <c r="P49" s="120">
        <v>46187</v>
      </c>
      <c r="Q49" s="119">
        <v>80</v>
      </c>
      <c r="R49" s="121">
        <v>63180000</v>
      </c>
      <c r="S49" s="119">
        <v>0</v>
      </c>
      <c r="T49" s="121">
        <v>0</v>
      </c>
      <c r="U49" s="119">
        <v>80</v>
      </c>
      <c r="V49" s="121">
        <f t="shared" si="5"/>
        <v>63180000</v>
      </c>
      <c r="W49" s="119">
        <f t="shared" si="6"/>
        <v>0</v>
      </c>
      <c r="X49" s="121">
        <f t="shared" si="7"/>
        <v>0</v>
      </c>
      <c r="Y49" s="122" t="s">
        <v>2408</v>
      </c>
      <c r="Z49" s="123" t="s">
        <v>2407</v>
      </c>
      <c r="AA49" s="123" t="s">
        <v>2406</v>
      </c>
      <c r="AB49" s="123" t="s">
        <v>2372</v>
      </c>
      <c r="AC49" s="123" t="s">
        <v>8</v>
      </c>
      <c r="AD49" s="110">
        <f>COUNTIF('KK1. Movies'!AI:AI,'TK 15661.Bản quyền phim '!F49)</f>
        <v>0</v>
      </c>
      <c r="AE49" s="110">
        <f>COUNTIF('KK2. Series'!AM:AM,'TK 15661.Bản quyền phim '!F49)</f>
        <v>0</v>
      </c>
      <c r="AF49" s="110">
        <f>COUNTIF('KK3. Kids'!AF:AF,'TK 15661.Bản quyền phim '!F49)</f>
        <v>1</v>
      </c>
      <c r="AG49" s="110"/>
      <c r="AH49" s="110" t="str">
        <f t="shared" si="8"/>
        <v>OK</v>
      </c>
    </row>
    <row r="50" spans="1:34" hidden="1" x14ac:dyDescent="0.2">
      <c r="A50" s="47">
        <f>(U50-H50)*L50</f>
        <v>0</v>
      </c>
      <c r="B50" s="108" t="s">
        <v>3033</v>
      </c>
      <c r="C50" s="94" t="s">
        <v>2412</v>
      </c>
      <c r="D50" s="94" t="s">
        <v>3032</v>
      </c>
      <c r="E50" s="94" t="s">
        <v>3031</v>
      </c>
      <c r="F50" s="94" t="s">
        <v>304</v>
      </c>
      <c r="G50" s="94" t="s">
        <v>2409</v>
      </c>
      <c r="H50" s="119">
        <v>50</v>
      </c>
      <c r="I50" s="119">
        <v>4</v>
      </c>
      <c r="J50" s="119">
        <f t="shared" si="2"/>
        <v>200</v>
      </c>
      <c r="K50" s="119">
        <v>157950000</v>
      </c>
      <c r="L50" s="119">
        <v>789750</v>
      </c>
      <c r="M50" s="119">
        <f t="shared" si="3"/>
        <v>150</v>
      </c>
      <c r="N50" s="119">
        <f t="shared" si="4"/>
        <v>118462500</v>
      </c>
      <c r="O50" s="120">
        <v>44774</v>
      </c>
      <c r="P50" s="120">
        <v>46234</v>
      </c>
      <c r="Q50" s="119">
        <v>50</v>
      </c>
      <c r="R50" s="121">
        <v>39487500</v>
      </c>
      <c r="S50" s="119">
        <v>0</v>
      </c>
      <c r="T50" s="121">
        <v>0</v>
      </c>
      <c r="U50" s="119">
        <v>50</v>
      </c>
      <c r="V50" s="121">
        <f t="shared" si="5"/>
        <v>39487500</v>
      </c>
      <c r="W50" s="119">
        <f t="shared" si="6"/>
        <v>0</v>
      </c>
      <c r="X50" s="121">
        <f t="shared" si="7"/>
        <v>0</v>
      </c>
      <c r="Y50" s="122" t="s">
        <v>2408</v>
      </c>
      <c r="Z50" s="123" t="s">
        <v>2407</v>
      </c>
      <c r="AA50" s="123" t="s">
        <v>2406</v>
      </c>
      <c r="AB50" s="123" t="s">
        <v>2372</v>
      </c>
      <c r="AC50" s="123" t="s">
        <v>8</v>
      </c>
      <c r="AD50" s="110">
        <f>COUNTIF('KK1. Movies'!AI:AI,'TK 15661.Bản quyền phim '!F50)</f>
        <v>0</v>
      </c>
      <c r="AE50" s="110">
        <f>COUNTIF('KK2. Series'!AM:AM,'TK 15661.Bản quyền phim '!F50)</f>
        <v>0</v>
      </c>
      <c r="AF50" s="110">
        <f>COUNTIF('KK3. Kids'!AF:AF,'TK 15661.Bản quyền phim '!F50)</f>
        <v>1</v>
      </c>
      <c r="AG50" s="110"/>
      <c r="AH50" s="110" t="str">
        <f t="shared" si="8"/>
        <v>OK</v>
      </c>
    </row>
    <row r="51" spans="1:34" ht="15.6" hidden="1" x14ac:dyDescent="0.3">
      <c r="A51" s="43"/>
      <c r="B51" s="108" t="s">
        <v>3030</v>
      </c>
      <c r="C51" s="94" t="s">
        <v>2493</v>
      </c>
      <c r="D51" s="94" t="s">
        <v>3029</v>
      </c>
      <c r="E51" s="94" t="s">
        <v>3028</v>
      </c>
      <c r="F51" s="94" t="s">
        <v>1926</v>
      </c>
      <c r="G51" s="94" t="s">
        <v>2490</v>
      </c>
      <c r="H51" s="119">
        <v>1</v>
      </c>
      <c r="I51" s="119">
        <v>5</v>
      </c>
      <c r="J51" s="119">
        <f t="shared" si="2"/>
        <v>5</v>
      </c>
      <c r="K51" s="119">
        <v>628533333</v>
      </c>
      <c r="L51" s="119">
        <v>125706666.59999999</v>
      </c>
      <c r="M51" s="119">
        <f t="shared" si="3"/>
        <v>3</v>
      </c>
      <c r="N51" s="119">
        <f t="shared" si="4"/>
        <v>377119999.80000007</v>
      </c>
      <c r="O51" s="120">
        <v>44799</v>
      </c>
      <c r="P51" s="120">
        <v>46408</v>
      </c>
      <c r="Q51" s="119">
        <v>2</v>
      </c>
      <c r="R51" s="121">
        <v>251413333.19999996</v>
      </c>
      <c r="S51" s="119">
        <v>0</v>
      </c>
      <c r="T51" s="121">
        <v>0</v>
      </c>
      <c r="U51" s="119">
        <v>1</v>
      </c>
      <c r="V51" s="121">
        <f t="shared" si="5"/>
        <v>125706666.59999999</v>
      </c>
      <c r="W51" s="119">
        <f t="shared" si="6"/>
        <v>1</v>
      </c>
      <c r="X51" s="121">
        <f t="shared" si="7"/>
        <v>125706666.59999996</v>
      </c>
      <c r="Y51" s="122" t="s">
        <v>2489</v>
      </c>
      <c r="Z51" s="123" t="s">
        <v>2407</v>
      </c>
      <c r="AA51" s="123" t="s">
        <v>2406</v>
      </c>
      <c r="AB51" s="123" t="s">
        <v>2372</v>
      </c>
      <c r="AC51" s="124" t="s">
        <v>12</v>
      </c>
      <c r="AD51" s="110">
        <f>COUNTIF('KK1. Movies'!AI:AI,'TK 15661.Bản quyền phim '!F51)</f>
        <v>1</v>
      </c>
      <c r="AE51" s="110">
        <f>COUNTIF('KK2. Series'!AM:AM,'TK 15661.Bản quyền phim '!F51)</f>
        <v>0</v>
      </c>
      <c r="AF51" s="110">
        <f>COUNTIF('KK3. Kids'!AF:AF,'TK 15661.Bản quyền phim '!F51)</f>
        <v>0</v>
      </c>
      <c r="AG51" s="110"/>
      <c r="AH51" s="110" t="str">
        <f t="shared" si="8"/>
        <v>OK</v>
      </c>
    </row>
    <row r="52" spans="1:34" ht="15.6" hidden="1" x14ac:dyDescent="0.3">
      <c r="A52" s="47">
        <f>(U52-H52)*L52</f>
        <v>0</v>
      </c>
      <c r="B52" s="108" t="s">
        <v>3027</v>
      </c>
      <c r="C52" s="94" t="s">
        <v>2412</v>
      </c>
      <c r="D52" s="94" t="s">
        <v>2583</v>
      </c>
      <c r="E52" s="94" t="s">
        <v>2582</v>
      </c>
      <c r="F52" s="94" t="s">
        <v>908</v>
      </c>
      <c r="G52" s="94" t="s">
        <v>2581</v>
      </c>
      <c r="H52" s="119">
        <v>8</v>
      </c>
      <c r="I52" s="119">
        <v>5</v>
      </c>
      <c r="J52" s="119">
        <f t="shared" si="2"/>
        <v>40</v>
      </c>
      <c r="K52" s="119">
        <v>211555555.55555555</v>
      </c>
      <c r="L52" s="119">
        <v>5288888.888888889</v>
      </c>
      <c r="M52" s="119">
        <f t="shared" si="3"/>
        <v>20</v>
      </c>
      <c r="N52" s="119">
        <f t="shared" si="4"/>
        <v>105777777.77777776</v>
      </c>
      <c r="O52" s="120">
        <v>44743</v>
      </c>
      <c r="P52" s="120">
        <v>46568</v>
      </c>
      <c r="Q52" s="119">
        <v>20</v>
      </c>
      <c r="R52" s="121">
        <v>105777777.77777779</v>
      </c>
      <c r="S52" s="119">
        <v>0</v>
      </c>
      <c r="T52" s="121">
        <v>0</v>
      </c>
      <c r="U52" s="119">
        <v>8</v>
      </c>
      <c r="V52" s="121">
        <f t="shared" si="5"/>
        <v>42311111.111111112</v>
      </c>
      <c r="W52" s="119">
        <f t="shared" si="6"/>
        <v>12</v>
      </c>
      <c r="X52" s="121">
        <f t="shared" si="7"/>
        <v>63466666.666666679</v>
      </c>
      <c r="Y52" s="122" t="s">
        <v>2427</v>
      </c>
      <c r="Z52" s="123" t="s">
        <v>2407</v>
      </c>
      <c r="AA52" s="123" t="s">
        <v>2406</v>
      </c>
      <c r="AB52" s="123" t="s">
        <v>2372</v>
      </c>
      <c r="AC52" s="124" t="s">
        <v>10</v>
      </c>
      <c r="AD52" s="110">
        <f>COUNTIF('KK1. Movies'!AI:AI,'TK 15661.Bản quyền phim '!F52)</f>
        <v>0</v>
      </c>
      <c r="AE52" s="110">
        <f>COUNTIF('KK2. Series'!AM:AM,'TK 15661.Bản quyền phim '!F52)</f>
        <v>1</v>
      </c>
      <c r="AF52" s="110">
        <f>COUNTIF('KK3. Kids'!AF:AF,'TK 15661.Bản quyền phim '!F52)</f>
        <v>0</v>
      </c>
      <c r="AG52" s="110"/>
      <c r="AH52" s="110" t="str">
        <f t="shared" si="8"/>
        <v>OK</v>
      </c>
    </row>
    <row r="53" spans="1:34" ht="15.6" hidden="1" x14ac:dyDescent="0.3">
      <c r="A53" s="47">
        <f>(U53-H53)*L53</f>
        <v>0</v>
      </c>
      <c r="B53" s="108" t="s">
        <v>3026</v>
      </c>
      <c r="C53" s="94" t="s">
        <v>2412</v>
      </c>
      <c r="D53" s="94" t="s">
        <v>2583</v>
      </c>
      <c r="E53" s="94" t="s">
        <v>2582</v>
      </c>
      <c r="F53" s="94" t="s">
        <v>885</v>
      </c>
      <c r="G53" s="94" t="s">
        <v>2581</v>
      </c>
      <c r="H53" s="119">
        <v>8</v>
      </c>
      <c r="I53" s="119">
        <v>5</v>
      </c>
      <c r="J53" s="119">
        <f t="shared" si="2"/>
        <v>40</v>
      </c>
      <c r="K53" s="119">
        <v>211555555.55555555</v>
      </c>
      <c r="L53" s="119">
        <v>5288888.888888889</v>
      </c>
      <c r="M53" s="119">
        <f t="shared" si="3"/>
        <v>16</v>
      </c>
      <c r="N53" s="119">
        <f t="shared" si="4"/>
        <v>84622222.222222209</v>
      </c>
      <c r="O53" s="120">
        <v>44743</v>
      </c>
      <c r="P53" s="120">
        <v>46568</v>
      </c>
      <c r="Q53" s="119">
        <v>24</v>
      </c>
      <c r="R53" s="121">
        <v>126933333.33333334</v>
      </c>
      <c r="S53" s="119">
        <v>0</v>
      </c>
      <c r="T53" s="121">
        <v>0</v>
      </c>
      <c r="U53" s="119">
        <v>8</v>
      </c>
      <c r="V53" s="121">
        <f t="shared" si="5"/>
        <v>42311111.111111112</v>
      </c>
      <c r="W53" s="119">
        <f t="shared" si="6"/>
        <v>16</v>
      </c>
      <c r="X53" s="121">
        <f t="shared" si="7"/>
        <v>84622222.222222239</v>
      </c>
      <c r="Y53" s="122" t="s">
        <v>2427</v>
      </c>
      <c r="Z53" s="123" t="s">
        <v>2407</v>
      </c>
      <c r="AA53" s="123" t="s">
        <v>2406</v>
      </c>
      <c r="AB53" s="123" t="s">
        <v>2372</v>
      </c>
      <c r="AC53" s="124" t="s">
        <v>10</v>
      </c>
      <c r="AD53" s="110">
        <f>COUNTIF('KK1. Movies'!AI:AI,'TK 15661.Bản quyền phim '!F53)</f>
        <v>0</v>
      </c>
      <c r="AE53" s="110">
        <f>COUNTIF('KK2. Series'!AM:AM,'TK 15661.Bản quyền phim '!F53)</f>
        <v>1</v>
      </c>
      <c r="AF53" s="110">
        <f>COUNTIF('KK3. Kids'!AF:AF,'TK 15661.Bản quyền phim '!F53)</f>
        <v>0</v>
      </c>
      <c r="AG53" s="110"/>
      <c r="AH53" s="110" t="str">
        <f t="shared" si="8"/>
        <v>OK</v>
      </c>
    </row>
    <row r="54" spans="1:34" ht="15.6" hidden="1" x14ac:dyDescent="0.3">
      <c r="B54" s="108" t="s">
        <v>3025</v>
      </c>
      <c r="C54" s="94" t="s">
        <v>2412</v>
      </c>
      <c r="D54" s="94" t="s">
        <v>2938</v>
      </c>
      <c r="E54" s="94" t="s">
        <v>2937</v>
      </c>
      <c r="F54" s="94" t="s">
        <v>3024</v>
      </c>
      <c r="G54" s="94" t="s">
        <v>2428</v>
      </c>
      <c r="H54" s="119">
        <v>12</v>
      </c>
      <c r="I54" s="119">
        <v>3</v>
      </c>
      <c r="J54" s="119">
        <f t="shared" si="2"/>
        <v>36</v>
      </c>
      <c r="K54" s="119">
        <v>542640000</v>
      </c>
      <c r="L54" s="119">
        <v>15073333.333333334</v>
      </c>
      <c r="M54" s="119">
        <f t="shared" si="3"/>
        <v>24</v>
      </c>
      <c r="N54" s="119">
        <f t="shared" si="4"/>
        <v>361760000</v>
      </c>
      <c r="O54" s="120">
        <v>44945</v>
      </c>
      <c r="P54" s="120">
        <v>46040</v>
      </c>
      <c r="Q54" s="119">
        <v>12</v>
      </c>
      <c r="R54" s="121">
        <v>180880000</v>
      </c>
      <c r="S54" s="119">
        <v>0</v>
      </c>
      <c r="T54" s="121">
        <v>0</v>
      </c>
      <c r="U54" s="119">
        <v>12</v>
      </c>
      <c r="V54" s="121">
        <f t="shared" si="5"/>
        <v>180880000</v>
      </c>
      <c r="W54" s="119">
        <f t="shared" si="6"/>
        <v>0</v>
      </c>
      <c r="X54" s="121">
        <f t="shared" si="7"/>
        <v>0</v>
      </c>
      <c r="Y54" s="122" t="s">
        <v>2427</v>
      </c>
      <c r="Z54" s="123" t="s">
        <v>2407</v>
      </c>
      <c r="AA54" s="123" t="s">
        <v>2406</v>
      </c>
      <c r="AB54" s="123" t="s">
        <v>2372</v>
      </c>
      <c r="AC54" s="124" t="s">
        <v>10</v>
      </c>
      <c r="AD54" s="110">
        <f>COUNTIF('KK1. Movies'!AI:AI,'TK 15661.Bản quyền phim '!F54)</f>
        <v>0</v>
      </c>
      <c r="AE54" s="110">
        <f>COUNTIF('KK2. Series'!AM:AM,'TK 15661.Bản quyền phim '!F54)</f>
        <v>1</v>
      </c>
      <c r="AF54" s="110">
        <f>COUNTIF('KK3. Kids'!AF:AF,'TK 15661.Bản quyền phim '!F54)</f>
        <v>0</v>
      </c>
      <c r="AG54" s="110"/>
      <c r="AH54" s="110" t="str">
        <f t="shared" si="8"/>
        <v>OK</v>
      </c>
    </row>
    <row r="55" spans="1:34" ht="15.6" hidden="1" x14ac:dyDescent="0.3">
      <c r="B55" s="108" t="s">
        <v>3023</v>
      </c>
      <c r="C55" s="94" t="s">
        <v>2412</v>
      </c>
      <c r="D55" s="94" t="s">
        <v>2938</v>
      </c>
      <c r="E55" s="94" t="s">
        <v>2937</v>
      </c>
      <c r="F55" s="94" t="s">
        <v>1101</v>
      </c>
      <c r="G55" s="94" t="s">
        <v>2428</v>
      </c>
      <c r="H55" s="119">
        <v>32</v>
      </c>
      <c r="I55" s="119">
        <v>3</v>
      </c>
      <c r="J55" s="119">
        <f t="shared" si="2"/>
        <v>96</v>
      </c>
      <c r="K55" s="119">
        <v>2170560000</v>
      </c>
      <c r="L55" s="119">
        <v>22610000</v>
      </c>
      <c r="M55" s="119">
        <f t="shared" si="3"/>
        <v>64</v>
      </c>
      <c r="N55" s="119">
        <f t="shared" si="4"/>
        <v>1447040000</v>
      </c>
      <c r="O55" s="120">
        <v>44971</v>
      </c>
      <c r="P55" s="120">
        <v>46066</v>
      </c>
      <c r="Q55" s="119">
        <v>32</v>
      </c>
      <c r="R55" s="121">
        <v>723520000</v>
      </c>
      <c r="S55" s="119">
        <v>0</v>
      </c>
      <c r="T55" s="121">
        <v>0</v>
      </c>
      <c r="U55" s="119">
        <v>32</v>
      </c>
      <c r="V55" s="121">
        <f t="shared" si="5"/>
        <v>723520000</v>
      </c>
      <c r="W55" s="119">
        <f t="shared" si="6"/>
        <v>0</v>
      </c>
      <c r="X55" s="121">
        <f t="shared" si="7"/>
        <v>0</v>
      </c>
      <c r="Y55" s="122" t="s">
        <v>2427</v>
      </c>
      <c r="Z55" s="123" t="s">
        <v>2407</v>
      </c>
      <c r="AA55" s="123" t="s">
        <v>2406</v>
      </c>
      <c r="AB55" s="123" t="s">
        <v>2372</v>
      </c>
      <c r="AC55" s="124" t="s">
        <v>10</v>
      </c>
      <c r="AD55" s="110">
        <f>COUNTIF('KK1. Movies'!AI:AI,'TK 15661.Bản quyền phim '!F55)</f>
        <v>0</v>
      </c>
      <c r="AE55" s="110">
        <f>COUNTIF('KK2. Series'!AM:AM,'TK 15661.Bản quyền phim '!F55)</f>
        <v>1</v>
      </c>
      <c r="AF55" s="110">
        <f>COUNTIF('KK3. Kids'!AF:AF,'TK 15661.Bản quyền phim '!F55)</f>
        <v>0</v>
      </c>
      <c r="AG55" s="110"/>
      <c r="AH55" s="110" t="str">
        <f t="shared" si="8"/>
        <v>OK</v>
      </c>
    </row>
    <row r="56" spans="1:34" ht="15.6" hidden="1" x14ac:dyDescent="0.3">
      <c r="A56" s="47">
        <f>(U56-H56)*L56</f>
        <v>0</v>
      </c>
      <c r="B56" s="108" t="s">
        <v>3022</v>
      </c>
      <c r="C56" s="94" t="s">
        <v>2686</v>
      </c>
      <c r="D56" s="94" t="s">
        <v>2685</v>
      </c>
      <c r="E56" s="94" t="s">
        <v>2684</v>
      </c>
      <c r="F56" s="94" t="s">
        <v>1033</v>
      </c>
      <c r="G56" s="94" t="s">
        <v>2581</v>
      </c>
      <c r="H56" s="119">
        <v>9</v>
      </c>
      <c r="I56" s="119">
        <v>10</v>
      </c>
      <c r="J56" s="119">
        <f t="shared" si="2"/>
        <v>90</v>
      </c>
      <c r="K56" s="119">
        <v>1290000000</v>
      </c>
      <c r="L56" s="119">
        <v>14333333.333333332</v>
      </c>
      <c r="M56" s="119">
        <f t="shared" si="3"/>
        <v>18</v>
      </c>
      <c r="N56" s="119">
        <f t="shared" si="4"/>
        <v>258000000</v>
      </c>
      <c r="O56" s="120">
        <v>44958</v>
      </c>
      <c r="P56" s="120">
        <v>48611</v>
      </c>
      <c r="Q56" s="119">
        <v>72</v>
      </c>
      <c r="R56" s="121">
        <v>1032000000</v>
      </c>
      <c r="S56" s="119">
        <v>0</v>
      </c>
      <c r="T56" s="121">
        <v>0</v>
      </c>
      <c r="U56" s="119">
        <v>9</v>
      </c>
      <c r="V56" s="121">
        <f t="shared" si="5"/>
        <v>128999999.99999999</v>
      </c>
      <c r="W56" s="119">
        <f t="shared" si="6"/>
        <v>63</v>
      </c>
      <c r="X56" s="121">
        <f t="shared" si="7"/>
        <v>903000000</v>
      </c>
      <c r="Y56" s="122" t="s">
        <v>2427</v>
      </c>
      <c r="Z56" s="123" t="s">
        <v>2407</v>
      </c>
      <c r="AA56" s="123" t="s">
        <v>2406</v>
      </c>
      <c r="AB56" s="123" t="s">
        <v>2372</v>
      </c>
      <c r="AC56" s="124" t="s">
        <v>10</v>
      </c>
      <c r="AD56" s="110">
        <f>COUNTIF('KK1. Movies'!AI:AI,'TK 15661.Bản quyền phim '!F56)</f>
        <v>0</v>
      </c>
      <c r="AE56" s="110">
        <f>COUNTIF('KK2. Series'!AM:AM,'TK 15661.Bản quyền phim '!F56)</f>
        <v>1</v>
      </c>
      <c r="AF56" s="110">
        <f>COUNTIF('KK3. Kids'!AF:AF,'TK 15661.Bản quyền phim '!F56)</f>
        <v>0</v>
      </c>
      <c r="AG56" s="110"/>
      <c r="AH56" s="110" t="str">
        <f t="shared" si="8"/>
        <v>OK</v>
      </c>
    </row>
    <row r="57" spans="1:34" ht="15.6" hidden="1" x14ac:dyDescent="0.3">
      <c r="A57" s="47">
        <f>(U57-H57)*L57</f>
        <v>0</v>
      </c>
      <c r="B57" s="108" t="s">
        <v>3021</v>
      </c>
      <c r="C57" s="94" t="s">
        <v>2412</v>
      </c>
      <c r="D57" s="94" t="s">
        <v>2890</v>
      </c>
      <c r="E57" s="94" t="s">
        <v>2889</v>
      </c>
      <c r="F57" s="94" t="s">
        <v>3020</v>
      </c>
      <c r="G57" s="94" t="s">
        <v>2581</v>
      </c>
      <c r="H57" s="119">
        <v>24</v>
      </c>
      <c r="I57" s="119">
        <v>5</v>
      </c>
      <c r="J57" s="119">
        <f t="shared" si="2"/>
        <v>120</v>
      </c>
      <c r="K57" s="119">
        <v>573600000</v>
      </c>
      <c r="L57" s="119">
        <v>4780000</v>
      </c>
      <c r="M57" s="119">
        <f t="shared" si="3"/>
        <v>48</v>
      </c>
      <c r="N57" s="119">
        <f t="shared" si="4"/>
        <v>229440000</v>
      </c>
      <c r="O57" s="120">
        <v>44971</v>
      </c>
      <c r="P57" s="120">
        <v>46796</v>
      </c>
      <c r="Q57" s="119">
        <v>72</v>
      </c>
      <c r="R57" s="121">
        <v>344160000</v>
      </c>
      <c r="S57" s="119">
        <v>0</v>
      </c>
      <c r="T57" s="121">
        <v>0</v>
      </c>
      <c r="U57" s="119">
        <v>24</v>
      </c>
      <c r="V57" s="121">
        <f t="shared" si="5"/>
        <v>114720000</v>
      </c>
      <c r="W57" s="119">
        <f t="shared" si="6"/>
        <v>48</v>
      </c>
      <c r="X57" s="121">
        <f t="shared" si="7"/>
        <v>229440000</v>
      </c>
      <c r="Y57" s="122" t="s">
        <v>2427</v>
      </c>
      <c r="Z57" s="123" t="s">
        <v>2407</v>
      </c>
      <c r="AA57" s="123" t="s">
        <v>2406</v>
      </c>
      <c r="AB57" s="123" t="s">
        <v>2372</v>
      </c>
      <c r="AC57" s="124" t="s">
        <v>10</v>
      </c>
      <c r="AD57" s="110">
        <f>COUNTIF('KK1. Movies'!AI:AI,'TK 15661.Bản quyền phim '!F57)</f>
        <v>0</v>
      </c>
      <c r="AE57" s="110">
        <f>COUNTIF('KK2. Series'!AM:AM,'TK 15661.Bản quyền phim '!F57)</f>
        <v>1</v>
      </c>
      <c r="AF57" s="110">
        <f>COUNTIF('KK3. Kids'!AF:AF,'TK 15661.Bản quyền phim '!F57)</f>
        <v>0</v>
      </c>
      <c r="AG57" s="110"/>
      <c r="AH57" s="110" t="str">
        <f t="shared" si="8"/>
        <v>OK</v>
      </c>
    </row>
    <row r="58" spans="1:34" ht="15.6" hidden="1" x14ac:dyDescent="0.3">
      <c r="A58" s="43"/>
      <c r="B58" s="108" t="s">
        <v>3019</v>
      </c>
      <c r="C58" s="94" t="s">
        <v>2493</v>
      </c>
      <c r="D58" s="94" t="s">
        <v>2649</v>
      </c>
      <c r="E58" s="94" t="s">
        <v>2648</v>
      </c>
      <c r="F58" s="94" t="s">
        <v>2338</v>
      </c>
      <c r="G58" s="94" t="s">
        <v>2417</v>
      </c>
      <c r="H58" s="119">
        <v>1</v>
      </c>
      <c r="I58" s="119">
        <v>3</v>
      </c>
      <c r="J58" s="119">
        <f t="shared" si="2"/>
        <v>3</v>
      </c>
      <c r="K58" s="119">
        <v>90000000</v>
      </c>
      <c r="L58" s="119">
        <v>30000000</v>
      </c>
      <c r="M58" s="119">
        <f t="shared" si="3"/>
        <v>2</v>
      </c>
      <c r="N58" s="119">
        <f t="shared" si="4"/>
        <v>60000000</v>
      </c>
      <c r="O58" s="120">
        <v>44951</v>
      </c>
      <c r="P58" s="120">
        <v>46046</v>
      </c>
      <c r="Q58" s="119">
        <v>1</v>
      </c>
      <c r="R58" s="121">
        <v>30000000</v>
      </c>
      <c r="S58" s="119">
        <v>0</v>
      </c>
      <c r="T58" s="121">
        <v>0</v>
      </c>
      <c r="U58" s="119">
        <v>1</v>
      </c>
      <c r="V58" s="121">
        <f t="shared" si="5"/>
        <v>30000000</v>
      </c>
      <c r="W58" s="119">
        <f t="shared" si="6"/>
        <v>0</v>
      </c>
      <c r="X58" s="121">
        <f t="shared" si="7"/>
        <v>0</v>
      </c>
      <c r="Y58" s="122" t="s">
        <v>2416</v>
      </c>
      <c r="Z58" s="123" t="s">
        <v>2407</v>
      </c>
      <c r="AA58" s="123" t="s">
        <v>2406</v>
      </c>
      <c r="AB58" s="123" t="s">
        <v>2372</v>
      </c>
      <c r="AC58" s="124" t="s">
        <v>12</v>
      </c>
      <c r="AD58" s="110">
        <f>COUNTIF('KK1. Movies'!AI:AI,'TK 15661.Bản quyền phim '!F58)</f>
        <v>1</v>
      </c>
      <c r="AE58" s="110">
        <f>COUNTIF('KK2. Series'!AM:AM,'TK 15661.Bản quyền phim '!F58)</f>
        <v>0</v>
      </c>
      <c r="AF58" s="110">
        <f>COUNTIF('KK3. Kids'!AF:AF,'TK 15661.Bản quyền phim '!F58)</f>
        <v>0</v>
      </c>
      <c r="AG58" s="110"/>
      <c r="AH58" s="110" t="str">
        <f t="shared" si="8"/>
        <v>OK</v>
      </c>
    </row>
    <row r="59" spans="1:34" ht="15.6" hidden="1" x14ac:dyDescent="0.3">
      <c r="A59" s="43"/>
      <c r="B59" s="108" t="s">
        <v>3018</v>
      </c>
      <c r="C59" s="94" t="s">
        <v>2493</v>
      </c>
      <c r="D59" s="94" t="s">
        <v>2649</v>
      </c>
      <c r="E59" s="94" t="s">
        <v>2648</v>
      </c>
      <c r="F59" s="94" t="s">
        <v>1423</v>
      </c>
      <c r="G59" s="94" t="s">
        <v>2417</v>
      </c>
      <c r="H59" s="119">
        <v>1</v>
      </c>
      <c r="I59" s="119">
        <v>3</v>
      </c>
      <c r="J59" s="119">
        <f t="shared" si="2"/>
        <v>3</v>
      </c>
      <c r="K59" s="119">
        <v>81428571</v>
      </c>
      <c r="L59" s="119">
        <v>27142857</v>
      </c>
      <c r="M59" s="119">
        <f t="shared" si="3"/>
        <v>2</v>
      </c>
      <c r="N59" s="119">
        <f t="shared" si="4"/>
        <v>54285714</v>
      </c>
      <c r="O59" s="120">
        <v>45029</v>
      </c>
      <c r="P59" s="120">
        <v>46124</v>
      </c>
      <c r="Q59" s="119">
        <v>1</v>
      </c>
      <c r="R59" s="121">
        <v>27142857</v>
      </c>
      <c r="S59" s="119">
        <v>0</v>
      </c>
      <c r="T59" s="121">
        <v>0</v>
      </c>
      <c r="U59" s="119">
        <v>1</v>
      </c>
      <c r="V59" s="121">
        <f t="shared" si="5"/>
        <v>27142857</v>
      </c>
      <c r="W59" s="119">
        <f t="shared" si="6"/>
        <v>0</v>
      </c>
      <c r="X59" s="121">
        <f t="shared" si="7"/>
        <v>0</v>
      </c>
      <c r="Y59" s="122" t="s">
        <v>2416</v>
      </c>
      <c r="Z59" s="123" t="s">
        <v>2407</v>
      </c>
      <c r="AA59" s="123" t="s">
        <v>2406</v>
      </c>
      <c r="AB59" s="123" t="s">
        <v>2372</v>
      </c>
      <c r="AC59" s="124" t="s">
        <v>12</v>
      </c>
      <c r="AD59" s="110">
        <f>COUNTIF('KK1. Movies'!AI:AI,'TK 15661.Bản quyền phim '!F59)</f>
        <v>1</v>
      </c>
      <c r="AE59" s="110">
        <f>COUNTIF('KK2. Series'!AM:AM,'TK 15661.Bản quyền phim '!F59)</f>
        <v>0</v>
      </c>
      <c r="AF59" s="110">
        <f>COUNTIF('KK3. Kids'!AF:AF,'TK 15661.Bản quyền phim '!F59)</f>
        <v>0</v>
      </c>
      <c r="AG59" s="110"/>
      <c r="AH59" s="110" t="str">
        <f t="shared" si="8"/>
        <v>OK</v>
      </c>
    </row>
    <row r="60" spans="1:34" ht="15.6" hidden="1" x14ac:dyDescent="0.3">
      <c r="A60" s="43"/>
      <c r="B60" s="108" t="s">
        <v>3017</v>
      </c>
      <c r="C60" s="94" t="s">
        <v>2493</v>
      </c>
      <c r="D60" s="94" t="s">
        <v>2649</v>
      </c>
      <c r="E60" s="94" t="s">
        <v>2648</v>
      </c>
      <c r="F60" s="94" t="s">
        <v>1717</v>
      </c>
      <c r="G60" s="94" t="s">
        <v>2417</v>
      </c>
      <c r="H60" s="119">
        <v>1</v>
      </c>
      <c r="I60" s="119">
        <v>3</v>
      </c>
      <c r="J60" s="119">
        <f t="shared" si="2"/>
        <v>3</v>
      </c>
      <c r="K60" s="119">
        <v>72857143</v>
      </c>
      <c r="L60" s="119">
        <v>24285714.333333332</v>
      </c>
      <c r="M60" s="119">
        <f t="shared" si="3"/>
        <v>2</v>
      </c>
      <c r="N60" s="119">
        <f t="shared" si="4"/>
        <v>48571428.666666657</v>
      </c>
      <c r="O60" s="120">
        <v>45042</v>
      </c>
      <c r="P60" s="120">
        <v>46137</v>
      </c>
      <c r="Q60" s="119">
        <v>1</v>
      </c>
      <c r="R60" s="121">
        <v>24285714.33333334</v>
      </c>
      <c r="S60" s="119">
        <v>0</v>
      </c>
      <c r="T60" s="121">
        <v>0</v>
      </c>
      <c r="U60" s="119">
        <v>1</v>
      </c>
      <c r="V60" s="121">
        <f t="shared" si="5"/>
        <v>24285714.333333332</v>
      </c>
      <c r="W60" s="119">
        <f t="shared" si="6"/>
        <v>0</v>
      </c>
      <c r="X60" s="121">
        <f t="shared" si="7"/>
        <v>0</v>
      </c>
      <c r="Y60" s="122" t="s">
        <v>2416</v>
      </c>
      <c r="Z60" s="123" t="s">
        <v>2407</v>
      </c>
      <c r="AA60" s="123" t="s">
        <v>2406</v>
      </c>
      <c r="AB60" s="123" t="s">
        <v>2372</v>
      </c>
      <c r="AC60" s="124" t="s">
        <v>12</v>
      </c>
      <c r="AD60" s="110">
        <f>COUNTIF('KK1. Movies'!AI:AI,'TK 15661.Bản quyền phim '!F60)</f>
        <v>1</v>
      </c>
      <c r="AE60" s="110">
        <f>COUNTIF('KK2. Series'!AM:AM,'TK 15661.Bản quyền phim '!F60)</f>
        <v>0</v>
      </c>
      <c r="AF60" s="110">
        <f>COUNTIF('KK3. Kids'!AF:AF,'TK 15661.Bản quyền phim '!F60)</f>
        <v>0</v>
      </c>
      <c r="AG60" s="110"/>
      <c r="AH60" s="110" t="str">
        <f t="shared" si="8"/>
        <v>OK</v>
      </c>
    </row>
    <row r="61" spans="1:34" ht="15.6" hidden="1" x14ac:dyDescent="0.3">
      <c r="A61" s="43"/>
      <c r="B61" s="108" t="s">
        <v>3016</v>
      </c>
      <c r="C61" s="94" t="s">
        <v>2493</v>
      </c>
      <c r="D61" s="94" t="s">
        <v>2649</v>
      </c>
      <c r="E61" s="94" t="s">
        <v>2648</v>
      </c>
      <c r="F61" s="94" t="s">
        <v>2352</v>
      </c>
      <c r="G61" s="94" t="s">
        <v>2417</v>
      </c>
      <c r="H61" s="119">
        <v>1</v>
      </c>
      <c r="I61" s="119">
        <v>3</v>
      </c>
      <c r="J61" s="119">
        <f t="shared" si="2"/>
        <v>3</v>
      </c>
      <c r="K61" s="119">
        <v>72857143</v>
      </c>
      <c r="L61" s="119">
        <v>24285714.333333332</v>
      </c>
      <c r="M61" s="119">
        <f t="shared" si="3"/>
        <v>2</v>
      </c>
      <c r="N61" s="119">
        <f t="shared" si="4"/>
        <v>48571428.666666657</v>
      </c>
      <c r="O61" s="120">
        <v>45064</v>
      </c>
      <c r="P61" s="120">
        <v>46159</v>
      </c>
      <c r="Q61" s="119">
        <v>1</v>
      </c>
      <c r="R61" s="121">
        <v>24285714.33333334</v>
      </c>
      <c r="S61" s="119">
        <v>0</v>
      </c>
      <c r="T61" s="121">
        <v>0</v>
      </c>
      <c r="U61" s="119">
        <v>1</v>
      </c>
      <c r="V61" s="121">
        <f t="shared" si="5"/>
        <v>24285714.333333332</v>
      </c>
      <c r="W61" s="119">
        <f t="shared" si="6"/>
        <v>0</v>
      </c>
      <c r="X61" s="121">
        <f t="shared" si="7"/>
        <v>0</v>
      </c>
      <c r="Y61" s="122" t="s">
        <v>2416</v>
      </c>
      <c r="Z61" s="123" t="s">
        <v>2407</v>
      </c>
      <c r="AA61" s="123" t="s">
        <v>2406</v>
      </c>
      <c r="AB61" s="123" t="s">
        <v>2372</v>
      </c>
      <c r="AC61" s="124" t="s">
        <v>12</v>
      </c>
      <c r="AD61" s="110">
        <f>COUNTIF('KK1. Movies'!AI:AI,'TK 15661.Bản quyền phim '!F61)</f>
        <v>1</v>
      </c>
      <c r="AE61" s="110">
        <f>COUNTIF('KK2. Series'!AM:AM,'TK 15661.Bản quyền phim '!F61)</f>
        <v>0</v>
      </c>
      <c r="AF61" s="110">
        <f>COUNTIF('KK3. Kids'!AF:AF,'TK 15661.Bản quyền phim '!F61)</f>
        <v>0</v>
      </c>
      <c r="AG61" s="110"/>
      <c r="AH61" s="110" t="str">
        <f t="shared" si="8"/>
        <v>OK</v>
      </c>
    </row>
    <row r="62" spans="1:34" ht="15.6" hidden="1" x14ac:dyDescent="0.3">
      <c r="A62" s="43"/>
      <c r="B62" s="108" t="s">
        <v>3015</v>
      </c>
      <c r="C62" s="94" t="s">
        <v>2493</v>
      </c>
      <c r="D62" s="94" t="s">
        <v>2649</v>
      </c>
      <c r="E62" s="94" t="s">
        <v>2648</v>
      </c>
      <c r="F62" s="94" t="s">
        <v>2355</v>
      </c>
      <c r="G62" s="94" t="s">
        <v>2417</v>
      </c>
      <c r="H62" s="119">
        <v>1</v>
      </c>
      <c r="I62" s="119">
        <v>3</v>
      </c>
      <c r="J62" s="119">
        <f t="shared" si="2"/>
        <v>3</v>
      </c>
      <c r="K62" s="119">
        <v>72857143</v>
      </c>
      <c r="L62" s="119">
        <v>24285714.333333332</v>
      </c>
      <c r="M62" s="119">
        <f t="shared" si="3"/>
        <v>2</v>
      </c>
      <c r="N62" s="119">
        <f t="shared" si="4"/>
        <v>48571428.666666657</v>
      </c>
      <c r="O62" s="120">
        <v>45070</v>
      </c>
      <c r="P62" s="120">
        <v>46165</v>
      </c>
      <c r="Q62" s="119">
        <v>1</v>
      </c>
      <c r="R62" s="121">
        <v>24285714.33333334</v>
      </c>
      <c r="S62" s="119">
        <v>0</v>
      </c>
      <c r="T62" s="121">
        <v>0</v>
      </c>
      <c r="U62" s="119">
        <v>1</v>
      </c>
      <c r="V62" s="121">
        <f t="shared" si="5"/>
        <v>24285714.333333332</v>
      </c>
      <c r="W62" s="119">
        <f t="shared" si="6"/>
        <v>0</v>
      </c>
      <c r="X62" s="121">
        <f t="shared" si="7"/>
        <v>0</v>
      </c>
      <c r="Y62" s="122" t="s">
        <v>2416</v>
      </c>
      <c r="Z62" s="123" t="s">
        <v>2407</v>
      </c>
      <c r="AA62" s="123" t="s">
        <v>2406</v>
      </c>
      <c r="AB62" s="123" t="s">
        <v>2372</v>
      </c>
      <c r="AC62" s="124" t="s">
        <v>12</v>
      </c>
      <c r="AD62" s="110">
        <f>COUNTIF('KK1. Movies'!AI:AI,'TK 15661.Bản quyền phim '!F62)</f>
        <v>1</v>
      </c>
      <c r="AE62" s="110">
        <f>COUNTIF('KK2. Series'!AM:AM,'TK 15661.Bản quyền phim '!F62)</f>
        <v>0</v>
      </c>
      <c r="AF62" s="110">
        <f>COUNTIF('KK3. Kids'!AF:AF,'TK 15661.Bản quyền phim '!F62)</f>
        <v>0</v>
      </c>
      <c r="AG62" s="110"/>
      <c r="AH62" s="110" t="str">
        <f t="shared" si="8"/>
        <v>OK</v>
      </c>
    </row>
    <row r="63" spans="1:34" hidden="1" x14ac:dyDescent="0.2">
      <c r="A63" s="43"/>
      <c r="B63" s="108" t="s">
        <v>3014</v>
      </c>
      <c r="C63" s="94" t="s">
        <v>2493</v>
      </c>
      <c r="D63" s="94" t="s">
        <v>2649</v>
      </c>
      <c r="E63" s="94" t="s">
        <v>2648</v>
      </c>
      <c r="F63" s="94" t="s">
        <v>2360</v>
      </c>
      <c r="G63" s="94" t="s">
        <v>2417</v>
      </c>
      <c r="H63" s="119">
        <v>1</v>
      </c>
      <c r="I63" s="119">
        <v>3</v>
      </c>
      <c r="J63" s="119">
        <f t="shared" si="2"/>
        <v>3</v>
      </c>
      <c r="K63" s="119">
        <v>72857143</v>
      </c>
      <c r="L63" s="119">
        <v>24285714.333333332</v>
      </c>
      <c r="M63" s="119">
        <f t="shared" si="3"/>
        <v>2</v>
      </c>
      <c r="N63" s="119">
        <f t="shared" si="4"/>
        <v>48571428.666666657</v>
      </c>
      <c r="O63" s="120">
        <v>45077</v>
      </c>
      <c r="P63" s="120">
        <v>46172</v>
      </c>
      <c r="Q63" s="119">
        <v>1</v>
      </c>
      <c r="R63" s="121">
        <v>24285714.33333334</v>
      </c>
      <c r="S63" s="119">
        <v>0</v>
      </c>
      <c r="T63" s="121">
        <v>0</v>
      </c>
      <c r="U63" s="119">
        <v>1</v>
      </c>
      <c r="V63" s="121">
        <f t="shared" si="5"/>
        <v>24285714.333333332</v>
      </c>
      <c r="W63" s="119">
        <f t="shared" si="6"/>
        <v>0</v>
      </c>
      <c r="X63" s="121">
        <f t="shared" si="7"/>
        <v>0</v>
      </c>
      <c r="Y63" s="122" t="s">
        <v>2416</v>
      </c>
      <c r="Z63" s="123" t="s">
        <v>2407</v>
      </c>
      <c r="AA63" s="123" t="s">
        <v>2406</v>
      </c>
      <c r="AB63" s="123" t="s">
        <v>2372</v>
      </c>
      <c r="AC63" s="123"/>
      <c r="AD63" s="110">
        <f>COUNTIF('KK1. Movies'!AI:AI,'TK 15661.Bản quyền phim '!F63)</f>
        <v>0</v>
      </c>
      <c r="AE63" s="110">
        <f>COUNTIF('KK2. Series'!AM:AM,'TK 15661.Bản quyền phim '!F63)</f>
        <v>0</v>
      </c>
      <c r="AF63" s="110">
        <f>COUNTIF('KK3. Kids'!AF:AF,'TK 15661.Bản quyền phim '!F63)</f>
        <v>0</v>
      </c>
      <c r="AG63" s="110"/>
      <c r="AH63" s="110">
        <f t="shared" si="8"/>
        <v>0</v>
      </c>
    </row>
    <row r="64" spans="1:34" ht="15.6" hidden="1" x14ac:dyDescent="0.3">
      <c r="A64" s="43"/>
      <c r="B64" s="108" t="s">
        <v>3013</v>
      </c>
      <c r="C64" s="94" t="s">
        <v>2493</v>
      </c>
      <c r="D64" s="94" t="s">
        <v>2649</v>
      </c>
      <c r="E64" s="94" t="s">
        <v>2648</v>
      </c>
      <c r="F64" s="94" t="s">
        <v>2227</v>
      </c>
      <c r="G64" s="94" t="s">
        <v>2417</v>
      </c>
      <c r="H64" s="119">
        <v>1</v>
      </c>
      <c r="I64" s="119">
        <v>3</v>
      </c>
      <c r="J64" s="119">
        <f t="shared" si="2"/>
        <v>3</v>
      </c>
      <c r="K64" s="119">
        <v>77142857</v>
      </c>
      <c r="L64" s="119">
        <v>25714285.666666668</v>
      </c>
      <c r="M64" s="119">
        <f t="shared" si="3"/>
        <v>2</v>
      </c>
      <c r="N64" s="119">
        <f t="shared" si="4"/>
        <v>51428571.333333343</v>
      </c>
      <c r="O64" s="120">
        <v>45127</v>
      </c>
      <c r="P64" s="120">
        <v>46222</v>
      </c>
      <c r="Q64" s="119">
        <v>1</v>
      </c>
      <c r="R64" s="121">
        <v>25714285.66666666</v>
      </c>
      <c r="S64" s="119">
        <v>0</v>
      </c>
      <c r="T64" s="121">
        <v>0</v>
      </c>
      <c r="U64" s="119">
        <v>1</v>
      </c>
      <c r="V64" s="121">
        <f t="shared" si="5"/>
        <v>25714285.666666668</v>
      </c>
      <c r="W64" s="119">
        <f t="shared" si="6"/>
        <v>0</v>
      </c>
      <c r="X64" s="121">
        <f t="shared" si="7"/>
        <v>0</v>
      </c>
      <c r="Y64" s="122" t="s">
        <v>2416</v>
      </c>
      <c r="Z64" s="123" t="s">
        <v>2407</v>
      </c>
      <c r="AA64" s="123" t="s">
        <v>2406</v>
      </c>
      <c r="AB64" s="123" t="s">
        <v>2372</v>
      </c>
      <c r="AC64" s="124" t="s">
        <v>12</v>
      </c>
      <c r="AD64" s="110">
        <f>COUNTIF('KK1. Movies'!AI:AI,'TK 15661.Bản quyền phim '!F64)</f>
        <v>1</v>
      </c>
      <c r="AE64" s="110">
        <f>COUNTIF('KK2. Series'!AM:AM,'TK 15661.Bản quyền phim '!F64)</f>
        <v>0</v>
      </c>
      <c r="AF64" s="110">
        <f>COUNTIF('KK3. Kids'!AF:AF,'TK 15661.Bản quyền phim '!F64)</f>
        <v>0</v>
      </c>
      <c r="AG64" s="110"/>
      <c r="AH64" s="110" t="str">
        <f t="shared" si="8"/>
        <v>OK</v>
      </c>
    </row>
    <row r="65" spans="1:34" ht="15.6" hidden="1" x14ac:dyDescent="0.3">
      <c r="A65" s="43"/>
      <c r="B65" s="108" t="s">
        <v>3012</v>
      </c>
      <c r="C65" s="94" t="s">
        <v>2493</v>
      </c>
      <c r="D65" s="94" t="s">
        <v>2649</v>
      </c>
      <c r="E65" s="94" t="s">
        <v>2648</v>
      </c>
      <c r="F65" s="94" t="s">
        <v>1495</v>
      </c>
      <c r="G65" s="94" t="s">
        <v>2417</v>
      </c>
      <c r="H65" s="119">
        <v>1</v>
      </c>
      <c r="I65" s="119">
        <v>3</v>
      </c>
      <c r="J65" s="119">
        <f t="shared" si="2"/>
        <v>3</v>
      </c>
      <c r="K65" s="119">
        <v>72857143</v>
      </c>
      <c r="L65" s="119">
        <v>24285714.333333332</v>
      </c>
      <c r="M65" s="119">
        <f t="shared" si="3"/>
        <v>2</v>
      </c>
      <c r="N65" s="119">
        <f t="shared" si="4"/>
        <v>48571428.666666657</v>
      </c>
      <c r="O65" s="120">
        <v>45127</v>
      </c>
      <c r="P65" s="120">
        <v>46222</v>
      </c>
      <c r="Q65" s="119">
        <v>1</v>
      </c>
      <c r="R65" s="121">
        <v>24285714.33333334</v>
      </c>
      <c r="S65" s="119">
        <v>0</v>
      </c>
      <c r="T65" s="121">
        <v>0</v>
      </c>
      <c r="U65" s="119">
        <v>1</v>
      </c>
      <c r="V65" s="121">
        <f t="shared" si="5"/>
        <v>24285714.333333332</v>
      </c>
      <c r="W65" s="119">
        <f t="shared" si="6"/>
        <v>0</v>
      </c>
      <c r="X65" s="121">
        <f t="shared" si="7"/>
        <v>0</v>
      </c>
      <c r="Y65" s="122" t="s">
        <v>2416</v>
      </c>
      <c r="Z65" s="123" t="s">
        <v>2407</v>
      </c>
      <c r="AA65" s="123" t="s">
        <v>2406</v>
      </c>
      <c r="AB65" s="123" t="s">
        <v>2372</v>
      </c>
      <c r="AC65" s="124" t="s">
        <v>12</v>
      </c>
      <c r="AD65" s="110">
        <f>COUNTIF('KK1. Movies'!AI:AI,'TK 15661.Bản quyền phim '!F65)</f>
        <v>1</v>
      </c>
      <c r="AE65" s="110">
        <f>COUNTIF('KK2. Series'!AM:AM,'TK 15661.Bản quyền phim '!F65)</f>
        <v>0</v>
      </c>
      <c r="AF65" s="110">
        <f>COUNTIF('KK3. Kids'!AF:AF,'TK 15661.Bản quyền phim '!F65)</f>
        <v>0</v>
      </c>
      <c r="AG65" s="110"/>
      <c r="AH65" s="110" t="str">
        <f t="shared" si="8"/>
        <v>OK</v>
      </c>
    </row>
    <row r="66" spans="1:34" ht="15.6" hidden="1" x14ac:dyDescent="0.3">
      <c r="A66" s="43"/>
      <c r="B66" s="108" t="s">
        <v>3011</v>
      </c>
      <c r="C66" s="94" t="s">
        <v>2493</v>
      </c>
      <c r="D66" s="94" t="s">
        <v>2649</v>
      </c>
      <c r="E66" s="94" t="s">
        <v>2648</v>
      </c>
      <c r="F66" s="94" t="s">
        <v>2293</v>
      </c>
      <c r="G66" s="94" t="s">
        <v>2417</v>
      </c>
      <c r="H66" s="119">
        <v>1</v>
      </c>
      <c r="I66" s="119">
        <v>3</v>
      </c>
      <c r="J66" s="119">
        <f t="shared" si="2"/>
        <v>3</v>
      </c>
      <c r="K66" s="119">
        <v>72857143</v>
      </c>
      <c r="L66" s="119">
        <v>24285714.333333332</v>
      </c>
      <c r="M66" s="119">
        <f t="shared" si="3"/>
        <v>2</v>
      </c>
      <c r="N66" s="119">
        <f t="shared" si="4"/>
        <v>48571428.666666657</v>
      </c>
      <c r="O66" s="120">
        <v>45161</v>
      </c>
      <c r="P66" s="120">
        <v>46256</v>
      </c>
      <c r="Q66" s="119">
        <v>1</v>
      </c>
      <c r="R66" s="121">
        <v>24285714.33333334</v>
      </c>
      <c r="S66" s="119">
        <v>0</v>
      </c>
      <c r="T66" s="121">
        <v>0</v>
      </c>
      <c r="U66" s="119">
        <v>1</v>
      </c>
      <c r="V66" s="121">
        <f t="shared" si="5"/>
        <v>24285714.333333332</v>
      </c>
      <c r="W66" s="119">
        <f t="shared" si="6"/>
        <v>0</v>
      </c>
      <c r="X66" s="121">
        <f t="shared" si="7"/>
        <v>0</v>
      </c>
      <c r="Y66" s="122" t="s">
        <v>2416</v>
      </c>
      <c r="Z66" s="123" t="s">
        <v>2407</v>
      </c>
      <c r="AA66" s="123" t="s">
        <v>2406</v>
      </c>
      <c r="AB66" s="123" t="s">
        <v>2372</v>
      </c>
      <c r="AC66" s="124" t="s">
        <v>12</v>
      </c>
      <c r="AD66" s="110">
        <f>COUNTIF('KK1. Movies'!AI:AI,'TK 15661.Bản quyền phim '!F66)</f>
        <v>1</v>
      </c>
      <c r="AE66" s="110">
        <f>COUNTIF('KK2. Series'!AM:AM,'TK 15661.Bản quyền phim '!F66)</f>
        <v>0</v>
      </c>
      <c r="AF66" s="110">
        <f>COUNTIF('KK3. Kids'!AF:AF,'TK 15661.Bản quyền phim '!F66)</f>
        <v>0</v>
      </c>
      <c r="AG66" s="110"/>
      <c r="AH66" s="110" t="str">
        <f t="shared" si="8"/>
        <v>OK</v>
      </c>
    </row>
    <row r="67" spans="1:34" ht="15.6" hidden="1" x14ac:dyDescent="0.3">
      <c r="A67" s="43"/>
      <c r="B67" s="108" t="s">
        <v>3010</v>
      </c>
      <c r="C67" s="94" t="s">
        <v>2493</v>
      </c>
      <c r="D67" s="94" t="s">
        <v>2649</v>
      </c>
      <c r="E67" s="94" t="s">
        <v>2648</v>
      </c>
      <c r="F67" s="94" t="s">
        <v>1437</v>
      </c>
      <c r="G67" s="94" t="s">
        <v>2417</v>
      </c>
      <c r="H67" s="119">
        <v>1</v>
      </c>
      <c r="I67" s="119">
        <v>3</v>
      </c>
      <c r="J67" s="119">
        <f t="shared" si="2"/>
        <v>3</v>
      </c>
      <c r="K67" s="119">
        <v>64285714</v>
      </c>
      <c r="L67" s="119">
        <v>21428571.333333332</v>
      </c>
      <c r="M67" s="119">
        <f t="shared" si="3"/>
        <v>2</v>
      </c>
      <c r="N67" s="119">
        <f t="shared" si="4"/>
        <v>42857142.666666657</v>
      </c>
      <c r="O67" s="120">
        <v>45168</v>
      </c>
      <c r="P67" s="120">
        <v>46263</v>
      </c>
      <c r="Q67" s="119">
        <v>1</v>
      </c>
      <c r="R67" s="121">
        <v>21428571.33333334</v>
      </c>
      <c r="S67" s="119">
        <v>0</v>
      </c>
      <c r="T67" s="121">
        <v>0</v>
      </c>
      <c r="U67" s="119">
        <v>1</v>
      </c>
      <c r="V67" s="121">
        <f t="shared" si="5"/>
        <v>21428571.333333332</v>
      </c>
      <c r="W67" s="119">
        <f t="shared" si="6"/>
        <v>0</v>
      </c>
      <c r="X67" s="121">
        <f t="shared" si="7"/>
        <v>0</v>
      </c>
      <c r="Y67" s="122" t="s">
        <v>2416</v>
      </c>
      <c r="Z67" s="123" t="s">
        <v>2407</v>
      </c>
      <c r="AA67" s="123" t="s">
        <v>2406</v>
      </c>
      <c r="AB67" s="123" t="s">
        <v>2372</v>
      </c>
      <c r="AC67" s="124" t="s">
        <v>12</v>
      </c>
      <c r="AD67" s="110">
        <f>COUNTIF('KK1. Movies'!AI:AI,'TK 15661.Bản quyền phim '!F67)</f>
        <v>1</v>
      </c>
      <c r="AE67" s="110">
        <f>COUNTIF('KK2. Series'!AM:AM,'TK 15661.Bản quyền phim '!F67)</f>
        <v>0</v>
      </c>
      <c r="AF67" s="110">
        <f>COUNTIF('KK3. Kids'!AF:AF,'TK 15661.Bản quyền phim '!F67)</f>
        <v>0</v>
      </c>
      <c r="AG67" s="110"/>
      <c r="AH67" s="110" t="str">
        <f t="shared" si="8"/>
        <v>OK</v>
      </c>
    </row>
    <row r="68" spans="1:34" ht="15.6" hidden="1" x14ac:dyDescent="0.3">
      <c r="A68" s="43"/>
      <c r="B68" s="108" t="s">
        <v>3009</v>
      </c>
      <c r="C68" s="94" t="s">
        <v>2493</v>
      </c>
      <c r="D68" s="94" t="s">
        <v>2649</v>
      </c>
      <c r="E68" s="94" t="s">
        <v>2648</v>
      </c>
      <c r="F68" s="94" t="s">
        <v>1386</v>
      </c>
      <c r="G68" s="94" t="s">
        <v>2417</v>
      </c>
      <c r="H68" s="119">
        <v>1</v>
      </c>
      <c r="I68" s="119">
        <v>3</v>
      </c>
      <c r="J68" s="119">
        <f t="shared" si="2"/>
        <v>3</v>
      </c>
      <c r="K68" s="119">
        <v>85714286</v>
      </c>
      <c r="L68" s="119">
        <v>28571428.666666668</v>
      </c>
      <c r="M68" s="119">
        <f t="shared" si="3"/>
        <v>2</v>
      </c>
      <c r="N68" s="119">
        <f t="shared" si="4"/>
        <v>57142857.333333343</v>
      </c>
      <c r="O68" s="120">
        <v>45169</v>
      </c>
      <c r="P68" s="120">
        <v>46264</v>
      </c>
      <c r="Q68" s="119">
        <v>1</v>
      </c>
      <c r="R68" s="121">
        <v>28571428.66666666</v>
      </c>
      <c r="S68" s="119">
        <v>0</v>
      </c>
      <c r="T68" s="121">
        <v>0</v>
      </c>
      <c r="U68" s="119">
        <v>1</v>
      </c>
      <c r="V68" s="121">
        <f t="shared" si="5"/>
        <v>28571428.666666668</v>
      </c>
      <c r="W68" s="119">
        <f t="shared" si="6"/>
        <v>0</v>
      </c>
      <c r="X68" s="121">
        <f t="shared" si="7"/>
        <v>0</v>
      </c>
      <c r="Y68" s="122" t="s">
        <v>2416</v>
      </c>
      <c r="Z68" s="123" t="s">
        <v>2407</v>
      </c>
      <c r="AA68" s="123" t="s">
        <v>2406</v>
      </c>
      <c r="AB68" s="123" t="s">
        <v>2372</v>
      </c>
      <c r="AC68" s="124" t="s">
        <v>12</v>
      </c>
      <c r="AD68" s="110">
        <f>COUNTIF('KK1. Movies'!AI:AI,'TK 15661.Bản quyền phim '!F68)</f>
        <v>1</v>
      </c>
      <c r="AE68" s="110">
        <f>COUNTIF('KK2. Series'!AM:AM,'TK 15661.Bản quyền phim '!F68)</f>
        <v>0</v>
      </c>
      <c r="AF68" s="110">
        <f>COUNTIF('KK3. Kids'!AF:AF,'TK 15661.Bản quyền phim '!F68)</f>
        <v>0</v>
      </c>
      <c r="AG68" s="110"/>
      <c r="AH68" s="110" t="str">
        <f t="shared" si="8"/>
        <v>OK</v>
      </c>
    </row>
    <row r="69" spans="1:34" ht="15.6" hidden="1" x14ac:dyDescent="0.3">
      <c r="A69" s="43"/>
      <c r="B69" s="108" t="s">
        <v>3008</v>
      </c>
      <c r="C69" s="94" t="s">
        <v>2493</v>
      </c>
      <c r="D69" s="94" t="s">
        <v>2649</v>
      </c>
      <c r="E69" s="94" t="s">
        <v>2648</v>
      </c>
      <c r="F69" s="94" t="s">
        <v>2249</v>
      </c>
      <c r="G69" s="94" t="s">
        <v>2417</v>
      </c>
      <c r="H69" s="119">
        <v>1</v>
      </c>
      <c r="I69" s="119">
        <v>3</v>
      </c>
      <c r="J69" s="119">
        <f t="shared" si="2"/>
        <v>3</v>
      </c>
      <c r="K69" s="119">
        <v>77142857</v>
      </c>
      <c r="L69" s="119">
        <v>25714285.666666668</v>
      </c>
      <c r="M69" s="119">
        <f t="shared" si="3"/>
        <v>2</v>
      </c>
      <c r="N69" s="119">
        <f t="shared" si="4"/>
        <v>51428571.333333343</v>
      </c>
      <c r="O69" s="120">
        <v>45170</v>
      </c>
      <c r="P69" s="120">
        <v>46295</v>
      </c>
      <c r="Q69" s="119">
        <v>1</v>
      </c>
      <c r="R69" s="121">
        <v>25714285.66666666</v>
      </c>
      <c r="S69" s="119">
        <v>0</v>
      </c>
      <c r="T69" s="121">
        <v>0</v>
      </c>
      <c r="U69" s="119">
        <v>1</v>
      </c>
      <c r="V69" s="121">
        <f t="shared" si="5"/>
        <v>25714285.666666668</v>
      </c>
      <c r="W69" s="119">
        <f t="shared" si="6"/>
        <v>0</v>
      </c>
      <c r="X69" s="121">
        <f t="shared" si="7"/>
        <v>0</v>
      </c>
      <c r="Y69" s="122" t="s">
        <v>2416</v>
      </c>
      <c r="Z69" s="123" t="s">
        <v>2407</v>
      </c>
      <c r="AA69" s="123" t="s">
        <v>2406</v>
      </c>
      <c r="AB69" s="123" t="s">
        <v>2372</v>
      </c>
      <c r="AC69" s="124" t="s">
        <v>12</v>
      </c>
      <c r="AD69" s="110">
        <f>COUNTIF('KK1. Movies'!AI:AI,'TK 15661.Bản quyền phim '!F69)</f>
        <v>1</v>
      </c>
      <c r="AE69" s="110">
        <f>COUNTIF('KK2. Series'!AM:AM,'TK 15661.Bản quyền phim '!F69)</f>
        <v>0</v>
      </c>
      <c r="AF69" s="110">
        <f>COUNTIF('KK3. Kids'!AF:AF,'TK 15661.Bản quyền phim '!F69)</f>
        <v>0</v>
      </c>
      <c r="AG69" s="110"/>
      <c r="AH69" s="110" t="str">
        <f t="shared" si="8"/>
        <v>OK</v>
      </c>
    </row>
    <row r="70" spans="1:34" ht="15.6" hidden="1" x14ac:dyDescent="0.3">
      <c r="A70" s="43"/>
      <c r="B70" s="108" t="s">
        <v>3007</v>
      </c>
      <c r="C70" s="94" t="s">
        <v>2493</v>
      </c>
      <c r="D70" s="94" t="s">
        <v>2649</v>
      </c>
      <c r="E70" s="94" t="s">
        <v>2648</v>
      </c>
      <c r="F70" s="94" t="s">
        <v>2341</v>
      </c>
      <c r="G70" s="94" t="s">
        <v>2417</v>
      </c>
      <c r="H70" s="119">
        <v>1</v>
      </c>
      <c r="I70" s="119">
        <v>3</v>
      </c>
      <c r="J70" s="119">
        <f t="shared" ref="J70:J133" si="9">H70*I70</f>
        <v>3</v>
      </c>
      <c r="K70" s="119">
        <v>81428571</v>
      </c>
      <c r="L70" s="119">
        <v>27142857</v>
      </c>
      <c r="M70" s="119">
        <f t="shared" ref="M70:M133" si="10">J70-Q70</f>
        <v>2</v>
      </c>
      <c r="N70" s="119">
        <f t="shared" ref="N70:N133" si="11">K70-R70</f>
        <v>54285714</v>
      </c>
      <c r="O70" s="120">
        <v>45191</v>
      </c>
      <c r="P70" s="120">
        <v>46286</v>
      </c>
      <c r="Q70" s="119">
        <v>1</v>
      </c>
      <c r="R70" s="121">
        <v>27142857</v>
      </c>
      <c r="S70" s="119">
        <v>0</v>
      </c>
      <c r="T70" s="121">
        <v>0</v>
      </c>
      <c r="U70" s="119">
        <v>1</v>
      </c>
      <c r="V70" s="121">
        <f t="shared" ref="V70:V133" si="12">U70*L70</f>
        <v>27142857</v>
      </c>
      <c r="W70" s="119">
        <f t="shared" ref="W70:W133" si="13">Q70+S70-U70</f>
        <v>0</v>
      </c>
      <c r="X70" s="121">
        <f t="shared" ref="X70:X133" si="14">R70+T70-V70</f>
        <v>0</v>
      </c>
      <c r="Y70" s="122" t="s">
        <v>2416</v>
      </c>
      <c r="Z70" s="123" t="s">
        <v>2407</v>
      </c>
      <c r="AA70" s="123" t="s">
        <v>2406</v>
      </c>
      <c r="AB70" s="123" t="s">
        <v>2372</v>
      </c>
      <c r="AC70" s="124" t="s">
        <v>12</v>
      </c>
      <c r="AD70" s="110">
        <f>COUNTIF('KK1. Movies'!AI:AI,'TK 15661.Bản quyền phim '!F70)</f>
        <v>1</v>
      </c>
      <c r="AE70" s="110">
        <f>COUNTIF('KK2. Series'!AM:AM,'TK 15661.Bản quyền phim '!F70)</f>
        <v>0</v>
      </c>
      <c r="AF70" s="110">
        <f>COUNTIF('KK3. Kids'!AF:AF,'TK 15661.Bản quyền phim '!F70)</f>
        <v>0</v>
      </c>
      <c r="AG70" s="110"/>
      <c r="AH70" s="110" t="str">
        <f t="shared" si="8"/>
        <v>OK</v>
      </c>
    </row>
    <row r="71" spans="1:34" ht="15.6" hidden="1" x14ac:dyDescent="0.3">
      <c r="A71" s="43"/>
      <c r="B71" s="108" t="s">
        <v>3006</v>
      </c>
      <c r="C71" s="94" t="s">
        <v>2493</v>
      </c>
      <c r="D71" s="94" t="s">
        <v>2649</v>
      </c>
      <c r="E71" s="94" t="s">
        <v>2648</v>
      </c>
      <c r="F71" s="94" t="s">
        <v>1584</v>
      </c>
      <c r="G71" s="94" t="s">
        <v>2417</v>
      </c>
      <c r="H71" s="119">
        <v>1</v>
      </c>
      <c r="I71" s="119">
        <v>3</v>
      </c>
      <c r="J71" s="119">
        <f t="shared" si="9"/>
        <v>3</v>
      </c>
      <c r="K71" s="119">
        <v>77142857</v>
      </c>
      <c r="L71" s="119">
        <v>25714285.666666668</v>
      </c>
      <c r="M71" s="119">
        <f t="shared" si="10"/>
        <v>2</v>
      </c>
      <c r="N71" s="119">
        <f t="shared" si="11"/>
        <v>51428571.333333343</v>
      </c>
      <c r="O71" s="120">
        <v>45192</v>
      </c>
      <c r="P71" s="120">
        <v>46287</v>
      </c>
      <c r="Q71" s="119">
        <v>1</v>
      </c>
      <c r="R71" s="121">
        <v>25714285.66666666</v>
      </c>
      <c r="S71" s="119">
        <v>0</v>
      </c>
      <c r="T71" s="121">
        <v>0</v>
      </c>
      <c r="U71" s="119">
        <v>1</v>
      </c>
      <c r="V71" s="121">
        <f t="shared" si="12"/>
        <v>25714285.666666668</v>
      </c>
      <c r="W71" s="119">
        <f t="shared" si="13"/>
        <v>0</v>
      </c>
      <c r="X71" s="121">
        <f t="shared" si="14"/>
        <v>0</v>
      </c>
      <c r="Y71" s="122" t="s">
        <v>2416</v>
      </c>
      <c r="Z71" s="123" t="s">
        <v>2407</v>
      </c>
      <c r="AA71" s="123" t="s">
        <v>2406</v>
      </c>
      <c r="AB71" s="123" t="s">
        <v>2372</v>
      </c>
      <c r="AC71" s="124" t="s">
        <v>12</v>
      </c>
      <c r="AD71" s="110">
        <f>COUNTIF('KK1. Movies'!AI:AI,'TK 15661.Bản quyền phim '!F71)</f>
        <v>1</v>
      </c>
      <c r="AE71" s="110">
        <f>COUNTIF('KK2. Series'!AM:AM,'TK 15661.Bản quyền phim '!F71)</f>
        <v>0</v>
      </c>
      <c r="AF71" s="110">
        <f>COUNTIF('KK3. Kids'!AF:AF,'TK 15661.Bản quyền phim '!F71)</f>
        <v>0</v>
      </c>
      <c r="AG71" s="110"/>
      <c r="AH71" s="110" t="str">
        <f t="shared" ref="AH71:AH134" si="15">IF(SUM(AD71:AG71)&gt;0,"OK",0)</f>
        <v>OK</v>
      </c>
    </row>
    <row r="72" spans="1:34" ht="15.6" hidden="1" x14ac:dyDescent="0.3">
      <c r="A72" s="43"/>
      <c r="B72" s="108" t="s">
        <v>3005</v>
      </c>
      <c r="C72" s="94" t="s">
        <v>2493</v>
      </c>
      <c r="D72" s="94" t="s">
        <v>2649</v>
      </c>
      <c r="E72" s="94" t="s">
        <v>2648</v>
      </c>
      <c r="F72" s="94" t="s">
        <v>2279</v>
      </c>
      <c r="G72" s="94" t="s">
        <v>2417</v>
      </c>
      <c r="H72" s="119">
        <v>1</v>
      </c>
      <c r="I72" s="119">
        <v>3</v>
      </c>
      <c r="J72" s="119">
        <f t="shared" si="9"/>
        <v>3</v>
      </c>
      <c r="K72" s="119">
        <v>81428571</v>
      </c>
      <c r="L72" s="119">
        <v>27142857</v>
      </c>
      <c r="M72" s="119">
        <f t="shared" si="10"/>
        <v>2</v>
      </c>
      <c r="N72" s="119">
        <f t="shared" si="11"/>
        <v>54285714</v>
      </c>
      <c r="O72" s="120">
        <v>45197</v>
      </c>
      <c r="P72" s="120">
        <v>46292</v>
      </c>
      <c r="Q72" s="119">
        <v>1</v>
      </c>
      <c r="R72" s="121">
        <v>27142857</v>
      </c>
      <c r="S72" s="119">
        <v>0</v>
      </c>
      <c r="T72" s="121">
        <v>0</v>
      </c>
      <c r="U72" s="119">
        <v>1</v>
      </c>
      <c r="V72" s="121">
        <f t="shared" si="12"/>
        <v>27142857</v>
      </c>
      <c r="W72" s="119">
        <f t="shared" si="13"/>
        <v>0</v>
      </c>
      <c r="X72" s="121">
        <f t="shared" si="14"/>
        <v>0</v>
      </c>
      <c r="Y72" s="122" t="s">
        <v>2416</v>
      </c>
      <c r="Z72" s="123" t="s">
        <v>2407</v>
      </c>
      <c r="AA72" s="123" t="s">
        <v>2406</v>
      </c>
      <c r="AB72" s="123" t="s">
        <v>2372</v>
      </c>
      <c r="AC72" s="124" t="s">
        <v>12</v>
      </c>
      <c r="AD72" s="110">
        <f>COUNTIF('KK1. Movies'!AI:AI,'TK 15661.Bản quyền phim '!F72)</f>
        <v>1</v>
      </c>
      <c r="AE72" s="110">
        <f>COUNTIF('KK2. Series'!AM:AM,'TK 15661.Bản quyền phim '!F72)</f>
        <v>0</v>
      </c>
      <c r="AF72" s="110">
        <f>COUNTIF('KK3. Kids'!AF:AF,'TK 15661.Bản quyền phim '!F72)</f>
        <v>0</v>
      </c>
      <c r="AG72" s="110"/>
      <c r="AH72" s="110" t="str">
        <f t="shared" si="15"/>
        <v>OK</v>
      </c>
    </row>
    <row r="73" spans="1:34" ht="15.6" hidden="1" x14ac:dyDescent="0.3">
      <c r="A73" s="43"/>
      <c r="B73" s="108" t="s">
        <v>3004</v>
      </c>
      <c r="C73" s="94" t="s">
        <v>2493</v>
      </c>
      <c r="D73" s="94" t="s">
        <v>2649</v>
      </c>
      <c r="E73" s="94" t="s">
        <v>2648</v>
      </c>
      <c r="F73" s="94" t="s">
        <v>2042</v>
      </c>
      <c r="G73" s="94" t="s">
        <v>2417</v>
      </c>
      <c r="H73" s="119">
        <v>1</v>
      </c>
      <c r="I73" s="119">
        <v>3</v>
      </c>
      <c r="J73" s="119">
        <f t="shared" si="9"/>
        <v>3</v>
      </c>
      <c r="K73" s="119">
        <v>77142857</v>
      </c>
      <c r="L73" s="119">
        <v>25714285.666666668</v>
      </c>
      <c r="M73" s="119">
        <f t="shared" si="10"/>
        <v>2</v>
      </c>
      <c r="N73" s="119">
        <f t="shared" si="11"/>
        <v>51428571.333333343</v>
      </c>
      <c r="O73" s="120">
        <v>45203</v>
      </c>
      <c r="P73" s="120">
        <v>46298</v>
      </c>
      <c r="Q73" s="119">
        <v>1</v>
      </c>
      <c r="R73" s="121">
        <v>25714285.66666666</v>
      </c>
      <c r="S73" s="119">
        <v>0</v>
      </c>
      <c r="T73" s="121">
        <v>0</v>
      </c>
      <c r="U73" s="119">
        <v>1</v>
      </c>
      <c r="V73" s="121">
        <f t="shared" si="12"/>
        <v>25714285.666666668</v>
      </c>
      <c r="W73" s="119">
        <f t="shared" si="13"/>
        <v>0</v>
      </c>
      <c r="X73" s="121">
        <f t="shared" si="14"/>
        <v>0</v>
      </c>
      <c r="Y73" s="122" t="s">
        <v>2416</v>
      </c>
      <c r="Z73" s="123" t="s">
        <v>2407</v>
      </c>
      <c r="AA73" s="123" t="s">
        <v>2406</v>
      </c>
      <c r="AB73" s="123" t="s">
        <v>2372</v>
      </c>
      <c r="AC73" s="124" t="s">
        <v>12</v>
      </c>
      <c r="AD73" s="110">
        <f>COUNTIF('KK1. Movies'!AI:AI,'TK 15661.Bản quyền phim '!F73)</f>
        <v>1</v>
      </c>
      <c r="AE73" s="110">
        <f>COUNTIF('KK2. Series'!AM:AM,'TK 15661.Bản quyền phim '!F73)</f>
        <v>0</v>
      </c>
      <c r="AF73" s="110">
        <f>COUNTIF('KK3. Kids'!AF:AF,'TK 15661.Bản quyền phim '!F73)</f>
        <v>0</v>
      </c>
      <c r="AG73" s="110"/>
      <c r="AH73" s="110" t="str">
        <f t="shared" si="15"/>
        <v>OK</v>
      </c>
    </row>
    <row r="74" spans="1:34" ht="15.6" hidden="1" x14ac:dyDescent="0.3">
      <c r="A74" s="43"/>
      <c r="B74" s="108" t="s">
        <v>3003</v>
      </c>
      <c r="C74" s="94" t="s">
        <v>2493</v>
      </c>
      <c r="D74" s="94" t="s">
        <v>2649</v>
      </c>
      <c r="E74" s="94" t="s">
        <v>2648</v>
      </c>
      <c r="F74" s="94" t="s">
        <v>1871</v>
      </c>
      <c r="G74" s="94" t="s">
        <v>2417</v>
      </c>
      <c r="H74" s="119">
        <v>1</v>
      </c>
      <c r="I74" s="119">
        <v>3</v>
      </c>
      <c r="J74" s="119">
        <f t="shared" si="9"/>
        <v>3</v>
      </c>
      <c r="K74" s="119">
        <v>72857143</v>
      </c>
      <c r="L74" s="119">
        <v>24285714.333333332</v>
      </c>
      <c r="M74" s="119">
        <f t="shared" si="10"/>
        <v>1</v>
      </c>
      <c r="N74" s="119">
        <f t="shared" si="11"/>
        <v>24285714.333333328</v>
      </c>
      <c r="O74" s="120">
        <v>45210</v>
      </c>
      <c r="P74" s="120">
        <v>46305</v>
      </c>
      <c r="Q74" s="119">
        <v>2</v>
      </c>
      <c r="R74" s="121">
        <v>48571428.666666672</v>
      </c>
      <c r="S74" s="119">
        <v>0</v>
      </c>
      <c r="T74" s="121">
        <v>0</v>
      </c>
      <c r="U74" s="119">
        <v>1</v>
      </c>
      <c r="V74" s="121">
        <f t="shared" si="12"/>
        <v>24285714.333333332</v>
      </c>
      <c r="W74" s="119">
        <f t="shared" si="13"/>
        <v>1</v>
      </c>
      <c r="X74" s="121">
        <f t="shared" si="14"/>
        <v>24285714.33333334</v>
      </c>
      <c r="Y74" s="122" t="s">
        <v>2416</v>
      </c>
      <c r="Z74" s="123" t="s">
        <v>2407</v>
      </c>
      <c r="AA74" s="123" t="s">
        <v>2406</v>
      </c>
      <c r="AB74" s="123" t="s">
        <v>2372</v>
      </c>
      <c r="AC74" s="124" t="s">
        <v>12</v>
      </c>
      <c r="AD74" s="110">
        <f>COUNTIF('KK1. Movies'!AI:AI,'TK 15661.Bản quyền phim '!F74)</f>
        <v>1</v>
      </c>
      <c r="AE74" s="110">
        <f>COUNTIF('KK2. Series'!AM:AM,'TK 15661.Bản quyền phim '!F74)</f>
        <v>0</v>
      </c>
      <c r="AF74" s="110">
        <f>COUNTIF('KK3. Kids'!AF:AF,'TK 15661.Bản quyền phim '!F74)</f>
        <v>0</v>
      </c>
      <c r="AG74" s="110"/>
      <c r="AH74" s="110" t="str">
        <f t="shared" si="15"/>
        <v>OK</v>
      </c>
    </row>
    <row r="75" spans="1:34" ht="15.6" hidden="1" x14ac:dyDescent="0.3">
      <c r="A75" s="43"/>
      <c r="B75" s="108" t="s">
        <v>3002</v>
      </c>
      <c r="C75" s="94" t="s">
        <v>2493</v>
      </c>
      <c r="D75" s="94" t="s">
        <v>2649</v>
      </c>
      <c r="E75" s="94" t="s">
        <v>2648</v>
      </c>
      <c r="F75" s="94" t="s">
        <v>2331</v>
      </c>
      <c r="G75" s="94" t="s">
        <v>2417</v>
      </c>
      <c r="H75" s="119">
        <v>1</v>
      </c>
      <c r="I75" s="119">
        <v>3</v>
      </c>
      <c r="J75" s="119">
        <f t="shared" si="9"/>
        <v>3</v>
      </c>
      <c r="K75" s="119">
        <v>81428571</v>
      </c>
      <c r="L75" s="119">
        <v>27142857</v>
      </c>
      <c r="M75" s="119">
        <f t="shared" si="10"/>
        <v>2</v>
      </c>
      <c r="N75" s="119">
        <f t="shared" si="11"/>
        <v>54285714</v>
      </c>
      <c r="O75" s="120">
        <v>45217</v>
      </c>
      <c r="P75" s="120">
        <v>46312</v>
      </c>
      <c r="Q75" s="119">
        <v>1</v>
      </c>
      <c r="R75" s="121">
        <v>27142857</v>
      </c>
      <c r="S75" s="119">
        <v>0</v>
      </c>
      <c r="T75" s="121">
        <v>0</v>
      </c>
      <c r="U75" s="119">
        <v>1</v>
      </c>
      <c r="V75" s="121">
        <f t="shared" si="12"/>
        <v>27142857</v>
      </c>
      <c r="W75" s="119">
        <f t="shared" si="13"/>
        <v>0</v>
      </c>
      <c r="X75" s="121">
        <f t="shared" si="14"/>
        <v>0</v>
      </c>
      <c r="Y75" s="122" t="s">
        <v>2416</v>
      </c>
      <c r="Z75" s="123" t="s">
        <v>2407</v>
      </c>
      <c r="AA75" s="123" t="s">
        <v>2406</v>
      </c>
      <c r="AB75" s="123" t="s">
        <v>2372</v>
      </c>
      <c r="AC75" s="124" t="s">
        <v>12</v>
      </c>
      <c r="AD75" s="110">
        <f>COUNTIF('KK1. Movies'!AI:AI,'TK 15661.Bản quyền phim '!F75)</f>
        <v>1</v>
      </c>
      <c r="AE75" s="110">
        <f>COUNTIF('KK2. Series'!AM:AM,'TK 15661.Bản quyền phim '!F75)</f>
        <v>0</v>
      </c>
      <c r="AF75" s="110">
        <f>COUNTIF('KK3. Kids'!AF:AF,'TK 15661.Bản quyền phim '!F75)</f>
        <v>0</v>
      </c>
      <c r="AG75" s="110"/>
      <c r="AH75" s="110" t="str">
        <f t="shared" si="15"/>
        <v>OK</v>
      </c>
    </row>
    <row r="76" spans="1:34" ht="15.6" hidden="1" x14ac:dyDescent="0.3">
      <c r="A76" s="43"/>
      <c r="B76" s="108" t="s">
        <v>3001</v>
      </c>
      <c r="C76" s="94" t="s">
        <v>2493</v>
      </c>
      <c r="D76" s="94" t="s">
        <v>2649</v>
      </c>
      <c r="E76" s="94" t="s">
        <v>2648</v>
      </c>
      <c r="F76" s="94" t="s">
        <v>1891</v>
      </c>
      <c r="G76" s="94" t="s">
        <v>2417</v>
      </c>
      <c r="H76" s="119">
        <v>1</v>
      </c>
      <c r="I76" s="119">
        <v>3</v>
      </c>
      <c r="J76" s="119">
        <f t="shared" si="9"/>
        <v>3</v>
      </c>
      <c r="K76" s="119">
        <v>77142857</v>
      </c>
      <c r="L76" s="119">
        <v>25714285.666666668</v>
      </c>
      <c r="M76" s="119">
        <f t="shared" si="10"/>
        <v>2</v>
      </c>
      <c r="N76" s="119">
        <f t="shared" si="11"/>
        <v>51428571.333333343</v>
      </c>
      <c r="O76" s="120">
        <v>45218</v>
      </c>
      <c r="P76" s="120">
        <v>46313</v>
      </c>
      <c r="Q76" s="119">
        <v>1</v>
      </c>
      <c r="R76" s="121">
        <v>25714285.66666666</v>
      </c>
      <c r="S76" s="119">
        <v>0</v>
      </c>
      <c r="T76" s="121">
        <v>0</v>
      </c>
      <c r="U76" s="119">
        <v>1</v>
      </c>
      <c r="V76" s="121">
        <f t="shared" si="12"/>
        <v>25714285.666666668</v>
      </c>
      <c r="W76" s="119">
        <f t="shared" si="13"/>
        <v>0</v>
      </c>
      <c r="X76" s="121">
        <f t="shared" si="14"/>
        <v>0</v>
      </c>
      <c r="Y76" s="122" t="s">
        <v>2416</v>
      </c>
      <c r="Z76" s="123" t="s">
        <v>2407</v>
      </c>
      <c r="AA76" s="123" t="s">
        <v>2406</v>
      </c>
      <c r="AB76" s="123" t="s">
        <v>2372</v>
      </c>
      <c r="AC76" s="124" t="s">
        <v>12</v>
      </c>
      <c r="AD76" s="110">
        <f>COUNTIF('KK1. Movies'!AI:AI,'TK 15661.Bản quyền phim '!F76)</f>
        <v>1</v>
      </c>
      <c r="AE76" s="110">
        <f>COUNTIF('KK2. Series'!AM:AM,'TK 15661.Bản quyền phim '!F76)</f>
        <v>0</v>
      </c>
      <c r="AF76" s="110">
        <f>COUNTIF('KK3. Kids'!AF:AF,'TK 15661.Bản quyền phim '!F76)</f>
        <v>0</v>
      </c>
      <c r="AG76" s="110"/>
      <c r="AH76" s="110" t="str">
        <f t="shared" si="15"/>
        <v>OK</v>
      </c>
    </row>
    <row r="77" spans="1:34" ht="15.6" hidden="1" x14ac:dyDescent="0.3">
      <c r="A77" s="43"/>
      <c r="B77" s="108" t="s">
        <v>3000</v>
      </c>
      <c r="C77" s="94" t="s">
        <v>2493</v>
      </c>
      <c r="D77" s="94" t="s">
        <v>2649</v>
      </c>
      <c r="E77" s="94" t="s">
        <v>2648</v>
      </c>
      <c r="F77" s="94" t="s">
        <v>2348</v>
      </c>
      <c r="G77" s="94" t="s">
        <v>2417</v>
      </c>
      <c r="H77" s="119">
        <v>1</v>
      </c>
      <c r="I77" s="119">
        <v>3</v>
      </c>
      <c r="J77" s="119">
        <f t="shared" si="9"/>
        <v>3</v>
      </c>
      <c r="K77" s="119">
        <v>77142857</v>
      </c>
      <c r="L77" s="119">
        <v>25714285.666666668</v>
      </c>
      <c r="M77" s="119">
        <f t="shared" si="10"/>
        <v>2</v>
      </c>
      <c r="N77" s="119">
        <f t="shared" si="11"/>
        <v>51428571.333333343</v>
      </c>
      <c r="O77" s="120">
        <v>45227</v>
      </c>
      <c r="P77" s="120">
        <v>46322</v>
      </c>
      <c r="Q77" s="119">
        <v>1</v>
      </c>
      <c r="R77" s="121">
        <v>25714285.66666666</v>
      </c>
      <c r="S77" s="119">
        <v>0</v>
      </c>
      <c r="T77" s="121">
        <v>0</v>
      </c>
      <c r="U77" s="119">
        <v>1</v>
      </c>
      <c r="V77" s="121">
        <f t="shared" si="12"/>
        <v>25714285.666666668</v>
      </c>
      <c r="W77" s="119">
        <f t="shared" si="13"/>
        <v>0</v>
      </c>
      <c r="X77" s="121">
        <f t="shared" si="14"/>
        <v>0</v>
      </c>
      <c r="Y77" s="122" t="s">
        <v>2416</v>
      </c>
      <c r="Z77" s="123" t="s">
        <v>2407</v>
      </c>
      <c r="AA77" s="123" t="s">
        <v>2406</v>
      </c>
      <c r="AB77" s="123" t="s">
        <v>2372</v>
      </c>
      <c r="AC77" s="124" t="s">
        <v>12</v>
      </c>
      <c r="AD77" s="110">
        <f>COUNTIF('KK1. Movies'!AI:AI,'TK 15661.Bản quyền phim '!F77)</f>
        <v>1</v>
      </c>
      <c r="AE77" s="110">
        <f>COUNTIF('KK2. Series'!AM:AM,'TK 15661.Bản quyền phim '!F77)</f>
        <v>0</v>
      </c>
      <c r="AF77" s="110">
        <f>COUNTIF('KK3. Kids'!AF:AF,'TK 15661.Bản quyền phim '!F77)</f>
        <v>0</v>
      </c>
      <c r="AG77" s="110"/>
      <c r="AH77" s="110" t="str">
        <f t="shared" si="15"/>
        <v>OK</v>
      </c>
    </row>
    <row r="78" spans="1:34" ht="15.6" hidden="1" x14ac:dyDescent="0.3">
      <c r="A78" s="43"/>
      <c r="B78" s="108" t="s">
        <v>2999</v>
      </c>
      <c r="C78" s="94" t="s">
        <v>2493</v>
      </c>
      <c r="D78" s="94" t="s">
        <v>2649</v>
      </c>
      <c r="E78" s="94" t="s">
        <v>2648</v>
      </c>
      <c r="F78" s="94" t="s">
        <v>2234</v>
      </c>
      <c r="G78" s="94" t="s">
        <v>2417</v>
      </c>
      <c r="H78" s="119">
        <v>1</v>
      </c>
      <c r="I78" s="119">
        <v>3</v>
      </c>
      <c r="J78" s="119">
        <f t="shared" si="9"/>
        <v>3</v>
      </c>
      <c r="K78" s="119">
        <v>64285714</v>
      </c>
      <c r="L78" s="119">
        <v>21428571.333333332</v>
      </c>
      <c r="M78" s="119">
        <f t="shared" si="10"/>
        <v>2</v>
      </c>
      <c r="N78" s="119">
        <f t="shared" si="11"/>
        <v>42857142.666666657</v>
      </c>
      <c r="O78" s="120">
        <v>45232</v>
      </c>
      <c r="P78" s="120">
        <v>46327</v>
      </c>
      <c r="Q78" s="119">
        <v>1</v>
      </c>
      <c r="R78" s="121">
        <v>21428571.33333334</v>
      </c>
      <c r="S78" s="119">
        <v>0</v>
      </c>
      <c r="T78" s="121">
        <v>0</v>
      </c>
      <c r="U78" s="119">
        <v>1</v>
      </c>
      <c r="V78" s="121">
        <f t="shared" si="12"/>
        <v>21428571.333333332</v>
      </c>
      <c r="W78" s="119">
        <f t="shared" si="13"/>
        <v>0</v>
      </c>
      <c r="X78" s="121">
        <f t="shared" si="14"/>
        <v>0</v>
      </c>
      <c r="Y78" s="122" t="s">
        <v>2416</v>
      </c>
      <c r="Z78" s="123" t="s">
        <v>2407</v>
      </c>
      <c r="AA78" s="123" t="s">
        <v>2406</v>
      </c>
      <c r="AB78" s="123" t="s">
        <v>2372</v>
      </c>
      <c r="AC78" s="124" t="s">
        <v>12</v>
      </c>
      <c r="AD78" s="110">
        <f>COUNTIF('KK1. Movies'!AI:AI,'TK 15661.Bản quyền phim '!F78)</f>
        <v>1</v>
      </c>
      <c r="AE78" s="110">
        <f>COUNTIF('KK2. Series'!AM:AM,'TK 15661.Bản quyền phim '!F78)</f>
        <v>0</v>
      </c>
      <c r="AF78" s="110">
        <f>COUNTIF('KK3. Kids'!AF:AF,'TK 15661.Bản quyền phim '!F78)</f>
        <v>0</v>
      </c>
      <c r="AG78" s="110"/>
      <c r="AH78" s="110" t="str">
        <f t="shared" si="15"/>
        <v>OK</v>
      </c>
    </row>
    <row r="79" spans="1:34" ht="15.6" hidden="1" x14ac:dyDescent="0.3">
      <c r="A79" s="43"/>
      <c r="B79" s="108" t="s">
        <v>2998</v>
      </c>
      <c r="C79" s="94" t="s">
        <v>2493</v>
      </c>
      <c r="D79" s="94" t="s">
        <v>2649</v>
      </c>
      <c r="E79" s="94" t="s">
        <v>2648</v>
      </c>
      <c r="F79" s="94" t="s">
        <v>2001</v>
      </c>
      <c r="G79" s="94" t="s">
        <v>2417</v>
      </c>
      <c r="H79" s="119">
        <v>1</v>
      </c>
      <c r="I79" s="119">
        <v>3</v>
      </c>
      <c r="J79" s="119">
        <f t="shared" si="9"/>
        <v>3</v>
      </c>
      <c r="K79" s="119">
        <v>72857143</v>
      </c>
      <c r="L79" s="119">
        <v>24285714.333333332</v>
      </c>
      <c r="M79" s="119">
        <f t="shared" si="10"/>
        <v>2</v>
      </c>
      <c r="N79" s="119">
        <f t="shared" si="11"/>
        <v>48571428.666666657</v>
      </c>
      <c r="O79" s="120">
        <v>45239</v>
      </c>
      <c r="P79" s="120">
        <v>46334</v>
      </c>
      <c r="Q79" s="119">
        <v>1</v>
      </c>
      <c r="R79" s="121">
        <v>24285714.33333334</v>
      </c>
      <c r="S79" s="119">
        <v>0</v>
      </c>
      <c r="T79" s="121">
        <v>0</v>
      </c>
      <c r="U79" s="119">
        <v>1</v>
      </c>
      <c r="V79" s="121">
        <f t="shared" si="12"/>
        <v>24285714.333333332</v>
      </c>
      <c r="W79" s="119">
        <f t="shared" si="13"/>
        <v>0</v>
      </c>
      <c r="X79" s="121">
        <f t="shared" si="14"/>
        <v>0</v>
      </c>
      <c r="Y79" s="122" t="s">
        <v>2416</v>
      </c>
      <c r="Z79" s="123" t="s">
        <v>2407</v>
      </c>
      <c r="AA79" s="123" t="s">
        <v>2406</v>
      </c>
      <c r="AB79" s="123" t="s">
        <v>2372</v>
      </c>
      <c r="AC79" s="124" t="s">
        <v>12</v>
      </c>
      <c r="AD79" s="110">
        <f>COUNTIF('KK1. Movies'!AI:AI,'TK 15661.Bản quyền phim '!F79)</f>
        <v>1</v>
      </c>
      <c r="AE79" s="110">
        <f>COUNTIF('KK2. Series'!AM:AM,'TK 15661.Bản quyền phim '!F79)</f>
        <v>0</v>
      </c>
      <c r="AF79" s="110">
        <f>COUNTIF('KK3. Kids'!AF:AF,'TK 15661.Bản quyền phim '!F79)</f>
        <v>0</v>
      </c>
      <c r="AG79" s="110"/>
      <c r="AH79" s="110" t="str">
        <f t="shared" si="15"/>
        <v>OK</v>
      </c>
    </row>
    <row r="80" spans="1:34" ht="15.6" hidden="1" x14ac:dyDescent="0.3">
      <c r="A80" s="43"/>
      <c r="B80" s="108" t="s">
        <v>2997</v>
      </c>
      <c r="C80" s="94" t="s">
        <v>2493</v>
      </c>
      <c r="D80" s="94" t="s">
        <v>2649</v>
      </c>
      <c r="E80" s="94" t="s">
        <v>2648</v>
      </c>
      <c r="F80" s="94" t="s">
        <v>2038</v>
      </c>
      <c r="G80" s="94" t="s">
        <v>2417</v>
      </c>
      <c r="H80" s="119">
        <v>1</v>
      </c>
      <c r="I80" s="119">
        <v>3</v>
      </c>
      <c r="J80" s="119">
        <f t="shared" si="9"/>
        <v>3</v>
      </c>
      <c r="K80" s="119">
        <v>72857143</v>
      </c>
      <c r="L80" s="119">
        <v>24285714.333333332</v>
      </c>
      <c r="M80" s="119">
        <f t="shared" si="10"/>
        <v>2</v>
      </c>
      <c r="N80" s="119">
        <f t="shared" si="11"/>
        <v>48571428.666666657</v>
      </c>
      <c r="O80" s="120">
        <v>45267</v>
      </c>
      <c r="P80" s="120">
        <v>46362</v>
      </c>
      <c r="Q80" s="119">
        <v>1</v>
      </c>
      <c r="R80" s="121">
        <v>24285714.33333334</v>
      </c>
      <c r="S80" s="119">
        <v>0</v>
      </c>
      <c r="T80" s="121">
        <v>0</v>
      </c>
      <c r="U80" s="119">
        <v>1</v>
      </c>
      <c r="V80" s="121">
        <f t="shared" si="12"/>
        <v>24285714.333333332</v>
      </c>
      <c r="W80" s="119">
        <f t="shared" si="13"/>
        <v>0</v>
      </c>
      <c r="X80" s="121">
        <f t="shared" si="14"/>
        <v>0</v>
      </c>
      <c r="Y80" s="122" t="s">
        <v>2416</v>
      </c>
      <c r="Z80" s="123" t="s">
        <v>2407</v>
      </c>
      <c r="AA80" s="123" t="s">
        <v>2406</v>
      </c>
      <c r="AB80" s="123" t="s">
        <v>2372</v>
      </c>
      <c r="AC80" s="124" t="s">
        <v>12</v>
      </c>
      <c r="AD80" s="110">
        <f>COUNTIF('KK1. Movies'!AI:AI,'TK 15661.Bản quyền phim '!F80)</f>
        <v>1</v>
      </c>
      <c r="AE80" s="110">
        <f>COUNTIF('KK2. Series'!AM:AM,'TK 15661.Bản quyền phim '!F80)</f>
        <v>0</v>
      </c>
      <c r="AF80" s="110">
        <f>COUNTIF('KK3. Kids'!AF:AF,'TK 15661.Bản quyền phim '!F80)</f>
        <v>0</v>
      </c>
      <c r="AG80" s="110"/>
      <c r="AH80" s="110" t="str">
        <f t="shared" si="15"/>
        <v>OK</v>
      </c>
    </row>
    <row r="81" spans="1:34" ht="15.6" hidden="1" x14ac:dyDescent="0.3">
      <c r="A81" s="43"/>
      <c r="B81" s="108" t="s">
        <v>2996</v>
      </c>
      <c r="C81" s="94" t="s">
        <v>2493</v>
      </c>
      <c r="D81" s="94" t="s">
        <v>2649</v>
      </c>
      <c r="E81" s="94" t="s">
        <v>2648</v>
      </c>
      <c r="F81" s="94" t="s">
        <v>2118</v>
      </c>
      <c r="G81" s="94" t="s">
        <v>2417</v>
      </c>
      <c r="H81" s="119">
        <v>1</v>
      </c>
      <c r="I81" s="119">
        <v>3</v>
      </c>
      <c r="J81" s="119">
        <f t="shared" si="9"/>
        <v>3</v>
      </c>
      <c r="K81" s="119">
        <v>77142857</v>
      </c>
      <c r="L81" s="119">
        <v>25714285.666666668</v>
      </c>
      <c r="M81" s="119">
        <f t="shared" si="10"/>
        <v>2</v>
      </c>
      <c r="N81" s="119">
        <f t="shared" si="11"/>
        <v>51428571.333333343</v>
      </c>
      <c r="O81" s="120">
        <v>45274</v>
      </c>
      <c r="P81" s="120">
        <v>46369</v>
      </c>
      <c r="Q81" s="119">
        <v>1</v>
      </c>
      <c r="R81" s="121">
        <v>25714285.66666666</v>
      </c>
      <c r="S81" s="119">
        <v>0</v>
      </c>
      <c r="T81" s="121">
        <v>0</v>
      </c>
      <c r="U81" s="119">
        <v>1</v>
      </c>
      <c r="V81" s="121">
        <f t="shared" si="12"/>
        <v>25714285.666666668</v>
      </c>
      <c r="W81" s="119">
        <f t="shared" si="13"/>
        <v>0</v>
      </c>
      <c r="X81" s="121">
        <f t="shared" si="14"/>
        <v>0</v>
      </c>
      <c r="Y81" s="122" t="s">
        <v>2416</v>
      </c>
      <c r="Z81" s="123" t="s">
        <v>2407</v>
      </c>
      <c r="AA81" s="123" t="s">
        <v>2406</v>
      </c>
      <c r="AB81" s="123" t="s">
        <v>2372</v>
      </c>
      <c r="AC81" s="124" t="s">
        <v>12</v>
      </c>
      <c r="AD81" s="110">
        <f>COUNTIF('KK1. Movies'!AI:AI,'TK 15661.Bản quyền phim '!F81)</f>
        <v>1</v>
      </c>
      <c r="AE81" s="110">
        <f>COUNTIF('KK2. Series'!AM:AM,'TK 15661.Bản quyền phim '!F81)</f>
        <v>0</v>
      </c>
      <c r="AF81" s="110">
        <f>COUNTIF('KK3. Kids'!AF:AF,'TK 15661.Bản quyền phim '!F81)</f>
        <v>0</v>
      </c>
      <c r="AG81" s="110"/>
      <c r="AH81" s="110" t="str">
        <f t="shared" si="15"/>
        <v>OK</v>
      </c>
    </row>
    <row r="82" spans="1:34" hidden="1" x14ac:dyDescent="0.2">
      <c r="A82" s="49"/>
      <c r="B82" s="108" t="s">
        <v>2995</v>
      </c>
      <c r="C82" s="94" t="s">
        <v>2412</v>
      </c>
      <c r="D82" s="94" t="s">
        <v>2993</v>
      </c>
      <c r="E82" s="94" t="s">
        <v>2992</v>
      </c>
      <c r="F82" s="94" t="s">
        <v>294</v>
      </c>
      <c r="G82" s="94" t="s">
        <v>2409</v>
      </c>
      <c r="H82" s="119">
        <v>78</v>
      </c>
      <c r="I82" s="119">
        <v>3</v>
      </c>
      <c r="J82" s="119">
        <f t="shared" si="9"/>
        <v>234</v>
      </c>
      <c r="K82" s="119">
        <v>186420000</v>
      </c>
      <c r="L82" s="119">
        <v>796666.66666666674</v>
      </c>
      <c r="M82" s="119">
        <f t="shared" si="10"/>
        <v>156</v>
      </c>
      <c r="N82" s="119">
        <f t="shared" si="11"/>
        <v>124280000</v>
      </c>
      <c r="O82" s="120">
        <v>45108</v>
      </c>
      <c r="P82" s="120">
        <v>46203</v>
      </c>
      <c r="Q82" s="119">
        <v>78</v>
      </c>
      <c r="R82" s="121">
        <v>62139999.999999993</v>
      </c>
      <c r="S82" s="119">
        <v>0</v>
      </c>
      <c r="T82" s="121">
        <v>0</v>
      </c>
      <c r="U82" s="119">
        <v>78</v>
      </c>
      <c r="V82" s="121">
        <f t="shared" si="12"/>
        <v>62140000.000000007</v>
      </c>
      <c r="W82" s="119">
        <f t="shared" si="13"/>
        <v>0</v>
      </c>
      <c r="X82" s="121">
        <f t="shared" si="14"/>
        <v>0</v>
      </c>
      <c r="Y82" s="122" t="s">
        <v>2408</v>
      </c>
      <c r="Z82" s="123" t="s">
        <v>2407</v>
      </c>
      <c r="AA82" s="123" t="s">
        <v>2406</v>
      </c>
      <c r="AB82" s="123" t="s">
        <v>2372</v>
      </c>
      <c r="AC82" s="123" t="s">
        <v>8</v>
      </c>
      <c r="AD82" s="110">
        <f>COUNTIF('KK1. Movies'!AI:AI,'TK 15661.Bản quyền phim '!F82)</f>
        <v>0</v>
      </c>
      <c r="AE82" s="110">
        <f>COUNTIF('KK2. Series'!AM:AM,'TK 15661.Bản quyền phim '!F82)</f>
        <v>0</v>
      </c>
      <c r="AF82" s="110">
        <f>COUNTIF('KK3. Kids'!AF:AF,'TK 15661.Bản quyền phim '!F82)</f>
        <v>1</v>
      </c>
      <c r="AG82" s="110"/>
      <c r="AH82" s="110" t="str">
        <f t="shared" si="15"/>
        <v>OK</v>
      </c>
    </row>
    <row r="83" spans="1:34" hidden="1" x14ac:dyDescent="0.2">
      <c r="A83" s="47">
        <f>(U83-H83)*L83</f>
        <v>0</v>
      </c>
      <c r="B83" s="108" t="s">
        <v>2994</v>
      </c>
      <c r="C83" s="94" t="s">
        <v>2412</v>
      </c>
      <c r="D83" s="94" t="s">
        <v>2993</v>
      </c>
      <c r="E83" s="94" t="s">
        <v>2992</v>
      </c>
      <c r="F83" s="94" t="s">
        <v>289</v>
      </c>
      <c r="G83" s="94" t="s">
        <v>2409</v>
      </c>
      <c r="H83" s="119">
        <v>78</v>
      </c>
      <c r="I83" s="119">
        <v>3</v>
      </c>
      <c r="J83" s="119">
        <f t="shared" si="9"/>
        <v>234</v>
      </c>
      <c r="K83" s="119">
        <v>186420000</v>
      </c>
      <c r="L83" s="119">
        <v>796666.66666666674</v>
      </c>
      <c r="M83" s="119">
        <f t="shared" si="10"/>
        <v>156</v>
      </c>
      <c r="N83" s="119">
        <f t="shared" si="11"/>
        <v>124280000</v>
      </c>
      <c r="O83" s="120">
        <v>45108</v>
      </c>
      <c r="P83" s="120">
        <v>46203</v>
      </c>
      <c r="Q83" s="119">
        <v>78</v>
      </c>
      <c r="R83" s="121">
        <v>62139999.999999993</v>
      </c>
      <c r="S83" s="119">
        <v>0</v>
      </c>
      <c r="T83" s="121">
        <v>0</v>
      </c>
      <c r="U83" s="119">
        <v>78</v>
      </c>
      <c r="V83" s="121">
        <f t="shared" si="12"/>
        <v>62140000.000000007</v>
      </c>
      <c r="W83" s="119">
        <f t="shared" si="13"/>
        <v>0</v>
      </c>
      <c r="X83" s="121">
        <f t="shared" si="14"/>
        <v>0</v>
      </c>
      <c r="Y83" s="122" t="s">
        <v>2408</v>
      </c>
      <c r="Z83" s="123" t="s">
        <v>2407</v>
      </c>
      <c r="AA83" s="123" t="s">
        <v>2406</v>
      </c>
      <c r="AB83" s="123" t="s">
        <v>2372</v>
      </c>
      <c r="AC83" s="123" t="s">
        <v>8</v>
      </c>
      <c r="AD83" s="110">
        <f>COUNTIF('KK1. Movies'!AI:AI,'TK 15661.Bản quyền phim '!F83)</f>
        <v>0</v>
      </c>
      <c r="AE83" s="110">
        <f>COUNTIF('KK2. Series'!AM:AM,'TK 15661.Bản quyền phim '!F83)</f>
        <v>0</v>
      </c>
      <c r="AF83" s="110">
        <f>COUNTIF('KK3. Kids'!AF:AF,'TK 15661.Bản quyền phim '!F83)</f>
        <v>1</v>
      </c>
      <c r="AG83" s="110"/>
      <c r="AH83" s="110" t="str">
        <f t="shared" si="15"/>
        <v>OK</v>
      </c>
    </row>
    <row r="84" spans="1:34" hidden="1" x14ac:dyDescent="0.2">
      <c r="A84" s="49"/>
      <c r="B84" s="108" t="s">
        <v>2991</v>
      </c>
      <c r="C84" s="94" t="s">
        <v>2412</v>
      </c>
      <c r="D84" s="94" t="s">
        <v>2773</v>
      </c>
      <c r="E84" s="94" t="s">
        <v>2772</v>
      </c>
      <c r="F84" s="94" t="s">
        <v>266</v>
      </c>
      <c r="G84" s="94" t="s">
        <v>2409</v>
      </c>
      <c r="H84" s="119">
        <v>52</v>
      </c>
      <c r="I84" s="119">
        <v>3</v>
      </c>
      <c r="J84" s="119">
        <f t="shared" si="9"/>
        <v>156</v>
      </c>
      <c r="K84" s="119">
        <v>186420000</v>
      </c>
      <c r="L84" s="119">
        <v>1195000</v>
      </c>
      <c r="M84" s="119">
        <f t="shared" si="10"/>
        <v>104</v>
      </c>
      <c r="N84" s="119">
        <f t="shared" si="11"/>
        <v>124280000</v>
      </c>
      <c r="O84" s="120">
        <v>45160</v>
      </c>
      <c r="P84" s="120">
        <v>46255</v>
      </c>
      <c r="Q84" s="119">
        <v>52</v>
      </c>
      <c r="R84" s="121">
        <v>62140000</v>
      </c>
      <c r="S84" s="119">
        <v>0</v>
      </c>
      <c r="T84" s="121">
        <v>0</v>
      </c>
      <c r="U84" s="119">
        <v>52</v>
      </c>
      <c r="V84" s="121">
        <f t="shared" si="12"/>
        <v>62140000</v>
      </c>
      <c r="W84" s="119">
        <f t="shared" si="13"/>
        <v>0</v>
      </c>
      <c r="X84" s="121">
        <f t="shared" si="14"/>
        <v>0</v>
      </c>
      <c r="Y84" s="122" t="s">
        <v>2408</v>
      </c>
      <c r="Z84" s="123" t="s">
        <v>2407</v>
      </c>
      <c r="AA84" s="123" t="s">
        <v>2406</v>
      </c>
      <c r="AB84" s="123" t="s">
        <v>2372</v>
      </c>
      <c r="AC84" s="123" t="s">
        <v>8</v>
      </c>
      <c r="AD84" s="110">
        <f>COUNTIF('KK1. Movies'!AI:AI,'TK 15661.Bản quyền phim '!F84)</f>
        <v>0</v>
      </c>
      <c r="AE84" s="110">
        <f>COUNTIF('KK2. Series'!AM:AM,'TK 15661.Bản quyền phim '!F84)</f>
        <v>0</v>
      </c>
      <c r="AF84" s="110">
        <f>COUNTIF('KK3. Kids'!AF:AF,'TK 15661.Bản quyền phim '!F84)</f>
        <v>1</v>
      </c>
      <c r="AG84" s="110"/>
      <c r="AH84" s="110" t="str">
        <f t="shared" si="15"/>
        <v>OK</v>
      </c>
    </row>
    <row r="85" spans="1:34" hidden="1" x14ac:dyDescent="0.2">
      <c r="A85" s="49"/>
      <c r="B85" s="108" t="s">
        <v>2990</v>
      </c>
      <c r="C85" s="94" t="s">
        <v>2412</v>
      </c>
      <c r="D85" s="94" t="s">
        <v>2773</v>
      </c>
      <c r="E85" s="94" t="s">
        <v>2772</v>
      </c>
      <c r="F85" s="94" t="s">
        <v>263</v>
      </c>
      <c r="G85" s="94" t="s">
        <v>2409</v>
      </c>
      <c r="H85" s="119">
        <v>78</v>
      </c>
      <c r="I85" s="119">
        <v>3</v>
      </c>
      <c r="J85" s="119">
        <f t="shared" si="9"/>
        <v>234</v>
      </c>
      <c r="K85" s="119">
        <v>186420000</v>
      </c>
      <c r="L85" s="119">
        <v>796666.66666666674</v>
      </c>
      <c r="M85" s="119">
        <f t="shared" si="10"/>
        <v>156</v>
      </c>
      <c r="N85" s="119">
        <f t="shared" si="11"/>
        <v>124280000</v>
      </c>
      <c r="O85" s="120">
        <v>45065</v>
      </c>
      <c r="P85" s="120">
        <v>46160</v>
      </c>
      <c r="Q85" s="119">
        <v>78</v>
      </c>
      <c r="R85" s="121">
        <v>62139999.999999993</v>
      </c>
      <c r="S85" s="119">
        <v>0</v>
      </c>
      <c r="T85" s="121">
        <v>0</v>
      </c>
      <c r="U85" s="119">
        <v>78</v>
      </c>
      <c r="V85" s="121">
        <f t="shared" si="12"/>
        <v>62140000.000000007</v>
      </c>
      <c r="W85" s="119">
        <f t="shared" si="13"/>
        <v>0</v>
      </c>
      <c r="X85" s="121">
        <f t="shared" si="14"/>
        <v>0</v>
      </c>
      <c r="Y85" s="122" t="s">
        <v>2408</v>
      </c>
      <c r="Z85" s="123" t="s">
        <v>2407</v>
      </c>
      <c r="AA85" s="123" t="s">
        <v>2406</v>
      </c>
      <c r="AB85" s="123" t="s">
        <v>2372</v>
      </c>
      <c r="AC85" s="123" t="s">
        <v>8</v>
      </c>
      <c r="AD85" s="110">
        <f>COUNTIF('KK1. Movies'!AI:AI,'TK 15661.Bản quyền phim '!F85)</f>
        <v>0</v>
      </c>
      <c r="AE85" s="110">
        <f>COUNTIF('KK2. Series'!AM:AM,'TK 15661.Bản quyền phim '!F85)</f>
        <v>0</v>
      </c>
      <c r="AF85" s="110">
        <f>COUNTIF('KK3. Kids'!AF:AF,'TK 15661.Bản quyền phim '!F85)</f>
        <v>1</v>
      </c>
      <c r="AG85" s="110"/>
      <c r="AH85" s="110" t="str">
        <f t="shared" si="15"/>
        <v>OK</v>
      </c>
    </row>
    <row r="86" spans="1:34" hidden="1" x14ac:dyDescent="0.2">
      <c r="A86" s="49"/>
      <c r="B86" s="108" t="s">
        <v>2989</v>
      </c>
      <c r="C86" s="94" t="s">
        <v>2412</v>
      </c>
      <c r="D86" s="94" t="s">
        <v>2773</v>
      </c>
      <c r="E86" s="94" t="s">
        <v>2772</v>
      </c>
      <c r="F86" s="94" t="s">
        <v>259</v>
      </c>
      <c r="G86" s="94" t="s">
        <v>2409</v>
      </c>
      <c r="H86" s="119">
        <v>52</v>
      </c>
      <c r="I86" s="119">
        <v>3</v>
      </c>
      <c r="J86" s="119">
        <f t="shared" si="9"/>
        <v>156</v>
      </c>
      <c r="K86" s="119">
        <v>186420000</v>
      </c>
      <c r="L86" s="119">
        <v>1195000</v>
      </c>
      <c r="M86" s="119">
        <f t="shared" si="10"/>
        <v>104</v>
      </c>
      <c r="N86" s="119">
        <f t="shared" si="11"/>
        <v>124280000</v>
      </c>
      <c r="O86" s="120">
        <v>45208</v>
      </c>
      <c r="P86" s="120">
        <v>46303</v>
      </c>
      <c r="Q86" s="119">
        <v>52</v>
      </c>
      <c r="R86" s="121">
        <v>62140000</v>
      </c>
      <c r="S86" s="119">
        <v>0</v>
      </c>
      <c r="T86" s="121">
        <v>0</v>
      </c>
      <c r="U86" s="119">
        <v>52</v>
      </c>
      <c r="V86" s="121">
        <f t="shared" si="12"/>
        <v>62140000</v>
      </c>
      <c r="W86" s="119">
        <f t="shared" si="13"/>
        <v>0</v>
      </c>
      <c r="X86" s="121">
        <f t="shared" si="14"/>
        <v>0</v>
      </c>
      <c r="Y86" s="122" t="s">
        <v>2408</v>
      </c>
      <c r="Z86" s="123" t="s">
        <v>2407</v>
      </c>
      <c r="AA86" s="123" t="s">
        <v>2406</v>
      </c>
      <c r="AB86" s="123" t="s">
        <v>2372</v>
      </c>
      <c r="AC86" s="123" t="s">
        <v>8</v>
      </c>
      <c r="AD86" s="110">
        <f>COUNTIF('KK1. Movies'!AI:AI,'TK 15661.Bản quyền phim '!F86)</f>
        <v>0</v>
      </c>
      <c r="AE86" s="110">
        <f>COUNTIF('KK2. Series'!AM:AM,'TK 15661.Bản quyền phim '!F86)</f>
        <v>0</v>
      </c>
      <c r="AF86" s="110">
        <f>COUNTIF('KK3. Kids'!AF:AF,'TK 15661.Bản quyền phim '!F86)</f>
        <v>1</v>
      </c>
      <c r="AG86" s="110"/>
      <c r="AH86" s="110" t="str">
        <f t="shared" si="15"/>
        <v>OK</v>
      </c>
    </row>
    <row r="87" spans="1:34" ht="15.6" hidden="1" x14ac:dyDescent="0.3">
      <c r="A87" s="43"/>
      <c r="B87" s="108" t="s">
        <v>2988</v>
      </c>
      <c r="C87" s="94" t="s">
        <v>2493</v>
      </c>
      <c r="D87" s="94" t="s">
        <v>2590</v>
      </c>
      <c r="E87" s="94" t="s">
        <v>2589</v>
      </c>
      <c r="F87" s="94" t="s">
        <v>1485</v>
      </c>
      <c r="G87" s="94" t="s">
        <v>2417</v>
      </c>
      <c r="H87" s="119">
        <v>1</v>
      </c>
      <c r="I87" s="119">
        <v>3</v>
      </c>
      <c r="J87" s="119">
        <f t="shared" si="9"/>
        <v>3</v>
      </c>
      <c r="K87" s="119">
        <v>95238095</v>
      </c>
      <c r="L87" s="119">
        <v>31746031.666666668</v>
      </c>
      <c r="M87" s="119">
        <f t="shared" si="10"/>
        <v>2</v>
      </c>
      <c r="N87" s="119">
        <f t="shared" si="11"/>
        <v>63492063.333333343</v>
      </c>
      <c r="O87" s="120">
        <v>44931</v>
      </c>
      <c r="P87" s="120">
        <v>46026</v>
      </c>
      <c r="Q87" s="119">
        <v>1</v>
      </c>
      <c r="R87" s="121">
        <v>31746031.66666666</v>
      </c>
      <c r="S87" s="119">
        <v>0</v>
      </c>
      <c r="T87" s="121">
        <v>0</v>
      </c>
      <c r="U87" s="119">
        <v>1</v>
      </c>
      <c r="V87" s="121">
        <f t="shared" si="12"/>
        <v>31746031.666666668</v>
      </c>
      <c r="W87" s="119">
        <f t="shared" si="13"/>
        <v>0</v>
      </c>
      <c r="X87" s="121">
        <f t="shared" si="14"/>
        <v>0</v>
      </c>
      <c r="Y87" s="122" t="s">
        <v>2416</v>
      </c>
      <c r="Z87" s="123" t="s">
        <v>2407</v>
      </c>
      <c r="AA87" s="123" t="s">
        <v>2406</v>
      </c>
      <c r="AB87" s="123" t="s">
        <v>2372</v>
      </c>
      <c r="AC87" s="124" t="s">
        <v>12</v>
      </c>
      <c r="AD87" s="110">
        <f>COUNTIF('KK1. Movies'!AI:AI,'TK 15661.Bản quyền phim '!F87)</f>
        <v>1</v>
      </c>
      <c r="AE87" s="110">
        <f>COUNTIF('KK2. Series'!AM:AM,'TK 15661.Bản quyền phim '!F87)</f>
        <v>0</v>
      </c>
      <c r="AF87" s="110">
        <f>COUNTIF('KK3. Kids'!AF:AF,'TK 15661.Bản quyền phim '!F87)</f>
        <v>0</v>
      </c>
      <c r="AG87" s="110"/>
      <c r="AH87" s="110" t="str">
        <f t="shared" si="15"/>
        <v>OK</v>
      </c>
    </row>
    <row r="88" spans="1:34" ht="15.6" hidden="1" x14ac:dyDescent="0.3">
      <c r="A88" s="43"/>
      <c r="B88" s="108" t="s">
        <v>2987</v>
      </c>
      <c r="C88" s="94" t="s">
        <v>2493</v>
      </c>
      <c r="D88" s="94" t="s">
        <v>2590</v>
      </c>
      <c r="E88" s="94" t="s">
        <v>2589</v>
      </c>
      <c r="F88" s="94" t="s">
        <v>1803</v>
      </c>
      <c r="G88" s="94" t="s">
        <v>2417</v>
      </c>
      <c r="H88" s="119">
        <v>1</v>
      </c>
      <c r="I88" s="119">
        <v>3</v>
      </c>
      <c r="J88" s="119">
        <f t="shared" si="9"/>
        <v>3</v>
      </c>
      <c r="K88" s="119">
        <v>171428571</v>
      </c>
      <c r="L88" s="119">
        <v>57142857</v>
      </c>
      <c r="M88" s="119">
        <f t="shared" si="10"/>
        <v>2</v>
      </c>
      <c r="N88" s="119">
        <f t="shared" si="11"/>
        <v>114285714</v>
      </c>
      <c r="O88" s="120">
        <v>44948</v>
      </c>
      <c r="P88" s="120">
        <v>46043</v>
      </c>
      <c r="Q88" s="119">
        <v>1</v>
      </c>
      <c r="R88" s="121">
        <v>57142857</v>
      </c>
      <c r="S88" s="119">
        <v>0</v>
      </c>
      <c r="T88" s="121">
        <v>0</v>
      </c>
      <c r="U88" s="119">
        <v>1</v>
      </c>
      <c r="V88" s="121">
        <f t="shared" si="12"/>
        <v>57142857</v>
      </c>
      <c r="W88" s="119">
        <f t="shared" si="13"/>
        <v>0</v>
      </c>
      <c r="X88" s="121">
        <f t="shared" si="14"/>
        <v>0</v>
      </c>
      <c r="Y88" s="122" t="s">
        <v>2416</v>
      </c>
      <c r="Z88" s="123" t="s">
        <v>2407</v>
      </c>
      <c r="AA88" s="123" t="s">
        <v>2406</v>
      </c>
      <c r="AB88" s="123" t="s">
        <v>2372</v>
      </c>
      <c r="AC88" s="124" t="s">
        <v>12</v>
      </c>
      <c r="AD88" s="110">
        <f>COUNTIF('KK1. Movies'!AI:AI,'TK 15661.Bản quyền phim '!F88)</f>
        <v>1</v>
      </c>
      <c r="AE88" s="110">
        <f>COUNTIF('KK2. Series'!AM:AM,'TK 15661.Bản quyền phim '!F88)</f>
        <v>0</v>
      </c>
      <c r="AF88" s="110">
        <f>COUNTIF('KK3. Kids'!AF:AF,'TK 15661.Bản quyền phim '!F88)</f>
        <v>0</v>
      </c>
      <c r="AG88" s="110"/>
      <c r="AH88" s="110" t="str">
        <f t="shared" si="15"/>
        <v>OK</v>
      </c>
    </row>
    <row r="89" spans="1:34" ht="15.6" hidden="1" x14ac:dyDescent="0.3">
      <c r="A89" s="43"/>
      <c r="B89" s="108" t="s">
        <v>2986</v>
      </c>
      <c r="C89" s="94" t="s">
        <v>2493</v>
      </c>
      <c r="D89" s="94" t="s">
        <v>2590</v>
      </c>
      <c r="E89" s="94" t="s">
        <v>2589</v>
      </c>
      <c r="F89" s="94" t="s">
        <v>2327</v>
      </c>
      <c r="G89" s="94" t="s">
        <v>2417</v>
      </c>
      <c r="H89" s="119">
        <v>1</v>
      </c>
      <c r="I89" s="119">
        <v>3</v>
      </c>
      <c r="J89" s="119">
        <f t="shared" si="9"/>
        <v>3</v>
      </c>
      <c r="K89" s="119">
        <v>85714286</v>
      </c>
      <c r="L89" s="119">
        <v>28571428.666666668</v>
      </c>
      <c r="M89" s="119">
        <f t="shared" si="10"/>
        <v>2</v>
      </c>
      <c r="N89" s="119">
        <f t="shared" si="11"/>
        <v>57142857.333333343</v>
      </c>
      <c r="O89" s="120">
        <v>44952</v>
      </c>
      <c r="P89" s="120">
        <v>46047</v>
      </c>
      <c r="Q89" s="119">
        <v>1</v>
      </c>
      <c r="R89" s="121">
        <v>28571428.66666666</v>
      </c>
      <c r="S89" s="119">
        <v>0</v>
      </c>
      <c r="T89" s="121">
        <v>0</v>
      </c>
      <c r="U89" s="119">
        <v>1</v>
      </c>
      <c r="V89" s="121">
        <f t="shared" si="12"/>
        <v>28571428.666666668</v>
      </c>
      <c r="W89" s="119">
        <f t="shared" si="13"/>
        <v>0</v>
      </c>
      <c r="X89" s="121">
        <f t="shared" si="14"/>
        <v>0</v>
      </c>
      <c r="Y89" s="122" t="s">
        <v>2416</v>
      </c>
      <c r="Z89" s="123" t="s">
        <v>2407</v>
      </c>
      <c r="AA89" s="123" t="s">
        <v>2406</v>
      </c>
      <c r="AB89" s="123" t="s">
        <v>2372</v>
      </c>
      <c r="AC89" s="124" t="s">
        <v>12</v>
      </c>
      <c r="AD89" s="110">
        <f>COUNTIF('KK1. Movies'!AI:AI,'TK 15661.Bản quyền phim '!F89)</f>
        <v>1</v>
      </c>
      <c r="AE89" s="110">
        <f>COUNTIF('KK2. Series'!AM:AM,'TK 15661.Bản quyền phim '!F89)</f>
        <v>0</v>
      </c>
      <c r="AF89" s="110">
        <f>COUNTIF('KK3. Kids'!AF:AF,'TK 15661.Bản quyền phim '!F89)</f>
        <v>0</v>
      </c>
      <c r="AG89" s="110"/>
      <c r="AH89" s="110" t="str">
        <f t="shared" si="15"/>
        <v>OK</v>
      </c>
    </row>
    <row r="90" spans="1:34" ht="15.6" hidden="1" x14ac:dyDescent="0.3">
      <c r="A90" s="43"/>
      <c r="B90" s="108" t="s">
        <v>2985</v>
      </c>
      <c r="C90" s="94" t="s">
        <v>2493</v>
      </c>
      <c r="D90" s="94" t="s">
        <v>2590</v>
      </c>
      <c r="E90" s="94" t="s">
        <v>2589</v>
      </c>
      <c r="F90" s="94" t="s">
        <v>2125</v>
      </c>
      <c r="G90" s="94" t="s">
        <v>2417</v>
      </c>
      <c r="H90" s="119">
        <v>1</v>
      </c>
      <c r="I90" s="119">
        <v>3</v>
      </c>
      <c r="J90" s="119">
        <f t="shared" si="9"/>
        <v>3</v>
      </c>
      <c r="K90" s="119">
        <v>95238095</v>
      </c>
      <c r="L90" s="119">
        <v>31746031.666666668</v>
      </c>
      <c r="M90" s="119">
        <f t="shared" si="10"/>
        <v>2</v>
      </c>
      <c r="N90" s="119">
        <f t="shared" si="11"/>
        <v>63492063.333333343</v>
      </c>
      <c r="O90" s="120">
        <v>44966</v>
      </c>
      <c r="P90" s="120">
        <v>46061</v>
      </c>
      <c r="Q90" s="119">
        <v>1</v>
      </c>
      <c r="R90" s="121">
        <v>31746031.66666666</v>
      </c>
      <c r="S90" s="119">
        <v>0</v>
      </c>
      <c r="T90" s="121">
        <v>0</v>
      </c>
      <c r="U90" s="119">
        <v>1</v>
      </c>
      <c r="V90" s="121">
        <f t="shared" si="12"/>
        <v>31746031.666666668</v>
      </c>
      <c r="W90" s="119">
        <f t="shared" si="13"/>
        <v>0</v>
      </c>
      <c r="X90" s="121">
        <f t="shared" si="14"/>
        <v>0</v>
      </c>
      <c r="Y90" s="122" t="s">
        <v>2416</v>
      </c>
      <c r="Z90" s="123" t="s">
        <v>2407</v>
      </c>
      <c r="AA90" s="123" t="s">
        <v>2406</v>
      </c>
      <c r="AB90" s="123" t="s">
        <v>2372</v>
      </c>
      <c r="AC90" s="124" t="s">
        <v>12</v>
      </c>
      <c r="AD90" s="110">
        <f>COUNTIF('KK1. Movies'!AI:AI,'TK 15661.Bản quyền phim '!F90)</f>
        <v>1</v>
      </c>
      <c r="AE90" s="110">
        <f>COUNTIF('KK2. Series'!AM:AM,'TK 15661.Bản quyền phim '!F90)</f>
        <v>0</v>
      </c>
      <c r="AF90" s="110">
        <f>COUNTIF('KK3. Kids'!AF:AF,'TK 15661.Bản quyền phim '!F90)</f>
        <v>0</v>
      </c>
      <c r="AG90" s="110"/>
      <c r="AH90" s="110" t="str">
        <f t="shared" si="15"/>
        <v>OK</v>
      </c>
    </row>
    <row r="91" spans="1:34" ht="15.6" hidden="1" x14ac:dyDescent="0.3">
      <c r="A91" s="43"/>
      <c r="B91" s="108" t="s">
        <v>2984</v>
      </c>
      <c r="C91" s="94" t="s">
        <v>2493</v>
      </c>
      <c r="D91" s="94" t="s">
        <v>2590</v>
      </c>
      <c r="E91" s="94" t="s">
        <v>2589</v>
      </c>
      <c r="F91" s="94" t="s">
        <v>2983</v>
      </c>
      <c r="G91" s="94" t="s">
        <v>2417</v>
      </c>
      <c r="H91" s="119">
        <v>1</v>
      </c>
      <c r="I91" s="119">
        <v>3</v>
      </c>
      <c r="J91" s="119">
        <f t="shared" si="9"/>
        <v>3</v>
      </c>
      <c r="K91" s="119">
        <v>104761905</v>
      </c>
      <c r="L91" s="119">
        <v>34920635</v>
      </c>
      <c r="M91" s="119">
        <f t="shared" si="10"/>
        <v>2</v>
      </c>
      <c r="N91" s="119">
        <f t="shared" si="11"/>
        <v>69841270</v>
      </c>
      <c r="O91" s="120">
        <v>44987</v>
      </c>
      <c r="P91" s="120">
        <v>46082</v>
      </c>
      <c r="Q91" s="119">
        <v>1</v>
      </c>
      <c r="R91" s="121">
        <v>34920635</v>
      </c>
      <c r="S91" s="119">
        <v>0</v>
      </c>
      <c r="T91" s="121">
        <v>0</v>
      </c>
      <c r="U91" s="119">
        <v>1</v>
      </c>
      <c r="V91" s="121">
        <f t="shared" si="12"/>
        <v>34920635</v>
      </c>
      <c r="W91" s="119">
        <f t="shared" si="13"/>
        <v>0</v>
      </c>
      <c r="X91" s="121">
        <f t="shared" si="14"/>
        <v>0</v>
      </c>
      <c r="Y91" s="122" t="s">
        <v>2416</v>
      </c>
      <c r="Z91" s="123" t="s">
        <v>2407</v>
      </c>
      <c r="AA91" s="123" t="s">
        <v>2406</v>
      </c>
      <c r="AB91" s="123" t="s">
        <v>2372</v>
      </c>
      <c r="AC91" s="124" t="s">
        <v>12</v>
      </c>
      <c r="AD91" s="110">
        <f>COUNTIF('KK1. Movies'!AI:AI,'TK 15661.Bản quyền phim '!F91)</f>
        <v>1</v>
      </c>
      <c r="AE91" s="110">
        <f>COUNTIF('KK2. Series'!AM:AM,'TK 15661.Bản quyền phim '!F91)</f>
        <v>0</v>
      </c>
      <c r="AF91" s="110">
        <f>COUNTIF('KK3. Kids'!AF:AF,'TK 15661.Bản quyền phim '!F91)</f>
        <v>0</v>
      </c>
      <c r="AG91" s="110"/>
      <c r="AH91" s="110" t="str">
        <f t="shared" si="15"/>
        <v>OK</v>
      </c>
    </row>
    <row r="92" spans="1:34" ht="15.6" hidden="1" x14ac:dyDescent="0.3">
      <c r="A92" s="43"/>
      <c r="B92" s="108" t="s">
        <v>2982</v>
      </c>
      <c r="C92" s="94" t="s">
        <v>2493</v>
      </c>
      <c r="D92" s="94" t="s">
        <v>2590</v>
      </c>
      <c r="E92" s="94" t="s">
        <v>2589</v>
      </c>
      <c r="F92" s="94" t="s">
        <v>1498</v>
      </c>
      <c r="G92" s="94" t="s">
        <v>2417</v>
      </c>
      <c r="H92" s="119">
        <v>1</v>
      </c>
      <c r="I92" s="119">
        <v>3</v>
      </c>
      <c r="J92" s="119">
        <f t="shared" si="9"/>
        <v>3</v>
      </c>
      <c r="K92" s="119">
        <v>61904762</v>
      </c>
      <c r="L92" s="119">
        <v>20634920.666666668</v>
      </c>
      <c r="M92" s="119">
        <f t="shared" si="10"/>
        <v>2</v>
      </c>
      <c r="N92" s="119">
        <f t="shared" si="11"/>
        <v>41269841.333333343</v>
      </c>
      <c r="O92" s="120">
        <v>45021</v>
      </c>
      <c r="P92" s="120">
        <v>46116</v>
      </c>
      <c r="Q92" s="119">
        <v>1</v>
      </c>
      <c r="R92" s="121">
        <v>20634920.66666666</v>
      </c>
      <c r="S92" s="119">
        <v>0</v>
      </c>
      <c r="T92" s="121">
        <v>0</v>
      </c>
      <c r="U92" s="119">
        <v>1</v>
      </c>
      <c r="V92" s="121">
        <f t="shared" si="12"/>
        <v>20634920.666666668</v>
      </c>
      <c r="W92" s="119">
        <f t="shared" si="13"/>
        <v>0</v>
      </c>
      <c r="X92" s="121">
        <f t="shared" si="14"/>
        <v>0</v>
      </c>
      <c r="Y92" s="122" t="s">
        <v>2416</v>
      </c>
      <c r="Z92" s="123" t="s">
        <v>2407</v>
      </c>
      <c r="AA92" s="123" t="s">
        <v>2406</v>
      </c>
      <c r="AB92" s="123" t="s">
        <v>2372</v>
      </c>
      <c r="AC92" s="124" t="s">
        <v>12</v>
      </c>
      <c r="AD92" s="110">
        <f>COUNTIF('KK1. Movies'!AI:AI,'TK 15661.Bản quyền phim '!F92)</f>
        <v>1</v>
      </c>
      <c r="AE92" s="110">
        <f>COUNTIF('KK2. Series'!AM:AM,'TK 15661.Bản quyền phim '!F92)</f>
        <v>0</v>
      </c>
      <c r="AF92" s="110">
        <f>COUNTIF('KK3. Kids'!AF:AF,'TK 15661.Bản quyền phim '!F92)</f>
        <v>0</v>
      </c>
      <c r="AG92" s="110"/>
      <c r="AH92" s="110" t="str">
        <f t="shared" si="15"/>
        <v>OK</v>
      </c>
    </row>
    <row r="93" spans="1:34" ht="15.6" hidden="1" x14ac:dyDescent="0.3">
      <c r="A93" s="43"/>
      <c r="B93" s="108" t="s">
        <v>2981</v>
      </c>
      <c r="C93" s="94" t="s">
        <v>2493</v>
      </c>
      <c r="D93" s="94" t="s">
        <v>2590</v>
      </c>
      <c r="E93" s="94" t="s">
        <v>2589</v>
      </c>
      <c r="F93" s="94" t="s">
        <v>1949</v>
      </c>
      <c r="G93" s="94" t="s">
        <v>2417</v>
      </c>
      <c r="H93" s="119">
        <v>1</v>
      </c>
      <c r="I93" s="119">
        <v>3</v>
      </c>
      <c r="J93" s="119">
        <f t="shared" si="9"/>
        <v>3</v>
      </c>
      <c r="K93" s="119">
        <v>95238095</v>
      </c>
      <c r="L93" s="119">
        <v>31746031.666666668</v>
      </c>
      <c r="M93" s="119">
        <f t="shared" si="10"/>
        <v>2</v>
      </c>
      <c r="N93" s="119">
        <f t="shared" si="11"/>
        <v>63492063.333333343</v>
      </c>
      <c r="O93" s="120">
        <v>45098</v>
      </c>
      <c r="P93" s="120">
        <v>46193</v>
      </c>
      <c r="Q93" s="119">
        <v>1</v>
      </c>
      <c r="R93" s="121">
        <v>31746031.66666666</v>
      </c>
      <c r="S93" s="119">
        <v>0</v>
      </c>
      <c r="T93" s="121">
        <v>0</v>
      </c>
      <c r="U93" s="119">
        <v>1</v>
      </c>
      <c r="V93" s="121">
        <f t="shared" si="12"/>
        <v>31746031.666666668</v>
      </c>
      <c r="W93" s="119">
        <f t="shared" si="13"/>
        <v>0</v>
      </c>
      <c r="X93" s="121">
        <f t="shared" si="14"/>
        <v>0</v>
      </c>
      <c r="Y93" s="122" t="s">
        <v>2416</v>
      </c>
      <c r="Z93" s="123" t="s">
        <v>2407</v>
      </c>
      <c r="AA93" s="123" t="s">
        <v>2406</v>
      </c>
      <c r="AB93" s="123" t="s">
        <v>2372</v>
      </c>
      <c r="AC93" s="124" t="s">
        <v>12</v>
      </c>
      <c r="AD93" s="110">
        <f>COUNTIF('KK1. Movies'!AI:AI,'TK 15661.Bản quyền phim '!F93)</f>
        <v>1</v>
      </c>
      <c r="AE93" s="110">
        <f>COUNTIF('KK2. Series'!AM:AM,'TK 15661.Bản quyền phim '!F93)</f>
        <v>0</v>
      </c>
      <c r="AF93" s="110">
        <f>COUNTIF('KK3. Kids'!AF:AF,'TK 15661.Bản quyền phim '!F93)</f>
        <v>0</v>
      </c>
      <c r="AG93" s="110"/>
      <c r="AH93" s="110" t="str">
        <f t="shared" si="15"/>
        <v>OK</v>
      </c>
    </row>
    <row r="94" spans="1:34" ht="15.6" hidden="1" x14ac:dyDescent="0.3">
      <c r="A94" s="43"/>
      <c r="B94" s="108" t="s">
        <v>2980</v>
      </c>
      <c r="C94" s="94" t="s">
        <v>2493</v>
      </c>
      <c r="D94" s="94" t="s">
        <v>2590</v>
      </c>
      <c r="E94" s="94" t="s">
        <v>2589</v>
      </c>
      <c r="F94" s="94" t="s">
        <v>1990</v>
      </c>
      <c r="G94" s="94" t="s">
        <v>2417</v>
      </c>
      <c r="H94" s="119">
        <v>1</v>
      </c>
      <c r="I94" s="119">
        <v>3</v>
      </c>
      <c r="J94" s="119">
        <f t="shared" si="9"/>
        <v>3</v>
      </c>
      <c r="K94" s="119">
        <v>95238095</v>
      </c>
      <c r="L94" s="119">
        <v>31746031.666666668</v>
      </c>
      <c r="M94" s="119">
        <f t="shared" si="10"/>
        <v>2</v>
      </c>
      <c r="N94" s="119">
        <f t="shared" si="11"/>
        <v>63492063.333333343</v>
      </c>
      <c r="O94" s="120">
        <v>45183</v>
      </c>
      <c r="P94" s="120">
        <v>46278</v>
      </c>
      <c r="Q94" s="119">
        <v>1</v>
      </c>
      <c r="R94" s="121">
        <v>31746031.66666666</v>
      </c>
      <c r="S94" s="119">
        <v>0</v>
      </c>
      <c r="T94" s="121">
        <v>0</v>
      </c>
      <c r="U94" s="119">
        <v>1</v>
      </c>
      <c r="V94" s="121">
        <f t="shared" si="12"/>
        <v>31746031.666666668</v>
      </c>
      <c r="W94" s="119">
        <f t="shared" si="13"/>
        <v>0</v>
      </c>
      <c r="X94" s="121">
        <f t="shared" si="14"/>
        <v>0</v>
      </c>
      <c r="Y94" s="122" t="s">
        <v>2416</v>
      </c>
      <c r="Z94" s="123" t="s">
        <v>2407</v>
      </c>
      <c r="AA94" s="123" t="s">
        <v>2406</v>
      </c>
      <c r="AB94" s="123" t="s">
        <v>2372</v>
      </c>
      <c r="AC94" s="124" t="s">
        <v>12</v>
      </c>
      <c r="AD94" s="110">
        <f>COUNTIF('KK1. Movies'!AI:AI,'TK 15661.Bản quyền phim '!F94)</f>
        <v>1</v>
      </c>
      <c r="AE94" s="110">
        <f>COUNTIF('KK2. Series'!AM:AM,'TK 15661.Bản quyền phim '!F94)</f>
        <v>0</v>
      </c>
      <c r="AF94" s="110">
        <f>COUNTIF('KK3. Kids'!AF:AF,'TK 15661.Bản quyền phim '!F94)</f>
        <v>0</v>
      </c>
      <c r="AG94" s="110"/>
      <c r="AH94" s="110" t="str">
        <f t="shared" si="15"/>
        <v>OK</v>
      </c>
    </row>
    <row r="95" spans="1:34" ht="15.6" hidden="1" x14ac:dyDescent="0.3">
      <c r="A95" s="43"/>
      <c r="B95" s="108" t="s">
        <v>2979</v>
      </c>
      <c r="C95" s="94" t="s">
        <v>2493</v>
      </c>
      <c r="D95" s="94" t="s">
        <v>2590</v>
      </c>
      <c r="E95" s="94" t="s">
        <v>2589</v>
      </c>
      <c r="F95" s="94" t="s">
        <v>2168</v>
      </c>
      <c r="G95" s="94" t="s">
        <v>2417</v>
      </c>
      <c r="H95" s="119">
        <v>1</v>
      </c>
      <c r="I95" s="119">
        <v>3</v>
      </c>
      <c r="J95" s="119">
        <f t="shared" si="9"/>
        <v>3</v>
      </c>
      <c r="K95" s="119">
        <v>95238095</v>
      </c>
      <c r="L95" s="119">
        <v>31746031.666666668</v>
      </c>
      <c r="M95" s="119">
        <f t="shared" si="10"/>
        <v>2</v>
      </c>
      <c r="N95" s="119">
        <f t="shared" si="11"/>
        <v>63492063.333333343</v>
      </c>
      <c r="O95" s="120">
        <v>45190</v>
      </c>
      <c r="P95" s="120">
        <v>46285</v>
      </c>
      <c r="Q95" s="119">
        <v>1</v>
      </c>
      <c r="R95" s="121">
        <v>31746031.66666666</v>
      </c>
      <c r="S95" s="119">
        <v>0</v>
      </c>
      <c r="T95" s="121">
        <v>0</v>
      </c>
      <c r="U95" s="119">
        <v>1</v>
      </c>
      <c r="V95" s="121">
        <f t="shared" si="12"/>
        <v>31746031.666666668</v>
      </c>
      <c r="W95" s="119">
        <f t="shared" si="13"/>
        <v>0</v>
      </c>
      <c r="X95" s="121">
        <f t="shared" si="14"/>
        <v>0</v>
      </c>
      <c r="Y95" s="122" t="s">
        <v>2416</v>
      </c>
      <c r="Z95" s="123" t="s">
        <v>2407</v>
      </c>
      <c r="AA95" s="123" t="s">
        <v>2406</v>
      </c>
      <c r="AB95" s="123" t="s">
        <v>2372</v>
      </c>
      <c r="AC95" s="124" t="s">
        <v>12</v>
      </c>
      <c r="AD95" s="110">
        <f>COUNTIF('KK1. Movies'!AI:AI,'TK 15661.Bản quyền phim '!F95)</f>
        <v>1</v>
      </c>
      <c r="AE95" s="110">
        <f>COUNTIF('KK2. Series'!AM:AM,'TK 15661.Bản quyền phim '!F95)</f>
        <v>0</v>
      </c>
      <c r="AF95" s="110">
        <f>COUNTIF('KK3. Kids'!AF:AF,'TK 15661.Bản quyền phim '!F95)</f>
        <v>0</v>
      </c>
      <c r="AG95" s="110"/>
      <c r="AH95" s="110" t="str">
        <f t="shared" si="15"/>
        <v>OK</v>
      </c>
    </row>
    <row r="96" spans="1:34" ht="15.6" hidden="1" x14ac:dyDescent="0.3">
      <c r="A96" s="43"/>
      <c r="B96" s="108" t="s">
        <v>2978</v>
      </c>
      <c r="C96" s="94" t="s">
        <v>2493</v>
      </c>
      <c r="D96" s="94" t="s">
        <v>2590</v>
      </c>
      <c r="E96" s="94" t="s">
        <v>2589</v>
      </c>
      <c r="F96" s="94" t="s">
        <v>1452</v>
      </c>
      <c r="G96" s="94" t="s">
        <v>2417</v>
      </c>
      <c r="H96" s="119">
        <v>1</v>
      </c>
      <c r="I96" s="119">
        <v>3</v>
      </c>
      <c r="J96" s="119">
        <f t="shared" si="9"/>
        <v>3</v>
      </c>
      <c r="K96" s="119">
        <v>95238095</v>
      </c>
      <c r="L96" s="119">
        <v>31746031.666666668</v>
      </c>
      <c r="M96" s="119">
        <f t="shared" si="10"/>
        <v>2</v>
      </c>
      <c r="N96" s="119">
        <f t="shared" si="11"/>
        <v>63492063.333333343</v>
      </c>
      <c r="O96" s="120">
        <v>45212</v>
      </c>
      <c r="P96" s="120">
        <v>46307</v>
      </c>
      <c r="Q96" s="119">
        <v>1</v>
      </c>
      <c r="R96" s="121">
        <v>31746031.66666666</v>
      </c>
      <c r="S96" s="119">
        <v>0</v>
      </c>
      <c r="T96" s="121">
        <v>0</v>
      </c>
      <c r="U96" s="119">
        <v>1</v>
      </c>
      <c r="V96" s="121">
        <f t="shared" si="12"/>
        <v>31746031.666666668</v>
      </c>
      <c r="W96" s="119">
        <f t="shared" si="13"/>
        <v>0</v>
      </c>
      <c r="X96" s="121">
        <f t="shared" si="14"/>
        <v>0</v>
      </c>
      <c r="Y96" s="122" t="s">
        <v>2416</v>
      </c>
      <c r="Z96" s="123" t="s">
        <v>2407</v>
      </c>
      <c r="AA96" s="123" t="s">
        <v>2406</v>
      </c>
      <c r="AB96" s="123" t="s">
        <v>2372</v>
      </c>
      <c r="AC96" s="124" t="s">
        <v>12</v>
      </c>
      <c r="AD96" s="110">
        <f>COUNTIF('KK1. Movies'!AI:AI,'TK 15661.Bản quyền phim '!F96)</f>
        <v>1</v>
      </c>
      <c r="AE96" s="110">
        <f>COUNTIF('KK2. Series'!AM:AM,'TK 15661.Bản quyền phim '!F96)</f>
        <v>0</v>
      </c>
      <c r="AF96" s="110">
        <f>COUNTIF('KK3. Kids'!AF:AF,'TK 15661.Bản quyền phim '!F96)</f>
        <v>0</v>
      </c>
      <c r="AG96" s="110"/>
      <c r="AH96" s="110" t="str">
        <f t="shared" si="15"/>
        <v>OK</v>
      </c>
    </row>
    <row r="97" spans="1:34" ht="15.6" hidden="1" x14ac:dyDescent="0.3">
      <c r="A97" s="43"/>
      <c r="B97" s="108" t="s">
        <v>2977</v>
      </c>
      <c r="C97" s="94" t="s">
        <v>2493</v>
      </c>
      <c r="D97" s="94" t="s">
        <v>2590</v>
      </c>
      <c r="E97" s="94" t="s">
        <v>2589</v>
      </c>
      <c r="F97" s="94" t="s">
        <v>1417</v>
      </c>
      <c r="G97" s="94" t="s">
        <v>2417</v>
      </c>
      <c r="H97" s="119">
        <v>1</v>
      </c>
      <c r="I97" s="119">
        <v>3</v>
      </c>
      <c r="J97" s="119">
        <f t="shared" si="9"/>
        <v>3</v>
      </c>
      <c r="K97" s="119">
        <v>95238095</v>
      </c>
      <c r="L97" s="119">
        <v>31746031.666666668</v>
      </c>
      <c r="M97" s="119">
        <f t="shared" si="10"/>
        <v>2</v>
      </c>
      <c r="N97" s="119">
        <f t="shared" si="11"/>
        <v>63492063.333333343</v>
      </c>
      <c r="O97" s="120">
        <v>45246</v>
      </c>
      <c r="P97" s="120">
        <v>46341</v>
      </c>
      <c r="Q97" s="119">
        <v>1</v>
      </c>
      <c r="R97" s="121">
        <v>31746031.66666666</v>
      </c>
      <c r="S97" s="119">
        <v>0</v>
      </c>
      <c r="T97" s="121">
        <v>0</v>
      </c>
      <c r="U97" s="119">
        <v>1</v>
      </c>
      <c r="V97" s="121">
        <f t="shared" si="12"/>
        <v>31746031.666666668</v>
      </c>
      <c r="W97" s="119">
        <f t="shared" si="13"/>
        <v>0</v>
      </c>
      <c r="X97" s="121">
        <f t="shared" si="14"/>
        <v>0</v>
      </c>
      <c r="Y97" s="122" t="s">
        <v>2416</v>
      </c>
      <c r="Z97" s="123" t="s">
        <v>2407</v>
      </c>
      <c r="AA97" s="123" t="s">
        <v>2406</v>
      </c>
      <c r="AB97" s="123" t="s">
        <v>2372</v>
      </c>
      <c r="AC97" s="124" t="s">
        <v>12</v>
      </c>
      <c r="AD97" s="110">
        <f>COUNTIF('KK1. Movies'!AI:AI,'TK 15661.Bản quyền phim '!F97)</f>
        <v>1</v>
      </c>
      <c r="AE97" s="110">
        <f>COUNTIF('KK2. Series'!AM:AM,'TK 15661.Bản quyền phim '!F97)</f>
        <v>0</v>
      </c>
      <c r="AF97" s="110">
        <f>COUNTIF('KK3. Kids'!AF:AF,'TK 15661.Bản quyền phim '!F97)</f>
        <v>0</v>
      </c>
      <c r="AG97" s="110"/>
      <c r="AH97" s="110" t="str">
        <f t="shared" si="15"/>
        <v>OK</v>
      </c>
    </row>
    <row r="98" spans="1:34" ht="15.6" hidden="1" x14ac:dyDescent="0.3">
      <c r="A98" s="43"/>
      <c r="B98" s="108" t="s">
        <v>2976</v>
      </c>
      <c r="C98" s="94" t="s">
        <v>2493</v>
      </c>
      <c r="D98" s="94" t="s">
        <v>2590</v>
      </c>
      <c r="E98" s="94" t="s">
        <v>2589</v>
      </c>
      <c r="F98" s="94" t="s">
        <v>2297</v>
      </c>
      <c r="G98" s="94" t="s">
        <v>2417</v>
      </c>
      <c r="H98" s="119">
        <v>1</v>
      </c>
      <c r="I98" s="119">
        <v>3</v>
      </c>
      <c r="J98" s="119">
        <f t="shared" si="9"/>
        <v>3</v>
      </c>
      <c r="K98" s="119">
        <v>85714286</v>
      </c>
      <c r="L98" s="119">
        <v>28571428.666666668</v>
      </c>
      <c r="M98" s="119">
        <f t="shared" si="10"/>
        <v>2</v>
      </c>
      <c r="N98" s="119">
        <f t="shared" si="11"/>
        <v>57142857.333333343</v>
      </c>
      <c r="O98" s="120">
        <v>45275</v>
      </c>
      <c r="P98" s="120">
        <v>46370</v>
      </c>
      <c r="Q98" s="119">
        <v>1</v>
      </c>
      <c r="R98" s="121">
        <v>28571428.66666666</v>
      </c>
      <c r="S98" s="119">
        <v>0</v>
      </c>
      <c r="T98" s="121">
        <v>0</v>
      </c>
      <c r="U98" s="119">
        <v>1</v>
      </c>
      <c r="V98" s="121">
        <f t="shared" si="12"/>
        <v>28571428.666666668</v>
      </c>
      <c r="W98" s="119">
        <f t="shared" si="13"/>
        <v>0</v>
      </c>
      <c r="X98" s="121">
        <f t="shared" si="14"/>
        <v>0</v>
      </c>
      <c r="Y98" s="122" t="s">
        <v>2416</v>
      </c>
      <c r="Z98" s="123" t="s">
        <v>2407</v>
      </c>
      <c r="AA98" s="123" t="s">
        <v>2406</v>
      </c>
      <c r="AB98" s="123" t="s">
        <v>2372</v>
      </c>
      <c r="AC98" s="124" t="s">
        <v>12</v>
      </c>
      <c r="AD98" s="110">
        <f>COUNTIF('KK1. Movies'!AI:AI,'TK 15661.Bản quyền phim '!F98)</f>
        <v>1</v>
      </c>
      <c r="AE98" s="110">
        <f>COUNTIF('KK2. Series'!AM:AM,'TK 15661.Bản quyền phim '!F98)</f>
        <v>0</v>
      </c>
      <c r="AF98" s="110">
        <f>COUNTIF('KK3. Kids'!AF:AF,'TK 15661.Bản quyền phim '!F98)</f>
        <v>0</v>
      </c>
      <c r="AG98" s="110"/>
      <c r="AH98" s="110" t="str">
        <f t="shared" si="15"/>
        <v>OK</v>
      </c>
    </row>
    <row r="99" spans="1:34" ht="15.6" hidden="1" x14ac:dyDescent="0.3">
      <c r="A99" s="43"/>
      <c r="B99" s="108" t="s">
        <v>2975</v>
      </c>
      <c r="C99" s="94" t="s">
        <v>2493</v>
      </c>
      <c r="D99" s="94" t="s">
        <v>2590</v>
      </c>
      <c r="E99" s="94" t="s">
        <v>2589</v>
      </c>
      <c r="F99" s="94" t="s">
        <v>2285</v>
      </c>
      <c r="G99" s="94" t="s">
        <v>2417</v>
      </c>
      <c r="H99" s="119">
        <v>1</v>
      </c>
      <c r="I99" s="119">
        <v>3</v>
      </c>
      <c r="J99" s="119">
        <f t="shared" si="9"/>
        <v>3</v>
      </c>
      <c r="K99" s="119">
        <v>61904762</v>
      </c>
      <c r="L99" s="119">
        <v>20634920.666666668</v>
      </c>
      <c r="M99" s="119">
        <f t="shared" si="10"/>
        <v>2</v>
      </c>
      <c r="N99" s="119">
        <f t="shared" si="11"/>
        <v>41269841.333333343</v>
      </c>
      <c r="O99" s="120">
        <v>45281</v>
      </c>
      <c r="P99" s="120">
        <v>46376</v>
      </c>
      <c r="Q99" s="119">
        <v>1</v>
      </c>
      <c r="R99" s="121">
        <v>20634920.66666666</v>
      </c>
      <c r="S99" s="119">
        <v>0</v>
      </c>
      <c r="T99" s="121">
        <v>0</v>
      </c>
      <c r="U99" s="119">
        <v>1</v>
      </c>
      <c r="V99" s="121">
        <f t="shared" si="12"/>
        <v>20634920.666666668</v>
      </c>
      <c r="W99" s="119">
        <f t="shared" si="13"/>
        <v>0</v>
      </c>
      <c r="X99" s="121">
        <f t="shared" si="14"/>
        <v>0</v>
      </c>
      <c r="Y99" s="122" t="s">
        <v>2416</v>
      </c>
      <c r="Z99" s="123" t="s">
        <v>2407</v>
      </c>
      <c r="AA99" s="123" t="s">
        <v>2406</v>
      </c>
      <c r="AB99" s="123" t="s">
        <v>2372</v>
      </c>
      <c r="AC99" s="124" t="s">
        <v>12</v>
      </c>
      <c r="AD99" s="110">
        <f>COUNTIF('KK1. Movies'!AI:AI,'TK 15661.Bản quyền phim '!F99)</f>
        <v>1</v>
      </c>
      <c r="AE99" s="110">
        <f>COUNTIF('KK2. Series'!AM:AM,'TK 15661.Bản quyền phim '!F99)</f>
        <v>0</v>
      </c>
      <c r="AF99" s="110">
        <f>COUNTIF('KK3. Kids'!AF:AF,'TK 15661.Bản quyền phim '!F99)</f>
        <v>0</v>
      </c>
      <c r="AG99" s="110"/>
      <c r="AH99" s="110" t="str">
        <f t="shared" si="15"/>
        <v>OK</v>
      </c>
    </row>
    <row r="100" spans="1:34" ht="15.6" hidden="1" x14ac:dyDescent="0.3">
      <c r="A100" s="43"/>
      <c r="B100" s="108" t="s">
        <v>2974</v>
      </c>
      <c r="C100" s="94" t="s">
        <v>2493</v>
      </c>
      <c r="D100" s="94" t="s">
        <v>2928</v>
      </c>
      <c r="E100" s="94" t="s">
        <v>2927</v>
      </c>
      <c r="F100" s="94" t="s">
        <v>2301</v>
      </c>
      <c r="G100" s="94" t="s">
        <v>2417</v>
      </c>
      <c r="H100" s="119">
        <v>1</v>
      </c>
      <c r="I100" s="119">
        <v>3</v>
      </c>
      <c r="J100" s="119">
        <f t="shared" si="9"/>
        <v>3</v>
      </c>
      <c r="K100" s="119">
        <v>80729314</v>
      </c>
      <c r="L100" s="119">
        <v>26909771.333333332</v>
      </c>
      <c r="M100" s="119">
        <f t="shared" si="10"/>
        <v>2</v>
      </c>
      <c r="N100" s="119">
        <f t="shared" si="11"/>
        <v>53819542.666666657</v>
      </c>
      <c r="O100" s="120">
        <v>44930</v>
      </c>
      <c r="P100" s="120">
        <v>46025</v>
      </c>
      <c r="Q100" s="119">
        <v>1</v>
      </c>
      <c r="R100" s="121">
        <v>26909771.33333334</v>
      </c>
      <c r="S100" s="119">
        <v>0</v>
      </c>
      <c r="T100" s="121">
        <v>0</v>
      </c>
      <c r="U100" s="119">
        <v>1</v>
      </c>
      <c r="V100" s="121">
        <f t="shared" si="12"/>
        <v>26909771.333333332</v>
      </c>
      <c r="W100" s="119">
        <f t="shared" si="13"/>
        <v>0</v>
      </c>
      <c r="X100" s="121">
        <f t="shared" si="14"/>
        <v>0</v>
      </c>
      <c r="Y100" s="122" t="s">
        <v>2416</v>
      </c>
      <c r="Z100" s="123" t="s">
        <v>2407</v>
      </c>
      <c r="AA100" s="123" t="s">
        <v>2406</v>
      </c>
      <c r="AB100" s="123" t="s">
        <v>2372</v>
      </c>
      <c r="AC100" s="124" t="s">
        <v>12</v>
      </c>
      <c r="AD100" s="110">
        <f>COUNTIF('KK1. Movies'!AI:AI,'TK 15661.Bản quyền phim '!F100)</f>
        <v>1</v>
      </c>
      <c r="AE100" s="110">
        <f>COUNTIF('KK2. Series'!AM:AM,'TK 15661.Bản quyền phim '!F100)</f>
        <v>0</v>
      </c>
      <c r="AF100" s="110">
        <f>COUNTIF('KK3. Kids'!AF:AF,'TK 15661.Bản quyền phim '!F100)</f>
        <v>0</v>
      </c>
      <c r="AG100" s="110"/>
      <c r="AH100" s="110" t="str">
        <f t="shared" si="15"/>
        <v>OK</v>
      </c>
    </row>
    <row r="101" spans="1:34" ht="15.6" hidden="1" x14ac:dyDescent="0.3">
      <c r="A101" s="43"/>
      <c r="B101" s="108" t="s">
        <v>2973</v>
      </c>
      <c r="C101" s="94" t="s">
        <v>2493</v>
      </c>
      <c r="D101" s="94" t="s">
        <v>2928</v>
      </c>
      <c r="E101" s="94" t="s">
        <v>2927</v>
      </c>
      <c r="F101" s="94" t="s">
        <v>2264</v>
      </c>
      <c r="G101" s="94" t="s">
        <v>2417</v>
      </c>
      <c r="H101" s="119">
        <v>1</v>
      </c>
      <c r="I101" s="119">
        <v>3</v>
      </c>
      <c r="J101" s="119">
        <f t="shared" si="9"/>
        <v>3</v>
      </c>
      <c r="K101" s="119">
        <v>80729314</v>
      </c>
      <c r="L101" s="119">
        <v>26909771.333333332</v>
      </c>
      <c r="M101" s="119">
        <f t="shared" si="10"/>
        <v>2</v>
      </c>
      <c r="N101" s="119">
        <f t="shared" si="11"/>
        <v>53819542.666666657</v>
      </c>
      <c r="O101" s="120">
        <v>44938</v>
      </c>
      <c r="P101" s="120">
        <v>46033</v>
      </c>
      <c r="Q101" s="119">
        <v>1</v>
      </c>
      <c r="R101" s="121">
        <v>26909771.33333334</v>
      </c>
      <c r="S101" s="119">
        <v>0</v>
      </c>
      <c r="T101" s="121">
        <v>0</v>
      </c>
      <c r="U101" s="119">
        <v>1</v>
      </c>
      <c r="V101" s="121">
        <f t="shared" si="12"/>
        <v>26909771.333333332</v>
      </c>
      <c r="W101" s="119">
        <f t="shared" si="13"/>
        <v>0</v>
      </c>
      <c r="X101" s="121">
        <f t="shared" si="14"/>
        <v>0</v>
      </c>
      <c r="Y101" s="122" t="s">
        <v>2416</v>
      </c>
      <c r="Z101" s="123" t="s">
        <v>2407</v>
      </c>
      <c r="AA101" s="123" t="s">
        <v>2406</v>
      </c>
      <c r="AB101" s="123" t="s">
        <v>2372</v>
      </c>
      <c r="AC101" s="124" t="s">
        <v>12</v>
      </c>
      <c r="AD101" s="110">
        <f>COUNTIF('KK1. Movies'!AI:AI,'TK 15661.Bản quyền phim '!F101)</f>
        <v>1</v>
      </c>
      <c r="AE101" s="110">
        <f>COUNTIF('KK2. Series'!AM:AM,'TK 15661.Bản quyền phim '!F101)</f>
        <v>0</v>
      </c>
      <c r="AF101" s="110">
        <f>COUNTIF('KK3. Kids'!AF:AF,'TK 15661.Bản quyền phim '!F101)</f>
        <v>0</v>
      </c>
      <c r="AG101" s="110"/>
      <c r="AH101" s="110" t="str">
        <f t="shared" si="15"/>
        <v>OK</v>
      </c>
    </row>
    <row r="102" spans="1:34" ht="15.6" hidden="1" x14ac:dyDescent="0.3">
      <c r="A102" s="43"/>
      <c r="B102" s="108" t="s">
        <v>2972</v>
      </c>
      <c r="C102" s="94" t="s">
        <v>2493</v>
      </c>
      <c r="D102" s="94" t="s">
        <v>2928</v>
      </c>
      <c r="E102" s="94" t="s">
        <v>2927</v>
      </c>
      <c r="F102" s="94" t="s">
        <v>2200</v>
      </c>
      <c r="G102" s="94" t="s">
        <v>2417</v>
      </c>
      <c r="H102" s="119">
        <v>1</v>
      </c>
      <c r="I102" s="119">
        <v>3</v>
      </c>
      <c r="J102" s="119">
        <f t="shared" si="9"/>
        <v>3</v>
      </c>
      <c r="K102" s="119">
        <v>80729314</v>
      </c>
      <c r="L102" s="119">
        <v>26909771.333333332</v>
      </c>
      <c r="M102" s="119">
        <f t="shared" si="10"/>
        <v>2</v>
      </c>
      <c r="N102" s="119">
        <f t="shared" si="11"/>
        <v>53819542.666666657</v>
      </c>
      <c r="O102" s="120">
        <v>44945</v>
      </c>
      <c r="P102" s="120">
        <v>46040</v>
      </c>
      <c r="Q102" s="119">
        <v>1</v>
      </c>
      <c r="R102" s="121">
        <v>26909771.33333334</v>
      </c>
      <c r="S102" s="119">
        <v>0</v>
      </c>
      <c r="T102" s="121">
        <v>0</v>
      </c>
      <c r="U102" s="119">
        <v>1</v>
      </c>
      <c r="V102" s="121">
        <f t="shared" si="12"/>
        <v>26909771.333333332</v>
      </c>
      <c r="W102" s="119">
        <f t="shared" si="13"/>
        <v>0</v>
      </c>
      <c r="X102" s="121">
        <f t="shared" si="14"/>
        <v>0</v>
      </c>
      <c r="Y102" s="122" t="s">
        <v>2416</v>
      </c>
      <c r="Z102" s="123" t="s">
        <v>2407</v>
      </c>
      <c r="AA102" s="123" t="s">
        <v>2406</v>
      </c>
      <c r="AB102" s="123" t="s">
        <v>2372</v>
      </c>
      <c r="AC102" s="124" t="s">
        <v>12</v>
      </c>
      <c r="AD102" s="110">
        <f>COUNTIF('KK1. Movies'!AI:AI,'TK 15661.Bản quyền phim '!F102)</f>
        <v>1</v>
      </c>
      <c r="AE102" s="110">
        <f>COUNTIF('KK2. Series'!AM:AM,'TK 15661.Bản quyền phim '!F102)</f>
        <v>0</v>
      </c>
      <c r="AF102" s="110">
        <f>COUNTIF('KK3. Kids'!AF:AF,'TK 15661.Bản quyền phim '!F102)</f>
        <v>0</v>
      </c>
      <c r="AG102" s="110"/>
      <c r="AH102" s="110" t="str">
        <f t="shared" si="15"/>
        <v>OK</v>
      </c>
    </row>
    <row r="103" spans="1:34" ht="15.6" hidden="1" x14ac:dyDescent="0.3">
      <c r="A103" s="43"/>
      <c r="B103" s="108" t="s">
        <v>2971</v>
      </c>
      <c r="C103" s="94" t="s">
        <v>2493</v>
      </c>
      <c r="D103" s="94" t="s">
        <v>2928</v>
      </c>
      <c r="E103" s="94" t="s">
        <v>2927</v>
      </c>
      <c r="F103" s="94" t="s">
        <v>2175</v>
      </c>
      <c r="G103" s="94" t="s">
        <v>2417</v>
      </c>
      <c r="H103" s="119">
        <v>1</v>
      </c>
      <c r="I103" s="119">
        <v>3</v>
      </c>
      <c r="J103" s="119">
        <f t="shared" si="9"/>
        <v>3</v>
      </c>
      <c r="K103" s="119">
        <v>80729314</v>
      </c>
      <c r="L103" s="119">
        <v>26909771.333333332</v>
      </c>
      <c r="M103" s="119">
        <f t="shared" si="10"/>
        <v>2</v>
      </c>
      <c r="N103" s="119">
        <f t="shared" si="11"/>
        <v>53819542.666666657</v>
      </c>
      <c r="O103" s="120">
        <v>44960</v>
      </c>
      <c r="P103" s="120">
        <v>46055</v>
      </c>
      <c r="Q103" s="119">
        <v>1</v>
      </c>
      <c r="R103" s="121">
        <v>26909771.33333334</v>
      </c>
      <c r="S103" s="119">
        <v>0</v>
      </c>
      <c r="T103" s="121">
        <v>0</v>
      </c>
      <c r="U103" s="119">
        <v>1</v>
      </c>
      <c r="V103" s="121">
        <f t="shared" si="12"/>
        <v>26909771.333333332</v>
      </c>
      <c r="W103" s="119">
        <f t="shared" si="13"/>
        <v>0</v>
      </c>
      <c r="X103" s="121">
        <f t="shared" si="14"/>
        <v>0</v>
      </c>
      <c r="Y103" s="122" t="s">
        <v>2416</v>
      </c>
      <c r="Z103" s="123" t="s">
        <v>2407</v>
      </c>
      <c r="AA103" s="123" t="s">
        <v>2406</v>
      </c>
      <c r="AB103" s="123" t="s">
        <v>2372</v>
      </c>
      <c r="AC103" s="124" t="s">
        <v>12</v>
      </c>
      <c r="AD103" s="110">
        <f>COUNTIF('KK1. Movies'!AI:AI,'TK 15661.Bản quyền phim '!F103)</f>
        <v>1</v>
      </c>
      <c r="AE103" s="110">
        <f>COUNTIF('KK2. Series'!AM:AM,'TK 15661.Bản quyền phim '!F103)</f>
        <v>0</v>
      </c>
      <c r="AF103" s="110">
        <f>COUNTIF('KK3. Kids'!AF:AF,'TK 15661.Bản quyền phim '!F103)</f>
        <v>0</v>
      </c>
      <c r="AG103" s="110"/>
      <c r="AH103" s="110" t="str">
        <f t="shared" si="15"/>
        <v>OK</v>
      </c>
    </row>
    <row r="104" spans="1:34" ht="15.6" hidden="1" x14ac:dyDescent="0.3">
      <c r="A104" s="43"/>
      <c r="B104" s="108" t="s">
        <v>2970</v>
      </c>
      <c r="C104" s="94" t="s">
        <v>2493</v>
      </c>
      <c r="D104" s="94" t="s">
        <v>2928</v>
      </c>
      <c r="E104" s="94" t="s">
        <v>2927</v>
      </c>
      <c r="F104" s="94" t="s">
        <v>2143</v>
      </c>
      <c r="G104" s="94" t="s">
        <v>2417</v>
      </c>
      <c r="H104" s="119">
        <v>1</v>
      </c>
      <c r="I104" s="119">
        <v>3</v>
      </c>
      <c r="J104" s="119">
        <f t="shared" si="9"/>
        <v>3</v>
      </c>
      <c r="K104" s="119">
        <v>80729314</v>
      </c>
      <c r="L104" s="119">
        <v>26909771.333333332</v>
      </c>
      <c r="M104" s="119">
        <f t="shared" si="10"/>
        <v>2</v>
      </c>
      <c r="N104" s="119">
        <f t="shared" si="11"/>
        <v>53819542.666666657</v>
      </c>
      <c r="O104" s="120">
        <v>45014</v>
      </c>
      <c r="P104" s="120">
        <v>46109</v>
      </c>
      <c r="Q104" s="119">
        <v>1</v>
      </c>
      <c r="R104" s="121">
        <v>26909771.33333334</v>
      </c>
      <c r="S104" s="119">
        <v>0</v>
      </c>
      <c r="T104" s="121">
        <v>0</v>
      </c>
      <c r="U104" s="119">
        <v>1</v>
      </c>
      <c r="V104" s="121">
        <f t="shared" si="12"/>
        <v>26909771.333333332</v>
      </c>
      <c r="W104" s="119">
        <f t="shared" si="13"/>
        <v>0</v>
      </c>
      <c r="X104" s="121">
        <f t="shared" si="14"/>
        <v>0</v>
      </c>
      <c r="Y104" s="122" t="s">
        <v>2416</v>
      </c>
      <c r="Z104" s="123" t="s">
        <v>2407</v>
      </c>
      <c r="AA104" s="123" t="s">
        <v>2406</v>
      </c>
      <c r="AB104" s="123" t="s">
        <v>2372</v>
      </c>
      <c r="AC104" s="124" t="s">
        <v>12</v>
      </c>
      <c r="AD104" s="110">
        <f>COUNTIF('KK1. Movies'!AI:AI,'TK 15661.Bản quyền phim '!F104)</f>
        <v>1</v>
      </c>
      <c r="AE104" s="110">
        <f>COUNTIF('KK2. Series'!AM:AM,'TK 15661.Bản quyền phim '!F104)</f>
        <v>0</v>
      </c>
      <c r="AF104" s="110">
        <f>COUNTIF('KK3. Kids'!AF:AF,'TK 15661.Bản quyền phim '!F104)</f>
        <v>0</v>
      </c>
      <c r="AG104" s="110"/>
      <c r="AH104" s="110" t="str">
        <f t="shared" si="15"/>
        <v>OK</v>
      </c>
    </row>
    <row r="105" spans="1:34" ht="15.6" hidden="1" x14ac:dyDescent="0.3">
      <c r="A105" s="43"/>
      <c r="B105" s="108" t="s">
        <v>2969</v>
      </c>
      <c r="C105" s="94" t="s">
        <v>2493</v>
      </c>
      <c r="D105" s="94" t="s">
        <v>2928</v>
      </c>
      <c r="E105" s="94" t="s">
        <v>2927</v>
      </c>
      <c r="F105" s="94" t="s">
        <v>2101</v>
      </c>
      <c r="G105" s="94" t="s">
        <v>2417</v>
      </c>
      <c r="H105" s="119">
        <v>1</v>
      </c>
      <c r="I105" s="119">
        <v>3</v>
      </c>
      <c r="J105" s="119">
        <f t="shared" si="9"/>
        <v>3</v>
      </c>
      <c r="K105" s="119">
        <v>80729314</v>
      </c>
      <c r="L105" s="119">
        <v>26909771.333333332</v>
      </c>
      <c r="M105" s="119">
        <f t="shared" si="10"/>
        <v>2</v>
      </c>
      <c r="N105" s="119">
        <f t="shared" si="11"/>
        <v>53819542.666666657</v>
      </c>
      <c r="O105" s="120">
        <v>45051</v>
      </c>
      <c r="P105" s="120">
        <v>46146</v>
      </c>
      <c r="Q105" s="119">
        <v>1</v>
      </c>
      <c r="R105" s="121">
        <v>26909771.33333334</v>
      </c>
      <c r="S105" s="119">
        <v>0</v>
      </c>
      <c r="T105" s="121">
        <v>0</v>
      </c>
      <c r="U105" s="119">
        <v>1</v>
      </c>
      <c r="V105" s="121">
        <f t="shared" si="12"/>
        <v>26909771.333333332</v>
      </c>
      <c r="W105" s="119">
        <f t="shared" si="13"/>
        <v>0</v>
      </c>
      <c r="X105" s="121">
        <f t="shared" si="14"/>
        <v>0</v>
      </c>
      <c r="Y105" s="122" t="s">
        <v>2416</v>
      </c>
      <c r="Z105" s="123" t="s">
        <v>2407</v>
      </c>
      <c r="AA105" s="123" t="s">
        <v>2406</v>
      </c>
      <c r="AB105" s="123" t="s">
        <v>2372</v>
      </c>
      <c r="AC105" s="124" t="s">
        <v>12</v>
      </c>
      <c r="AD105" s="110">
        <f>COUNTIF('KK1. Movies'!AI:AI,'TK 15661.Bản quyền phim '!F105)</f>
        <v>1</v>
      </c>
      <c r="AE105" s="110">
        <f>COUNTIF('KK2. Series'!AM:AM,'TK 15661.Bản quyền phim '!F105)</f>
        <v>0</v>
      </c>
      <c r="AF105" s="110">
        <f>COUNTIF('KK3. Kids'!AF:AF,'TK 15661.Bản quyền phim '!F105)</f>
        <v>0</v>
      </c>
      <c r="AG105" s="110"/>
      <c r="AH105" s="110" t="str">
        <f t="shared" si="15"/>
        <v>OK</v>
      </c>
    </row>
    <row r="106" spans="1:34" ht="15.6" hidden="1" x14ac:dyDescent="0.3">
      <c r="A106" s="43"/>
      <c r="B106" s="108" t="s">
        <v>2968</v>
      </c>
      <c r="C106" s="94" t="s">
        <v>2493</v>
      </c>
      <c r="D106" s="94" t="s">
        <v>2928</v>
      </c>
      <c r="E106" s="94" t="s">
        <v>2927</v>
      </c>
      <c r="F106" s="94" t="s">
        <v>2094</v>
      </c>
      <c r="G106" s="94" t="s">
        <v>2417</v>
      </c>
      <c r="H106" s="119">
        <v>1</v>
      </c>
      <c r="I106" s="119">
        <v>3</v>
      </c>
      <c r="J106" s="119">
        <f t="shared" si="9"/>
        <v>3</v>
      </c>
      <c r="K106" s="119">
        <v>80729314</v>
      </c>
      <c r="L106" s="119">
        <v>26909771.333333332</v>
      </c>
      <c r="M106" s="119">
        <f t="shared" si="10"/>
        <v>2</v>
      </c>
      <c r="N106" s="119">
        <f t="shared" si="11"/>
        <v>53819542.666666657</v>
      </c>
      <c r="O106" s="120">
        <v>45058</v>
      </c>
      <c r="P106" s="120">
        <v>46153</v>
      </c>
      <c r="Q106" s="119">
        <v>1</v>
      </c>
      <c r="R106" s="121">
        <v>26909771.33333334</v>
      </c>
      <c r="S106" s="119">
        <v>0</v>
      </c>
      <c r="T106" s="121">
        <v>0</v>
      </c>
      <c r="U106" s="119">
        <v>1</v>
      </c>
      <c r="V106" s="121">
        <f t="shared" si="12"/>
        <v>26909771.333333332</v>
      </c>
      <c r="W106" s="119">
        <f t="shared" si="13"/>
        <v>0</v>
      </c>
      <c r="X106" s="121">
        <f t="shared" si="14"/>
        <v>0</v>
      </c>
      <c r="Y106" s="122" t="s">
        <v>2416</v>
      </c>
      <c r="Z106" s="123" t="s">
        <v>2407</v>
      </c>
      <c r="AA106" s="123" t="s">
        <v>2406</v>
      </c>
      <c r="AB106" s="123" t="s">
        <v>2372</v>
      </c>
      <c r="AC106" s="124" t="s">
        <v>12</v>
      </c>
      <c r="AD106" s="110">
        <f>COUNTIF('KK1. Movies'!AI:AI,'TK 15661.Bản quyền phim '!F106)</f>
        <v>1</v>
      </c>
      <c r="AE106" s="110">
        <f>COUNTIF('KK2. Series'!AM:AM,'TK 15661.Bản quyền phim '!F106)</f>
        <v>0</v>
      </c>
      <c r="AF106" s="110">
        <f>COUNTIF('KK3. Kids'!AF:AF,'TK 15661.Bản quyền phim '!F106)</f>
        <v>0</v>
      </c>
      <c r="AG106" s="110"/>
      <c r="AH106" s="110" t="str">
        <f t="shared" si="15"/>
        <v>OK</v>
      </c>
    </row>
    <row r="107" spans="1:34" ht="15.6" hidden="1" x14ac:dyDescent="0.3">
      <c r="A107" s="43"/>
      <c r="B107" s="108" t="s">
        <v>2967</v>
      </c>
      <c r="C107" s="94" t="s">
        <v>2493</v>
      </c>
      <c r="D107" s="94" t="s">
        <v>2928</v>
      </c>
      <c r="E107" s="94" t="s">
        <v>2927</v>
      </c>
      <c r="F107" s="94" t="s">
        <v>2078</v>
      </c>
      <c r="G107" s="94" t="s">
        <v>2417</v>
      </c>
      <c r="H107" s="119">
        <v>1</v>
      </c>
      <c r="I107" s="119">
        <v>3</v>
      </c>
      <c r="J107" s="119">
        <f t="shared" si="9"/>
        <v>3</v>
      </c>
      <c r="K107" s="119">
        <v>80729314</v>
      </c>
      <c r="L107" s="119">
        <v>26909771.333333332</v>
      </c>
      <c r="M107" s="119">
        <f t="shared" si="10"/>
        <v>2</v>
      </c>
      <c r="N107" s="119">
        <f t="shared" si="11"/>
        <v>53819542.666666657</v>
      </c>
      <c r="O107" s="120">
        <v>45072</v>
      </c>
      <c r="P107" s="120">
        <v>46167</v>
      </c>
      <c r="Q107" s="119">
        <v>1</v>
      </c>
      <c r="R107" s="121">
        <v>26909771.33333334</v>
      </c>
      <c r="S107" s="119">
        <v>0</v>
      </c>
      <c r="T107" s="121">
        <v>0</v>
      </c>
      <c r="U107" s="119">
        <v>1</v>
      </c>
      <c r="V107" s="121">
        <f t="shared" si="12"/>
        <v>26909771.333333332</v>
      </c>
      <c r="W107" s="119">
        <f t="shared" si="13"/>
        <v>0</v>
      </c>
      <c r="X107" s="121">
        <f t="shared" si="14"/>
        <v>0</v>
      </c>
      <c r="Y107" s="122" t="s">
        <v>2416</v>
      </c>
      <c r="Z107" s="123" t="s">
        <v>2407</v>
      </c>
      <c r="AA107" s="123" t="s">
        <v>2406</v>
      </c>
      <c r="AB107" s="123" t="s">
        <v>2372</v>
      </c>
      <c r="AC107" s="124" t="s">
        <v>12</v>
      </c>
      <c r="AD107" s="110">
        <f>COUNTIF('KK1. Movies'!AI:AI,'TK 15661.Bản quyền phim '!F107)</f>
        <v>1</v>
      </c>
      <c r="AE107" s="110">
        <f>COUNTIF('KK2. Series'!AM:AM,'TK 15661.Bản quyền phim '!F107)</f>
        <v>0</v>
      </c>
      <c r="AF107" s="110">
        <f>COUNTIF('KK3. Kids'!AF:AF,'TK 15661.Bản quyền phim '!F107)</f>
        <v>0</v>
      </c>
      <c r="AG107" s="110"/>
      <c r="AH107" s="110" t="str">
        <f t="shared" si="15"/>
        <v>OK</v>
      </c>
    </row>
    <row r="108" spans="1:34" ht="15.6" hidden="1" x14ac:dyDescent="0.3">
      <c r="A108" s="43"/>
      <c r="B108" s="108" t="s">
        <v>2966</v>
      </c>
      <c r="C108" s="94" t="s">
        <v>2493</v>
      </c>
      <c r="D108" s="94" t="s">
        <v>2928</v>
      </c>
      <c r="E108" s="94" t="s">
        <v>2927</v>
      </c>
      <c r="F108" s="94" t="s">
        <v>1868</v>
      </c>
      <c r="G108" s="94" t="s">
        <v>2417</v>
      </c>
      <c r="H108" s="119">
        <v>1</v>
      </c>
      <c r="I108" s="119">
        <v>3</v>
      </c>
      <c r="J108" s="119">
        <f t="shared" si="9"/>
        <v>3</v>
      </c>
      <c r="K108" s="119">
        <v>80729314</v>
      </c>
      <c r="L108" s="119">
        <v>26909771.333333332</v>
      </c>
      <c r="M108" s="119">
        <f t="shared" si="10"/>
        <v>2</v>
      </c>
      <c r="N108" s="119">
        <f t="shared" si="11"/>
        <v>53819542.666666657</v>
      </c>
      <c r="O108" s="120">
        <v>45084</v>
      </c>
      <c r="P108" s="120">
        <v>46179</v>
      </c>
      <c r="Q108" s="119">
        <v>1</v>
      </c>
      <c r="R108" s="121">
        <v>26909771.33333334</v>
      </c>
      <c r="S108" s="119">
        <v>0</v>
      </c>
      <c r="T108" s="121">
        <v>0</v>
      </c>
      <c r="U108" s="119">
        <v>1</v>
      </c>
      <c r="V108" s="121">
        <f t="shared" si="12"/>
        <v>26909771.333333332</v>
      </c>
      <c r="W108" s="119">
        <f t="shared" si="13"/>
        <v>0</v>
      </c>
      <c r="X108" s="121">
        <f t="shared" si="14"/>
        <v>0</v>
      </c>
      <c r="Y108" s="122" t="s">
        <v>2416</v>
      </c>
      <c r="Z108" s="123" t="s">
        <v>2407</v>
      </c>
      <c r="AA108" s="123" t="s">
        <v>2406</v>
      </c>
      <c r="AB108" s="123" t="s">
        <v>2372</v>
      </c>
      <c r="AC108" s="124" t="s">
        <v>12</v>
      </c>
      <c r="AD108" s="110">
        <f>COUNTIF('KK1. Movies'!AI:AI,'TK 15661.Bản quyền phim '!F108)</f>
        <v>1</v>
      </c>
      <c r="AE108" s="110">
        <f>COUNTIF('KK2. Series'!AM:AM,'TK 15661.Bản quyền phim '!F108)</f>
        <v>0</v>
      </c>
      <c r="AF108" s="110">
        <f>COUNTIF('KK3. Kids'!AF:AF,'TK 15661.Bản quyền phim '!F108)</f>
        <v>0</v>
      </c>
      <c r="AG108" s="110"/>
      <c r="AH108" s="110" t="str">
        <f t="shared" si="15"/>
        <v>OK</v>
      </c>
    </row>
    <row r="109" spans="1:34" ht="15.6" hidden="1" x14ac:dyDescent="0.3">
      <c r="A109" s="43"/>
      <c r="B109" s="108" t="s">
        <v>2965</v>
      </c>
      <c r="C109" s="94" t="s">
        <v>2493</v>
      </c>
      <c r="D109" s="94" t="s">
        <v>2928</v>
      </c>
      <c r="E109" s="94" t="s">
        <v>2927</v>
      </c>
      <c r="F109" s="94" t="s">
        <v>1813</v>
      </c>
      <c r="G109" s="94" t="s">
        <v>2417</v>
      </c>
      <c r="H109" s="119">
        <v>1</v>
      </c>
      <c r="I109" s="119">
        <v>3</v>
      </c>
      <c r="J109" s="119">
        <f t="shared" si="9"/>
        <v>3</v>
      </c>
      <c r="K109" s="119">
        <v>80729314</v>
      </c>
      <c r="L109" s="119">
        <v>26909771.333333332</v>
      </c>
      <c r="M109" s="119">
        <f t="shared" si="10"/>
        <v>2</v>
      </c>
      <c r="N109" s="119">
        <f t="shared" si="11"/>
        <v>53819542.666666657</v>
      </c>
      <c r="O109" s="120">
        <v>45113</v>
      </c>
      <c r="P109" s="120">
        <v>46208</v>
      </c>
      <c r="Q109" s="119">
        <v>1</v>
      </c>
      <c r="R109" s="121">
        <v>26909771.33333334</v>
      </c>
      <c r="S109" s="119">
        <v>0</v>
      </c>
      <c r="T109" s="121">
        <v>0</v>
      </c>
      <c r="U109" s="119">
        <v>1</v>
      </c>
      <c r="V109" s="121">
        <f t="shared" si="12"/>
        <v>26909771.333333332</v>
      </c>
      <c r="W109" s="119">
        <f t="shared" si="13"/>
        <v>0</v>
      </c>
      <c r="X109" s="121">
        <f t="shared" si="14"/>
        <v>0</v>
      </c>
      <c r="Y109" s="122" t="s">
        <v>2416</v>
      </c>
      <c r="Z109" s="123" t="s">
        <v>2407</v>
      </c>
      <c r="AA109" s="123" t="s">
        <v>2406</v>
      </c>
      <c r="AB109" s="123" t="s">
        <v>2372</v>
      </c>
      <c r="AC109" s="124" t="s">
        <v>12</v>
      </c>
      <c r="AD109" s="110">
        <f>COUNTIF('KK1. Movies'!AI:AI,'TK 15661.Bản quyền phim '!F109)</f>
        <v>1</v>
      </c>
      <c r="AE109" s="110">
        <f>COUNTIF('KK2. Series'!AM:AM,'TK 15661.Bản quyền phim '!F109)</f>
        <v>0</v>
      </c>
      <c r="AF109" s="110">
        <f>COUNTIF('KK3. Kids'!AF:AF,'TK 15661.Bản quyền phim '!F109)</f>
        <v>0</v>
      </c>
      <c r="AG109" s="110"/>
      <c r="AH109" s="110" t="str">
        <f t="shared" si="15"/>
        <v>OK</v>
      </c>
    </row>
    <row r="110" spans="1:34" ht="15.6" hidden="1" x14ac:dyDescent="0.3">
      <c r="A110" s="43"/>
      <c r="B110" s="108" t="s">
        <v>2964</v>
      </c>
      <c r="C110" s="94" t="s">
        <v>2493</v>
      </c>
      <c r="D110" s="94" t="s">
        <v>2928</v>
      </c>
      <c r="E110" s="94" t="s">
        <v>2927</v>
      </c>
      <c r="F110" s="94" t="s">
        <v>1477</v>
      </c>
      <c r="G110" s="94" t="s">
        <v>2417</v>
      </c>
      <c r="H110" s="119">
        <v>1</v>
      </c>
      <c r="I110" s="119">
        <v>3</v>
      </c>
      <c r="J110" s="119">
        <f t="shared" si="9"/>
        <v>3</v>
      </c>
      <c r="K110" s="119">
        <v>80729314</v>
      </c>
      <c r="L110" s="119">
        <v>26909771.333333332</v>
      </c>
      <c r="M110" s="119">
        <f t="shared" si="10"/>
        <v>2</v>
      </c>
      <c r="N110" s="119">
        <f t="shared" si="11"/>
        <v>53819542.666666657</v>
      </c>
      <c r="O110" s="120">
        <v>45176</v>
      </c>
      <c r="P110" s="120">
        <v>46271</v>
      </c>
      <c r="Q110" s="119">
        <v>1</v>
      </c>
      <c r="R110" s="121">
        <v>26909771.33333334</v>
      </c>
      <c r="S110" s="119">
        <v>0</v>
      </c>
      <c r="T110" s="121">
        <v>0</v>
      </c>
      <c r="U110" s="119">
        <v>1</v>
      </c>
      <c r="V110" s="121">
        <f t="shared" si="12"/>
        <v>26909771.333333332</v>
      </c>
      <c r="W110" s="119">
        <f t="shared" si="13"/>
        <v>0</v>
      </c>
      <c r="X110" s="121">
        <f t="shared" si="14"/>
        <v>0</v>
      </c>
      <c r="Y110" s="122" t="s">
        <v>2416</v>
      </c>
      <c r="Z110" s="123" t="s">
        <v>2407</v>
      </c>
      <c r="AA110" s="123" t="s">
        <v>2406</v>
      </c>
      <c r="AB110" s="123" t="s">
        <v>2372</v>
      </c>
      <c r="AC110" s="124" t="s">
        <v>12</v>
      </c>
      <c r="AD110" s="110">
        <f>COUNTIF('KK1. Movies'!AI:AI,'TK 15661.Bản quyền phim '!F110)</f>
        <v>1</v>
      </c>
      <c r="AE110" s="110">
        <f>COUNTIF('KK2. Series'!AM:AM,'TK 15661.Bản quyền phim '!F110)</f>
        <v>0</v>
      </c>
      <c r="AF110" s="110">
        <f>COUNTIF('KK3. Kids'!AF:AF,'TK 15661.Bản quyền phim '!F110)</f>
        <v>0</v>
      </c>
      <c r="AG110" s="110"/>
      <c r="AH110" s="110" t="str">
        <f t="shared" si="15"/>
        <v>OK</v>
      </c>
    </row>
    <row r="111" spans="1:34" hidden="1" x14ac:dyDescent="0.2">
      <c r="A111" s="49"/>
      <c r="B111" s="108" t="s">
        <v>2963</v>
      </c>
      <c r="C111" s="94" t="s">
        <v>2412</v>
      </c>
      <c r="D111" s="94" t="s">
        <v>2961</v>
      </c>
      <c r="E111" s="94" t="s">
        <v>2960</v>
      </c>
      <c r="F111" s="94" t="s">
        <v>302</v>
      </c>
      <c r="G111" s="94" t="s">
        <v>2409</v>
      </c>
      <c r="H111" s="119">
        <v>26</v>
      </c>
      <c r="I111" s="119">
        <v>3</v>
      </c>
      <c r="J111" s="119">
        <f t="shared" si="9"/>
        <v>78</v>
      </c>
      <c r="K111" s="119">
        <v>62140000</v>
      </c>
      <c r="L111" s="119">
        <v>796666.66666666674</v>
      </c>
      <c r="M111" s="119">
        <f t="shared" si="10"/>
        <v>52</v>
      </c>
      <c r="N111" s="119">
        <f t="shared" si="11"/>
        <v>41426666.666666672</v>
      </c>
      <c r="O111" s="120">
        <v>44936</v>
      </c>
      <c r="P111" s="120">
        <v>46031</v>
      </c>
      <c r="Q111" s="119">
        <v>26</v>
      </c>
      <c r="R111" s="121">
        <v>20713333.333333328</v>
      </c>
      <c r="S111" s="119">
        <v>0</v>
      </c>
      <c r="T111" s="121">
        <v>0</v>
      </c>
      <c r="U111" s="119">
        <v>26</v>
      </c>
      <c r="V111" s="121">
        <f t="shared" si="12"/>
        <v>20713333.333333336</v>
      </c>
      <c r="W111" s="119">
        <f t="shared" si="13"/>
        <v>0</v>
      </c>
      <c r="X111" s="121">
        <f t="shared" si="14"/>
        <v>0</v>
      </c>
      <c r="Y111" s="122" t="s">
        <v>2408</v>
      </c>
      <c r="Z111" s="123" t="s">
        <v>2407</v>
      </c>
      <c r="AA111" s="123" t="s">
        <v>2406</v>
      </c>
      <c r="AB111" s="123" t="s">
        <v>2372</v>
      </c>
      <c r="AC111" s="123" t="s">
        <v>8</v>
      </c>
      <c r="AD111" s="110">
        <f>COUNTIF('KK1. Movies'!AI:AI,'TK 15661.Bản quyền phim '!F111)</f>
        <v>0</v>
      </c>
      <c r="AE111" s="110">
        <f>COUNTIF('KK2. Series'!AM:AM,'TK 15661.Bản quyền phim '!F111)</f>
        <v>0</v>
      </c>
      <c r="AF111" s="110">
        <f>COUNTIF('KK3. Kids'!AF:AF,'TK 15661.Bản quyền phim '!F111)</f>
        <v>1</v>
      </c>
      <c r="AG111" s="110"/>
      <c r="AH111" s="110" t="str">
        <f t="shared" si="15"/>
        <v>OK</v>
      </c>
    </row>
    <row r="112" spans="1:34" hidden="1" x14ac:dyDescent="0.2">
      <c r="A112" s="49"/>
      <c r="B112" s="108" t="s">
        <v>2962</v>
      </c>
      <c r="C112" s="94" t="s">
        <v>2412</v>
      </c>
      <c r="D112" s="94" t="s">
        <v>2961</v>
      </c>
      <c r="E112" s="94" t="s">
        <v>2960</v>
      </c>
      <c r="F112" s="94" t="s">
        <v>296</v>
      </c>
      <c r="G112" s="94" t="s">
        <v>2409</v>
      </c>
      <c r="H112" s="119">
        <v>26</v>
      </c>
      <c r="I112" s="119">
        <v>3</v>
      </c>
      <c r="J112" s="119">
        <f t="shared" si="9"/>
        <v>78</v>
      </c>
      <c r="K112" s="119">
        <v>62140000</v>
      </c>
      <c r="L112" s="119">
        <v>796666.66666666674</v>
      </c>
      <c r="M112" s="119">
        <f t="shared" si="10"/>
        <v>52</v>
      </c>
      <c r="N112" s="119">
        <f t="shared" si="11"/>
        <v>41426666.666666672</v>
      </c>
      <c r="O112" s="120">
        <v>44953</v>
      </c>
      <c r="P112" s="120">
        <v>46048</v>
      </c>
      <c r="Q112" s="119">
        <v>26</v>
      </c>
      <c r="R112" s="121">
        <v>20713333.333333328</v>
      </c>
      <c r="S112" s="119">
        <v>0</v>
      </c>
      <c r="T112" s="121">
        <v>0</v>
      </c>
      <c r="U112" s="119">
        <v>26</v>
      </c>
      <c r="V112" s="121">
        <f t="shared" si="12"/>
        <v>20713333.333333336</v>
      </c>
      <c r="W112" s="119">
        <f t="shared" si="13"/>
        <v>0</v>
      </c>
      <c r="X112" s="121">
        <f t="shared" si="14"/>
        <v>0</v>
      </c>
      <c r="Y112" s="122" t="s">
        <v>2408</v>
      </c>
      <c r="Z112" s="123" t="s">
        <v>2407</v>
      </c>
      <c r="AA112" s="123" t="s">
        <v>2406</v>
      </c>
      <c r="AB112" s="123" t="s">
        <v>2372</v>
      </c>
      <c r="AC112" s="123" t="s">
        <v>8</v>
      </c>
      <c r="AD112" s="110">
        <f>COUNTIF('KK1. Movies'!AI:AI,'TK 15661.Bản quyền phim '!F112)</f>
        <v>0</v>
      </c>
      <c r="AE112" s="110">
        <f>COUNTIF('KK2. Series'!AM:AM,'TK 15661.Bản quyền phim '!F112)</f>
        <v>0</v>
      </c>
      <c r="AF112" s="110">
        <f>COUNTIF('KK3. Kids'!AF:AF,'TK 15661.Bản quyền phim '!F112)</f>
        <v>1</v>
      </c>
      <c r="AG112" s="110"/>
      <c r="AH112" s="110" t="str">
        <f t="shared" si="15"/>
        <v>OK</v>
      </c>
    </row>
    <row r="113" spans="1:34" ht="15.6" hidden="1" x14ac:dyDescent="0.3">
      <c r="A113" s="43"/>
      <c r="B113" s="108" t="s">
        <v>2959</v>
      </c>
      <c r="C113" s="94" t="s">
        <v>2493</v>
      </c>
      <c r="D113" s="94" t="s">
        <v>2604</v>
      </c>
      <c r="E113" s="94" t="s">
        <v>2603</v>
      </c>
      <c r="F113" s="94" t="s">
        <v>2307</v>
      </c>
      <c r="G113" s="94" t="s">
        <v>2417</v>
      </c>
      <c r="H113" s="119">
        <v>1</v>
      </c>
      <c r="I113" s="119">
        <v>3</v>
      </c>
      <c r="J113" s="119">
        <f t="shared" si="9"/>
        <v>3</v>
      </c>
      <c r="K113" s="119">
        <v>93676381</v>
      </c>
      <c r="L113" s="119">
        <v>31225460.333333332</v>
      </c>
      <c r="M113" s="119">
        <f t="shared" si="10"/>
        <v>2</v>
      </c>
      <c r="N113" s="119">
        <f t="shared" si="11"/>
        <v>62450920.666666657</v>
      </c>
      <c r="O113" s="120">
        <v>44937</v>
      </c>
      <c r="P113" s="120">
        <v>46032</v>
      </c>
      <c r="Q113" s="119">
        <v>1</v>
      </c>
      <c r="R113" s="121">
        <v>31225460.33333334</v>
      </c>
      <c r="S113" s="119">
        <v>0</v>
      </c>
      <c r="T113" s="121">
        <v>0</v>
      </c>
      <c r="U113" s="119">
        <v>1</v>
      </c>
      <c r="V113" s="121">
        <f t="shared" si="12"/>
        <v>31225460.333333332</v>
      </c>
      <c r="W113" s="119">
        <f t="shared" si="13"/>
        <v>0</v>
      </c>
      <c r="X113" s="121">
        <f t="shared" si="14"/>
        <v>0</v>
      </c>
      <c r="Y113" s="122" t="s">
        <v>2416</v>
      </c>
      <c r="Z113" s="123" t="s">
        <v>2407</v>
      </c>
      <c r="AA113" s="123" t="s">
        <v>2406</v>
      </c>
      <c r="AB113" s="123" t="s">
        <v>2372</v>
      </c>
      <c r="AC113" s="124" t="s">
        <v>12</v>
      </c>
      <c r="AD113" s="110">
        <f>COUNTIF('KK1. Movies'!AI:AI,'TK 15661.Bản quyền phim '!F113)</f>
        <v>1</v>
      </c>
      <c r="AE113" s="110">
        <f>COUNTIF('KK2. Series'!AM:AM,'TK 15661.Bản quyền phim '!F113)</f>
        <v>0</v>
      </c>
      <c r="AF113" s="110">
        <f>COUNTIF('KK3. Kids'!AF:AF,'TK 15661.Bản quyền phim '!F113)</f>
        <v>0</v>
      </c>
      <c r="AG113" s="110"/>
      <c r="AH113" s="110" t="str">
        <f t="shared" si="15"/>
        <v>OK</v>
      </c>
    </row>
    <row r="114" spans="1:34" ht="15.6" hidden="1" x14ac:dyDescent="0.3">
      <c r="A114" s="43"/>
      <c r="B114" s="108" t="s">
        <v>2958</v>
      </c>
      <c r="C114" s="94" t="s">
        <v>2493</v>
      </c>
      <c r="D114" s="94" t="s">
        <v>2604</v>
      </c>
      <c r="E114" s="94" t="s">
        <v>2603</v>
      </c>
      <c r="F114" s="94" t="s">
        <v>1434</v>
      </c>
      <c r="G114" s="94" t="s">
        <v>2417</v>
      </c>
      <c r="H114" s="119">
        <v>1</v>
      </c>
      <c r="I114" s="119">
        <v>3</v>
      </c>
      <c r="J114" s="119">
        <f t="shared" si="9"/>
        <v>3</v>
      </c>
      <c r="K114" s="119">
        <v>71658286</v>
      </c>
      <c r="L114" s="119">
        <v>23886095.333333332</v>
      </c>
      <c r="M114" s="119">
        <f t="shared" si="10"/>
        <v>2</v>
      </c>
      <c r="N114" s="119">
        <f t="shared" si="11"/>
        <v>47772190.666666657</v>
      </c>
      <c r="O114" s="120">
        <v>44958</v>
      </c>
      <c r="P114" s="120">
        <v>46053</v>
      </c>
      <c r="Q114" s="119">
        <v>1</v>
      </c>
      <c r="R114" s="121">
        <v>23886095.33333334</v>
      </c>
      <c r="S114" s="119">
        <v>0</v>
      </c>
      <c r="T114" s="121">
        <v>0</v>
      </c>
      <c r="U114" s="119">
        <v>1</v>
      </c>
      <c r="V114" s="121">
        <f t="shared" si="12"/>
        <v>23886095.333333332</v>
      </c>
      <c r="W114" s="119">
        <f t="shared" si="13"/>
        <v>0</v>
      </c>
      <c r="X114" s="121">
        <f t="shared" si="14"/>
        <v>0</v>
      </c>
      <c r="Y114" s="122" t="s">
        <v>2416</v>
      </c>
      <c r="Z114" s="123" t="s">
        <v>2407</v>
      </c>
      <c r="AA114" s="123" t="s">
        <v>2406</v>
      </c>
      <c r="AB114" s="123" t="s">
        <v>2372</v>
      </c>
      <c r="AC114" s="124" t="s">
        <v>12</v>
      </c>
      <c r="AD114" s="110">
        <f>COUNTIF('KK1. Movies'!AI:AI,'TK 15661.Bản quyền phim '!F114)</f>
        <v>1</v>
      </c>
      <c r="AE114" s="110">
        <f>COUNTIF('KK2. Series'!AM:AM,'TK 15661.Bản quyền phim '!F114)</f>
        <v>0</v>
      </c>
      <c r="AF114" s="110">
        <f>COUNTIF('KK3. Kids'!AF:AF,'TK 15661.Bản quyền phim '!F114)</f>
        <v>0</v>
      </c>
      <c r="AG114" s="110"/>
      <c r="AH114" s="110" t="str">
        <f t="shared" si="15"/>
        <v>OK</v>
      </c>
    </row>
    <row r="115" spans="1:34" ht="15.6" hidden="1" x14ac:dyDescent="0.3">
      <c r="A115" s="43"/>
      <c r="B115" s="108" t="s">
        <v>2957</v>
      </c>
      <c r="C115" s="94" t="s">
        <v>2493</v>
      </c>
      <c r="D115" s="94" t="s">
        <v>2604</v>
      </c>
      <c r="E115" s="94" t="s">
        <v>2603</v>
      </c>
      <c r="F115" s="94" t="s">
        <v>1441</v>
      </c>
      <c r="G115" s="94" t="s">
        <v>2417</v>
      </c>
      <c r="H115" s="119">
        <v>1</v>
      </c>
      <c r="I115" s="119">
        <v>3</v>
      </c>
      <c r="J115" s="119">
        <f t="shared" si="9"/>
        <v>3</v>
      </c>
      <c r="K115" s="119">
        <v>146427238</v>
      </c>
      <c r="L115" s="119">
        <v>48809079.333333336</v>
      </c>
      <c r="M115" s="119">
        <f t="shared" si="10"/>
        <v>2</v>
      </c>
      <c r="N115" s="119">
        <f t="shared" si="11"/>
        <v>97618158.666666687</v>
      </c>
      <c r="O115" s="120">
        <v>44965</v>
      </c>
      <c r="P115" s="120">
        <v>46060</v>
      </c>
      <c r="Q115" s="119">
        <v>1</v>
      </c>
      <c r="R115" s="121">
        <v>48809079.333333321</v>
      </c>
      <c r="S115" s="119">
        <v>0</v>
      </c>
      <c r="T115" s="121">
        <v>0</v>
      </c>
      <c r="U115" s="119">
        <v>1</v>
      </c>
      <c r="V115" s="121">
        <f t="shared" si="12"/>
        <v>48809079.333333336</v>
      </c>
      <c r="W115" s="119">
        <f t="shared" si="13"/>
        <v>0</v>
      </c>
      <c r="X115" s="121">
        <f t="shared" si="14"/>
        <v>0</v>
      </c>
      <c r="Y115" s="122" t="s">
        <v>2416</v>
      </c>
      <c r="Z115" s="123" t="s">
        <v>2407</v>
      </c>
      <c r="AA115" s="123" t="s">
        <v>2406</v>
      </c>
      <c r="AB115" s="123" t="s">
        <v>2372</v>
      </c>
      <c r="AC115" s="124" t="s">
        <v>12</v>
      </c>
      <c r="AD115" s="110">
        <f>COUNTIF('KK1. Movies'!AI:AI,'TK 15661.Bản quyền phim '!F115)</f>
        <v>1</v>
      </c>
      <c r="AE115" s="110">
        <f>COUNTIF('KK2. Series'!AM:AM,'TK 15661.Bản quyền phim '!F115)</f>
        <v>0</v>
      </c>
      <c r="AF115" s="110">
        <f>COUNTIF('KK3. Kids'!AF:AF,'TK 15661.Bản quyền phim '!F115)</f>
        <v>0</v>
      </c>
      <c r="AG115" s="110"/>
      <c r="AH115" s="110" t="str">
        <f t="shared" si="15"/>
        <v>OK</v>
      </c>
    </row>
    <row r="116" spans="1:34" ht="15.6" hidden="1" x14ac:dyDescent="0.3">
      <c r="A116" s="43"/>
      <c r="B116" s="108" t="s">
        <v>2956</v>
      </c>
      <c r="C116" s="94" t="s">
        <v>2493</v>
      </c>
      <c r="D116" s="94" t="s">
        <v>2604</v>
      </c>
      <c r="E116" s="94" t="s">
        <v>2603</v>
      </c>
      <c r="F116" s="94" t="s">
        <v>1412</v>
      </c>
      <c r="G116" s="94" t="s">
        <v>2417</v>
      </c>
      <c r="H116" s="119">
        <v>1</v>
      </c>
      <c r="I116" s="119">
        <v>3</v>
      </c>
      <c r="J116" s="119">
        <f t="shared" si="9"/>
        <v>3</v>
      </c>
      <c r="K116" s="119">
        <v>140316190</v>
      </c>
      <c r="L116" s="119">
        <v>46772063.333333336</v>
      </c>
      <c r="M116" s="119">
        <f t="shared" si="10"/>
        <v>2</v>
      </c>
      <c r="N116" s="119">
        <f t="shared" si="11"/>
        <v>93544126.666666687</v>
      </c>
      <c r="O116" s="120">
        <v>45000</v>
      </c>
      <c r="P116" s="120">
        <v>46067</v>
      </c>
      <c r="Q116" s="119">
        <v>1</v>
      </c>
      <c r="R116" s="121">
        <v>46772063.333333321</v>
      </c>
      <c r="S116" s="119">
        <v>0</v>
      </c>
      <c r="T116" s="121">
        <v>0</v>
      </c>
      <c r="U116" s="119">
        <v>1</v>
      </c>
      <c r="V116" s="121">
        <f t="shared" si="12"/>
        <v>46772063.333333336</v>
      </c>
      <c r="W116" s="119">
        <f t="shared" si="13"/>
        <v>0</v>
      </c>
      <c r="X116" s="121">
        <f t="shared" si="14"/>
        <v>0</v>
      </c>
      <c r="Y116" s="122" t="s">
        <v>2416</v>
      </c>
      <c r="Z116" s="123" t="s">
        <v>2407</v>
      </c>
      <c r="AA116" s="123" t="s">
        <v>2406</v>
      </c>
      <c r="AB116" s="123" t="s">
        <v>2372</v>
      </c>
      <c r="AC116" s="124" t="s">
        <v>12</v>
      </c>
      <c r="AD116" s="110">
        <f>COUNTIF('KK1. Movies'!AI:AI,'TK 15661.Bản quyền phim '!F116)</f>
        <v>1</v>
      </c>
      <c r="AE116" s="110">
        <f>COUNTIF('KK2. Series'!AM:AM,'TK 15661.Bản quyền phim '!F116)</f>
        <v>0</v>
      </c>
      <c r="AF116" s="110">
        <f>COUNTIF('KK3. Kids'!AF:AF,'TK 15661.Bản quyền phim '!F116)</f>
        <v>0</v>
      </c>
      <c r="AG116" s="110"/>
      <c r="AH116" s="110" t="str">
        <f t="shared" si="15"/>
        <v>OK</v>
      </c>
    </row>
    <row r="117" spans="1:34" ht="15.6" hidden="1" x14ac:dyDescent="0.3">
      <c r="A117" s="43"/>
      <c r="B117" s="108" t="s">
        <v>2955</v>
      </c>
      <c r="C117" s="94" t="s">
        <v>2493</v>
      </c>
      <c r="D117" s="94" t="s">
        <v>2604</v>
      </c>
      <c r="E117" s="94" t="s">
        <v>2603</v>
      </c>
      <c r="F117" s="94" t="s">
        <v>1984</v>
      </c>
      <c r="G117" s="94" t="s">
        <v>2417</v>
      </c>
      <c r="H117" s="119">
        <v>1</v>
      </c>
      <c r="I117" s="119">
        <v>3</v>
      </c>
      <c r="J117" s="119">
        <f t="shared" si="9"/>
        <v>3</v>
      </c>
      <c r="K117" s="119">
        <v>50800000</v>
      </c>
      <c r="L117" s="119">
        <v>16933333.333333332</v>
      </c>
      <c r="M117" s="119">
        <f t="shared" si="10"/>
        <v>2</v>
      </c>
      <c r="N117" s="119">
        <f t="shared" si="11"/>
        <v>33866666.666666657</v>
      </c>
      <c r="O117" s="120">
        <v>45007</v>
      </c>
      <c r="P117" s="120">
        <v>46102</v>
      </c>
      <c r="Q117" s="119">
        <v>1</v>
      </c>
      <c r="R117" s="121">
        <v>16933333.33333334</v>
      </c>
      <c r="S117" s="119">
        <v>0</v>
      </c>
      <c r="T117" s="121">
        <v>0</v>
      </c>
      <c r="U117" s="119">
        <v>1</v>
      </c>
      <c r="V117" s="121">
        <f t="shared" si="12"/>
        <v>16933333.333333332</v>
      </c>
      <c r="W117" s="119">
        <f t="shared" si="13"/>
        <v>0</v>
      </c>
      <c r="X117" s="121">
        <f t="shared" si="14"/>
        <v>0</v>
      </c>
      <c r="Y117" s="122" t="s">
        <v>2416</v>
      </c>
      <c r="Z117" s="123" t="s">
        <v>2407</v>
      </c>
      <c r="AA117" s="123" t="s">
        <v>2406</v>
      </c>
      <c r="AB117" s="123" t="s">
        <v>2372</v>
      </c>
      <c r="AC117" s="124" t="s">
        <v>12</v>
      </c>
      <c r="AD117" s="110">
        <f>COUNTIF('KK1. Movies'!AI:AI,'TK 15661.Bản quyền phim '!F117)</f>
        <v>1</v>
      </c>
      <c r="AE117" s="110">
        <f>COUNTIF('KK2. Series'!AM:AM,'TK 15661.Bản quyền phim '!F117)</f>
        <v>0</v>
      </c>
      <c r="AF117" s="110">
        <f>COUNTIF('KK3. Kids'!AF:AF,'TK 15661.Bản quyền phim '!F117)</f>
        <v>0</v>
      </c>
      <c r="AG117" s="110"/>
      <c r="AH117" s="110" t="str">
        <f t="shared" si="15"/>
        <v>OK</v>
      </c>
    </row>
    <row r="118" spans="1:34" ht="15.6" hidden="1" x14ac:dyDescent="0.3">
      <c r="A118" s="43"/>
      <c r="B118" s="108" t="s">
        <v>2954</v>
      </c>
      <c r="C118" s="94" t="s">
        <v>2493</v>
      </c>
      <c r="D118" s="94" t="s">
        <v>2604</v>
      </c>
      <c r="E118" s="94" t="s">
        <v>2603</v>
      </c>
      <c r="F118" s="94" t="s">
        <v>1946</v>
      </c>
      <c r="G118" s="94" t="s">
        <v>2417</v>
      </c>
      <c r="H118" s="119">
        <v>1</v>
      </c>
      <c r="I118" s="119">
        <v>3</v>
      </c>
      <c r="J118" s="119">
        <f t="shared" si="9"/>
        <v>3</v>
      </c>
      <c r="K118" s="119">
        <v>50800000</v>
      </c>
      <c r="L118" s="119">
        <v>16933333.333333332</v>
      </c>
      <c r="M118" s="119">
        <f t="shared" si="10"/>
        <v>2</v>
      </c>
      <c r="N118" s="119">
        <f t="shared" si="11"/>
        <v>33866666.666666657</v>
      </c>
      <c r="O118" s="120">
        <v>45022</v>
      </c>
      <c r="P118" s="120">
        <v>46361</v>
      </c>
      <c r="Q118" s="119">
        <v>1</v>
      </c>
      <c r="R118" s="121">
        <v>16933333.33333334</v>
      </c>
      <c r="S118" s="119">
        <v>0</v>
      </c>
      <c r="T118" s="121">
        <v>0</v>
      </c>
      <c r="U118" s="119">
        <v>1</v>
      </c>
      <c r="V118" s="121">
        <f t="shared" si="12"/>
        <v>16933333.333333332</v>
      </c>
      <c r="W118" s="119">
        <f t="shared" si="13"/>
        <v>0</v>
      </c>
      <c r="X118" s="121">
        <f t="shared" si="14"/>
        <v>0</v>
      </c>
      <c r="Y118" s="122" t="s">
        <v>2416</v>
      </c>
      <c r="Z118" s="123" t="s">
        <v>2407</v>
      </c>
      <c r="AA118" s="123" t="s">
        <v>2406</v>
      </c>
      <c r="AB118" s="123" t="s">
        <v>2372</v>
      </c>
      <c r="AC118" s="124" t="s">
        <v>12</v>
      </c>
      <c r="AD118" s="110">
        <f>COUNTIF('KK1. Movies'!AI:AI,'TK 15661.Bản quyền phim '!F118)</f>
        <v>1</v>
      </c>
      <c r="AE118" s="110">
        <f>COUNTIF('KK2. Series'!AM:AM,'TK 15661.Bản quyền phim '!F118)</f>
        <v>0</v>
      </c>
      <c r="AF118" s="110">
        <f>COUNTIF('KK3. Kids'!AF:AF,'TK 15661.Bản quyền phim '!F118)</f>
        <v>0</v>
      </c>
      <c r="AG118" s="110"/>
      <c r="AH118" s="110" t="str">
        <f t="shared" si="15"/>
        <v>OK</v>
      </c>
    </row>
    <row r="119" spans="1:34" ht="15.6" hidden="1" x14ac:dyDescent="0.3">
      <c r="A119" s="43"/>
      <c r="B119" s="108" t="s">
        <v>2953</v>
      </c>
      <c r="C119" s="94" t="s">
        <v>2493</v>
      </c>
      <c r="D119" s="94" t="s">
        <v>2604</v>
      </c>
      <c r="E119" s="94" t="s">
        <v>2603</v>
      </c>
      <c r="F119" s="94" t="s">
        <v>2224</v>
      </c>
      <c r="G119" s="94" t="s">
        <v>2417</v>
      </c>
      <c r="H119" s="119">
        <v>1</v>
      </c>
      <c r="I119" s="119">
        <v>3</v>
      </c>
      <c r="J119" s="119">
        <f t="shared" si="9"/>
        <v>3</v>
      </c>
      <c r="K119" s="119">
        <v>125000000</v>
      </c>
      <c r="L119" s="119">
        <v>41666666.666666664</v>
      </c>
      <c r="M119" s="119">
        <f t="shared" si="10"/>
        <v>2</v>
      </c>
      <c r="N119" s="119">
        <f t="shared" si="11"/>
        <v>83333333.333333313</v>
      </c>
      <c r="O119" s="120">
        <v>45065</v>
      </c>
      <c r="P119" s="120">
        <v>46160</v>
      </c>
      <c r="Q119" s="119">
        <v>1</v>
      </c>
      <c r="R119" s="121">
        <v>41666666.666666679</v>
      </c>
      <c r="S119" s="119">
        <v>0</v>
      </c>
      <c r="T119" s="121">
        <v>0</v>
      </c>
      <c r="U119" s="119">
        <v>1</v>
      </c>
      <c r="V119" s="121">
        <f t="shared" si="12"/>
        <v>41666666.666666664</v>
      </c>
      <c r="W119" s="119">
        <f t="shared" si="13"/>
        <v>0</v>
      </c>
      <c r="X119" s="121">
        <f t="shared" si="14"/>
        <v>0</v>
      </c>
      <c r="Y119" s="122" t="s">
        <v>2416</v>
      </c>
      <c r="Z119" s="123" t="s">
        <v>2407</v>
      </c>
      <c r="AA119" s="123" t="s">
        <v>2406</v>
      </c>
      <c r="AB119" s="123" t="s">
        <v>2372</v>
      </c>
      <c r="AC119" s="124" t="s">
        <v>12</v>
      </c>
      <c r="AD119" s="110">
        <f>COUNTIF('KK1. Movies'!AI:AI,'TK 15661.Bản quyền phim '!F119)</f>
        <v>1</v>
      </c>
      <c r="AE119" s="110">
        <f>COUNTIF('KK2. Series'!AM:AM,'TK 15661.Bản quyền phim '!F119)</f>
        <v>0</v>
      </c>
      <c r="AF119" s="110">
        <f>COUNTIF('KK3. Kids'!AF:AF,'TK 15661.Bản quyền phim '!F119)</f>
        <v>0</v>
      </c>
      <c r="AG119" s="110"/>
      <c r="AH119" s="110" t="str">
        <f t="shared" si="15"/>
        <v>OK</v>
      </c>
    </row>
    <row r="120" spans="1:34" ht="15.6" hidden="1" x14ac:dyDescent="0.3">
      <c r="A120" s="43"/>
      <c r="B120" s="108" t="s">
        <v>2952</v>
      </c>
      <c r="C120" s="94" t="s">
        <v>2493</v>
      </c>
      <c r="D120" s="94" t="s">
        <v>2604</v>
      </c>
      <c r="E120" s="94" t="s">
        <v>2603</v>
      </c>
      <c r="F120" s="94" t="s">
        <v>2135</v>
      </c>
      <c r="G120" s="94" t="s">
        <v>2417</v>
      </c>
      <c r="H120" s="119">
        <v>1</v>
      </c>
      <c r="I120" s="119">
        <v>3</v>
      </c>
      <c r="J120" s="119">
        <f t="shared" si="9"/>
        <v>3</v>
      </c>
      <c r="K120" s="119">
        <v>71658286</v>
      </c>
      <c r="L120" s="119">
        <v>23886095.333333332</v>
      </c>
      <c r="M120" s="119">
        <f t="shared" si="10"/>
        <v>2</v>
      </c>
      <c r="N120" s="119">
        <f t="shared" si="11"/>
        <v>47772190.666666657</v>
      </c>
      <c r="O120" s="120">
        <v>45065</v>
      </c>
      <c r="P120" s="120">
        <v>46160</v>
      </c>
      <c r="Q120" s="119">
        <v>1</v>
      </c>
      <c r="R120" s="121">
        <v>23886095.33333334</v>
      </c>
      <c r="S120" s="119">
        <v>0</v>
      </c>
      <c r="T120" s="121">
        <v>0</v>
      </c>
      <c r="U120" s="119">
        <v>1</v>
      </c>
      <c r="V120" s="121">
        <f t="shared" si="12"/>
        <v>23886095.333333332</v>
      </c>
      <c r="W120" s="119">
        <f t="shared" si="13"/>
        <v>0</v>
      </c>
      <c r="X120" s="121">
        <f t="shared" si="14"/>
        <v>0</v>
      </c>
      <c r="Y120" s="122" t="s">
        <v>2416</v>
      </c>
      <c r="Z120" s="123" t="s">
        <v>2407</v>
      </c>
      <c r="AA120" s="123" t="s">
        <v>2406</v>
      </c>
      <c r="AB120" s="123" t="s">
        <v>2372</v>
      </c>
      <c r="AC120" s="124" t="s">
        <v>12</v>
      </c>
      <c r="AD120" s="110">
        <f>COUNTIF('KK1. Movies'!AI:AI,'TK 15661.Bản quyền phim '!F120)</f>
        <v>1</v>
      </c>
      <c r="AE120" s="110">
        <f>COUNTIF('KK2. Series'!AM:AM,'TK 15661.Bản quyền phim '!F120)</f>
        <v>0</v>
      </c>
      <c r="AF120" s="110">
        <f>COUNTIF('KK3. Kids'!AF:AF,'TK 15661.Bản quyền phim '!F120)</f>
        <v>0</v>
      </c>
      <c r="AG120" s="110"/>
      <c r="AH120" s="110" t="str">
        <f t="shared" si="15"/>
        <v>OK</v>
      </c>
    </row>
    <row r="121" spans="1:34" ht="15.6" hidden="1" x14ac:dyDescent="0.3">
      <c r="A121" s="43"/>
      <c r="B121" s="108" t="s">
        <v>2951</v>
      </c>
      <c r="C121" s="94" t="s">
        <v>2493</v>
      </c>
      <c r="D121" s="94" t="s">
        <v>2604</v>
      </c>
      <c r="E121" s="94" t="s">
        <v>2603</v>
      </c>
      <c r="F121" s="94" t="s">
        <v>2032</v>
      </c>
      <c r="G121" s="94" t="s">
        <v>2417</v>
      </c>
      <c r="H121" s="119">
        <v>1</v>
      </c>
      <c r="I121" s="119">
        <v>3</v>
      </c>
      <c r="J121" s="119">
        <f t="shared" si="9"/>
        <v>3</v>
      </c>
      <c r="K121" s="119">
        <v>93676381</v>
      </c>
      <c r="L121" s="119">
        <v>31225460.333333332</v>
      </c>
      <c r="M121" s="119">
        <f t="shared" si="10"/>
        <v>2</v>
      </c>
      <c r="N121" s="119">
        <f t="shared" si="11"/>
        <v>62450920.666666657</v>
      </c>
      <c r="O121" s="120">
        <v>45065</v>
      </c>
      <c r="P121" s="120">
        <v>46160</v>
      </c>
      <c r="Q121" s="119">
        <v>1</v>
      </c>
      <c r="R121" s="121">
        <v>31225460.33333334</v>
      </c>
      <c r="S121" s="119">
        <v>0</v>
      </c>
      <c r="T121" s="121">
        <v>0</v>
      </c>
      <c r="U121" s="119">
        <v>1</v>
      </c>
      <c r="V121" s="121">
        <f t="shared" si="12"/>
        <v>31225460.333333332</v>
      </c>
      <c r="W121" s="119">
        <f t="shared" si="13"/>
        <v>0</v>
      </c>
      <c r="X121" s="121">
        <f t="shared" si="14"/>
        <v>0</v>
      </c>
      <c r="Y121" s="122" t="s">
        <v>2416</v>
      </c>
      <c r="Z121" s="123" t="s">
        <v>2407</v>
      </c>
      <c r="AA121" s="123" t="s">
        <v>2406</v>
      </c>
      <c r="AB121" s="123" t="s">
        <v>2372</v>
      </c>
      <c r="AC121" s="124" t="s">
        <v>12</v>
      </c>
      <c r="AD121" s="110">
        <f>COUNTIF('KK1. Movies'!AI:AI,'TK 15661.Bản quyền phim '!F121)</f>
        <v>1</v>
      </c>
      <c r="AE121" s="110">
        <f>COUNTIF('KK2. Series'!AM:AM,'TK 15661.Bản quyền phim '!F121)</f>
        <v>0</v>
      </c>
      <c r="AF121" s="110">
        <f>COUNTIF('KK3. Kids'!AF:AF,'TK 15661.Bản quyền phim '!F121)</f>
        <v>0</v>
      </c>
      <c r="AG121" s="110"/>
      <c r="AH121" s="110" t="str">
        <f t="shared" si="15"/>
        <v>OK</v>
      </c>
    </row>
    <row r="122" spans="1:34" ht="15.6" hidden="1" x14ac:dyDescent="0.3">
      <c r="A122" s="43"/>
      <c r="B122" s="108" t="s">
        <v>2950</v>
      </c>
      <c r="C122" s="94" t="s">
        <v>2493</v>
      </c>
      <c r="D122" s="94" t="s">
        <v>2604</v>
      </c>
      <c r="E122" s="94" t="s">
        <v>2603</v>
      </c>
      <c r="F122" s="94" t="s">
        <v>1910</v>
      </c>
      <c r="G122" s="94" t="s">
        <v>2417</v>
      </c>
      <c r="H122" s="119">
        <v>1</v>
      </c>
      <c r="I122" s="119">
        <v>3</v>
      </c>
      <c r="J122" s="119">
        <f t="shared" si="9"/>
        <v>3</v>
      </c>
      <c r="K122" s="119">
        <v>25000000</v>
      </c>
      <c r="L122" s="119">
        <v>8333333.333333333</v>
      </c>
      <c r="M122" s="119">
        <f t="shared" si="10"/>
        <v>2</v>
      </c>
      <c r="N122" s="119">
        <f t="shared" si="11"/>
        <v>16666666.666666664</v>
      </c>
      <c r="O122" s="120">
        <v>45065</v>
      </c>
      <c r="P122" s="120">
        <v>46160</v>
      </c>
      <c r="Q122" s="119">
        <v>1</v>
      </c>
      <c r="R122" s="121">
        <v>8333333.3333333349</v>
      </c>
      <c r="S122" s="119">
        <v>0</v>
      </c>
      <c r="T122" s="121">
        <v>0</v>
      </c>
      <c r="U122" s="119">
        <v>1</v>
      </c>
      <c r="V122" s="121">
        <f t="shared" si="12"/>
        <v>8333333.333333333</v>
      </c>
      <c r="W122" s="119">
        <f t="shared" si="13"/>
        <v>0</v>
      </c>
      <c r="X122" s="121">
        <f t="shared" si="14"/>
        <v>0</v>
      </c>
      <c r="Y122" s="122" t="s">
        <v>2416</v>
      </c>
      <c r="Z122" s="123" t="s">
        <v>2407</v>
      </c>
      <c r="AA122" s="123" t="s">
        <v>2406</v>
      </c>
      <c r="AB122" s="123" t="s">
        <v>2372</v>
      </c>
      <c r="AC122" s="124" t="s">
        <v>12</v>
      </c>
      <c r="AD122" s="110">
        <f>COUNTIF('KK1. Movies'!AI:AI,'TK 15661.Bản quyền phim '!F122)</f>
        <v>1</v>
      </c>
      <c r="AE122" s="110">
        <f>COUNTIF('KK2. Series'!AM:AM,'TK 15661.Bản quyền phim '!F122)</f>
        <v>0</v>
      </c>
      <c r="AF122" s="110">
        <f>COUNTIF('KK3. Kids'!AF:AF,'TK 15661.Bản quyền phim '!F122)</f>
        <v>0</v>
      </c>
      <c r="AG122" s="110"/>
      <c r="AH122" s="110" t="str">
        <f t="shared" si="15"/>
        <v>OK</v>
      </c>
    </row>
    <row r="123" spans="1:34" ht="15.6" hidden="1" x14ac:dyDescent="0.3">
      <c r="A123" s="43"/>
      <c r="B123" s="108" t="s">
        <v>2949</v>
      </c>
      <c r="C123" s="94" t="s">
        <v>2493</v>
      </c>
      <c r="D123" s="94" t="s">
        <v>2604</v>
      </c>
      <c r="E123" s="94" t="s">
        <v>2603</v>
      </c>
      <c r="F123" s="94" t="s">
        <v>2243</v>
      </c>
      <c r="G123" s="94" t="s">
        <v>2417</v>
      </c>
      <c r="H123" s="119">
        <v>1</v>
      </c>
      <c r="I123" s="119">
        <v>3</v>
      </c>
      <c r="J123" s="119">
        <f t="shared" si="9"/>
        <v>3</v>
      </c>
      <c r="K123" s="119">
        <v>125000000</v>
      </c>
      <c r="L123" s="119">
        <v>41666666.666666664</v>
      </c>
      <c r="M123" s="119">
        <f t="shared" si="10"/>
        <v>2</v>
      </c>
      <c r="N123" s="119">
        <f t="shared" si="11"/>
        <v>83333333.333333313</v>
      </c>
      <c r="O123" s="120">
        <v>45065</v>
      </c>
      <c r="P123" s="120">
        <v>46160</v>
      </c>
      <c r="Q123" s="119">
        <v>1</v>
      </c>
      <c r="R123" s="121">
        <v>41666666.666666679</v>
      </c>
      <c r="S123" s="119">
        <v>0</v>
      </c>
      <c r="T123" s="121">
        <v>0</v>
      </c>
      <c r="U123" s="119">
        <v>1</v>
      </c>
      <c r="V123" s="121">
        <f t="shared" si="12"/>
        <v>41666666.666666664</v>
      </c>
      <c r="W123" s="119">
        <f t="shared" si="13"/>
        <v>0</v>
      </c>
      <c r="X123" s="121">
        <f t="shared" si="14"/>
        <v>0</v>
      </c>
      <c r="Y123" s="122" t="s">
        <v>2416</v>
      </c>
      <c r="Z123" s="123" t="s">
        <v>2407</v>
      </c>
      <c r="AA123" s="123" t="s">
        <v>2406</v>
      </c>
      <c r="AB123" s="123" t="s">
        <v>2372</v>
      </c>
      <c r="AC123" s="124" t="s">
        <v>12</v>
      </c>
      <c r="AD123" s="110">
        <f>COUNTIF('KK1. Movies'!AI:AI,'TK 15661.Bản quyền phim '!F123)</f>
        <v>1</v>
      </c>
      <c r="AE123" s="110">
        <f>COUNTIF('KK2. Series'!AM:AM,'TK 15661.Bản quyền phim '!F123)</f>
        <v>0</v>
      </c>
      <c r="AF123" s="110">
        <f>COUNTIF('KK3. Kids'!AF:AF,'TK 15661.Bản quyền phim '!F123)</f>
        <v>0</v>
      </c>
      <c r="AG123" s="110"/>
      <c r="AH123" s="110" t="str">
        <f t="shared" si="15"/>
        <v>OK</v>
      </c>
    </row>
    <row r="124" spans="1:34" ht="15.6" hidden="1" x14ac:dyDescent="0.3">
      <c r="A124" s="43"/>
      <c r="B124" s="108" t="s">
        <v>2948</v>
      </c>
      <c r="C124" s="94" t="s">
        <v>2493</v>
      </c>
      <c r="D124" s="94" t="s">
        <v>2604</v>
      </c>
      <c r="E124" s="94" t="s">
        <v>2603</v>
      </c>
      <c r="F124" s="94" t="s">
        <v>2071</v>
      </c>
      <c r="G124" s="94" t="s">
        <v>2417</v>
      </c>
      <c r="H124" s="119">
        <v>1</v>
      </c>
      <c r="I124" s="119">
        <v>3</v>
      </c>
      <c r="J124" s="119">
        <f t="shared" si="9"/>
        <v>3</v>
      </c>
      <c r="K124" s="119">
        <v>93676381</v>
      </c>
      <c r="L124" s="119">
        <v>31225460.333333332</v>
      </c>
      <c r="M124" s="119">
        <f t="shared" si="10"/>
        <v>1</v>
      </c>
      <c r="N124" s="119">
        <f t="shared" si="11"/>
        <v>31225460.333333328</v>
      </c>
      <c r="O124" s="120">
        <v>45065</v>
      </c>
      <c r="P124" s="120">
        <v>46160</v>
      </c>
      <c r="Q124" s="119">
        <v>2</v>
      </c>
      <c r="R124" s="121">
        <v>62450920.666666672</v>
      </c>
      <c r="S124" s="119">
        <v>0</v>
      </c>
      <c r="T124" s="121">
        <v>0</v>
      </c>
      <c r="U124" s="119">
        <v>1</v>
      </c>
      <c r="V124" s="121">
        <f t="shared" si="12"/>
        <v>31225460.333333332</v>
      </c>
      <c r="W124" s="119">
        <f t="shared" si="13"/>
        <v>1</v>
      </c>
      <c r="X124" s="121">
        <f t="shared" si="14"/>
        <v>31225460.33333334</v>
      </c>
      <c r="Y124" s="122" t="s">
        <v>2416</v>
      </c>
      <c r="Z124" s="123" t="s">
        <v>2407</v>
      </c>
      <c r="AA124" s="123" t="s">
        <v>2406</v>
      </c>
      <c r="AB124" s="123" t="s">
        <v>2372</v>
      </c>
      <c r="AC124" s="124" t="s">
        <v>12</v>
      </c>
      <c r="AD124" s="110">
        <f>COUNTIF('KK1. Movies'!AI:AI,'TK 15661.Bản quyền phim '!F124)</f>
        <v>1</v>
      </c>
      <c r="AE124" s="110">
        <f>COUNTIF('KK2. Series'!AM:AM,'TK 15661.Bản quyền phim '!F124)</f>
        <v>0</v>
      </c>
      <c r="AF124" s="110">
        <f>COUNTIF('KK3. Kids'!AF:AF,'TK 15661.Bản quyền phim '!F124)</f>
        <v>0</v>
      </c>
      <c r="AG124" s="110"/>
      <c r="AH124" s="110" t="str">
        <f t="shared" si="15"/>
        <v>OK</v>
      </c>
    </row>
    <row r="125" spans="1:34" ht="15.6" hidden="1" x14ac:dyDescent="0.3">
      <c r="B125" s="108" t="s">
        <v>2947</v>
      </c>
      <c r="C125" s="94" t="s">
        <v>2493</v>
      </c>
      <c r="D125" s="94" t="s">
        <v>2946</v>
      </c>
      <c r="E125" s="94" t="s">
        <v>2945</v>
      </c>
      <c r="F125" s="94" t="s">
        <v>1011</v>
      </c>
      <c r="G125" s="94" t="s">
        <v>2428</v>
      </c>
      <c r="H125" s="119">
        <v>24</v>
      </c>
      <c r="I125" s="119">
        <v>3</v>
      </c>
      <c r="J125" s="119">
        <f t="shared" si="9"/>
        <v>72</v>
      </c>
      <c r="K125" s="119">
        <v>914285714</v>
      </c>
      <c r="L125" s="119">
        <v>12698412.694444444</v>
      </c>
      <c r="M125" s="119">
        <f t="shared" si="10"/>
        <v>48</v>
      </c>
      <c r="N125" s="119">
        <f t="shared" si="11"/>
        <v>609523809.33333325</v>
      </c>
      <c r="O125" s="120">
        <v>44937</v>
      </c>
      <c r="P125" s="120">
        <v>46033</v>
      </c>
      <c r="Q125" s="119">
        <v>24</v>
      </c>
      <c r="R125" s="121">
        <v>304761904.66666675</v>
      </c>
      <c r="S125" s="119">
        <v>0</v>
      </c>
      <c r="T125" s="121">
        <v>0</v>
      </c>
      <c r="U125" s="119">
        <v>24</v>
      </c>
      <c r="V125" s="121">
        <f t="shared" si="12"/>
        <v>304761904.66666663</v>
      </c>
      <c r="W125" s="119">
        <f t="shared" si="13"/>
        <v>0</v>
      </c>
      <c r="X125" s="121">
        <f t="shared" si="14"/>
        <v>0</v>
      </c>
      <c r="Y125" s="122" t="s">
        <v>2427</v>
      </c>
      <c r="Z125" s="123" t="s">
        <v>2407</v>
      </c>
      <c r="AA125" s="123" t="s">
        <v>2406</v>
      </c>
      <c r="AB125" s="123" t="s">
        <v>2372</v>
      </c>
      <c r="AC125" s="124" t="s">
        <v>10</v>
      </c>
      <c r="AD125" s="110">
        <f>COUNTIF('KK1. Movies'!AI:AI,'TK 15661.Bản quyền phim '!F125)</f>
        <v>0</v>
      </c>
      <c r="AE125" s="110">
        <f>COUNTIF('KK2. Series'!AM:AM,'TK 15661.Bản quyền phim '!F125)</f>
        <v>1</v>
      </c>
      <c r="AF125" s="110">
        <f>COUNTIF('KK3. Kids'!AF:AF,'TK 15661.Bản quyền phim '!F125)</f>
        <v>0</v>
      </c>
      <c r="AG125" s="110"/>
      <c r="AH125" s="110" t="str">
        <f t="shared" si="15"/>
        <v>OK</v>
      </c>
    </row>
    <row r="126" spans="1:34" ht="15.6" hidden="1" x14ac:dyDescent="0.3">
      <c r="A126" s="47">
        <f>(U126-H126)*L126</f>
        <v>0</v>
      </c>
      <c r="B126" s="108" t="s">
        <v>2944</v>
      </c>
      <c r="C126" s="94" t="s">
        <v>2412</v>
      </c>
      <c r="D126" s="94" t="s">
        <v>2431</v>
      </c>
      <c r="E126" s="94" t="s">
        <v>2430</v>
      </c>
      <c r="F126" s="94" t="s">
        <v>975</v>
      </c>
      <c r="G126" s="94" t="s">
        <v>2428</v>
      </c>
      <c r="H126" s="119">
        <v>16</v>
      </c>
      <c r="I126" s="119">
        <v>4</v>
      </c>
      <c r="J126" s="119">
        <f t="shared" si="9"/>
        <v>64</v>
      </c>
      <c r="K126" s="119">
        <v>2974211600</v>
      </c>
      <c r="L126" s="119">
        <v>46472056.25</v>
      </c>
      <c r="M126" s="119">
        <f t="shared" si="10"/>
        <v>32</v>
      </c>
      <c r="N126" s="119">
        <f t="shared" si="11"/>
        <v>1487105800</v>
      </c>
      <c r="O126" s="120">
        <v>44974</v>
      </c>
      <c r="P126" s="120">
        <v>46434</v>
      </c>
      <c r="Q126" s="119">
        <v>32</v>
      </c>
      <c r="R126" s="121">
        <v>1487105800</v>
      </c>
      <c r="S126" s="119">
        <v>0</v>
      </c>
      <c r="T126" s="121">
        <v>0</v>
      </c>
      <c r="U126" s="119">
        <v>16</v>
      </c>
      <c r="V126" s="121">
        <f t="shared" si="12"/>
        <v>743552900</v>
      </c>
      <c r="W126" s="119">
        <f t="shared" si="13"/>
        <v>16</v>
      </c>
      <c r="X126" s="121">
        <f t="shared" si="14"/>
        <v>743552900</v>
      </c>
      <c r="Y126" s="122" t="s">
        <v>2427</v>
      </c>
      <c r="Z126" s="123" t="s">
        <v>2407</v>
      </c>
      <c r="AA126" s="123" t="s">
        <v>2406</v>
      </c>
      <c r="AB126" s="123" t="s">
        <v>2372</v>
      </c>
      <c r="AC126" s="124" t="s">
        <v>10</v>
      </c>
      <c r="AD126" s="110">
        <f>COUNTIF('KK1. Movies'!AI:AI,'TK 15661.Bản quyền phim '!F126)</f>
        <v>0</v>
      </c>
      <c r="AE126" s="110">
        <f>COUNTIF('KK2. Series'!AM:AM,'TK 15661.Bản quyền phim '!F126)</f>
        <v>1</v>
      </c>
      <c r="AF126" s="110">
        <f>COUNTIF('KK3. Kids'!AF:AF,'TK 15661.Bản quyền phim '!F126)</f>
        <v>0</v>
      </c>
      <c r="AG126" s="110"/>
      <c r="AH126" s="110" t="str">
        <f t="shared" si="15"/>
        <v>OK</v>
      </c>
    </row>
    <row r="127" spans="1:34" ht="15.6" hidden="1" x14ac:dyDescent="0.3">
      <c r="A127" s="47">
        <f>(U127-H127)*L127</f>
        <v>0</v>
      </c>
      <c r="B127" s="108" t="s">
        <v>2943</v>
      </c>
      <c r="C127" s="94" t="s">
        <v>2412</v>
      </c>
      <c r="D127" s="94" t="s">
        <v>2431</v>
      </c>
      <c r="E127" s="94" t="s">
        <v>2430</v>
      </c>
      <c r="F127" s="94" t="s">
        <v>994</v>
      </c>
      <c r="G127" s="94" t="s">
        <v>2428</v>
      </c>
      <c r="H127" s="119">
        <v>12</v>
      </c>
      <c r="I127" s="119">
        <v>4</v>
      </c>
      <c r="J127" s="119">
        <f t="shared" si="9"/>
        <v>48</v>
      </c>
      <c r="K127" s="119">
        <v>1274658700</v>
      </c>
      <c r="L127" s="119">
        <v>26555389.583333336</v>
      </c>
      <c r="M127" s="119">
        <f t="shared" si="10"/>
        <v>24</v>
      </c>
      <c r="N127" s="119">
        <f t="shared" si="11"/>
        <v>637329350</v>
      </c>
      <c r="O127" s="120">
        <v>44986</v>
      </c>
      <c r="P127" s="120">
        <v>46446</v>
      </c>
      <c r="Q127" s="119">
        <v>24</v>
      </c>
      <c r="R127" s="121">
        <v>637329350</v>
      </c>
      <c r="S127" s="119">
        <v>0</v>
      </c>
      <c r="T127" s="121">
        <v>0</v>
      </c>
      <c r="U127" s="119">
        <v>12</v>
      </c>
      <c r="V127" s="121">
        <f t="shared" si="12"/>
        <v>318664675</v>
      </c>
      <c r="W127" s="119">
        <f t="shared" si="13"/>
        <v>12</v>
      </c>
      <c r="X127" s="121">
        <f t="shared" si="14"/>
        <v>318664675</v>
      </c>
      <c r="Y127" s="122" t="s">
        <v>2427</v>
      </c>
      <c r="Z127" s="123" t="s">
        <v>2407</v>
      </c>
      <c r="AA127" s="123" t="s">
        <v>2406</v>
      </c>
      <c r="AB127" s="123" t="s">
        <v>2372</v>
      </c>
      <c r="AC127" s="124" t="s">
        <v>10</v>
      </c>
      <c r="AD127" s="110">
        <f>COUNTIF('KK1. Movies'!AI:AI,'TK 15661.Bản quyền phim '!F127)</f>
        <v>0</v>
      </c>
      <c r="AE127" s="110">
        <f>COUNTIF('KK2. Series'!AM:AM,'TK 15661.Bản quyền phim '!F127)</f>
        <v>1</v>
      </c>
      <c r="AF127" s="110">
        <f>COUNTIF('KK3. Kids'!AF:AF,'TK 15661.Bản quyền phim '!F127)</f>
        <v>0</v>
      </c>
      <c r="AG127" s="110"/>
      <c r="AH127" s="110" t="str">
        <f t="shared" si="15"/>
        <v>OK</v>
      </c>
    </row>
    <row r="128" spans="1:34" ht="15.6" hidden="1" x14ac:dyDescent="0.3">
      <c r="A128" s="43"/>
      <c r="B128" s="108" t="s">
        <v>2942</v>
      </c>
      <c r="C128" s="94" t="s">
        <v>2412</v>
      </c>
      <c r="D128" s="94" t="s">
        <v>2938</v>
      </c>
      <c r="E128" s="94" t="s">
        <v>2937</v>
      </c>
      <c r="F128" s="94" t="s">
        <v>2256</v>
      </c>
      <c r="G128" s="94" t="s">
        <v>2417</v>
      </c>
      <c r="H128" s="119">
        <v>1</v>
      </c>
      <c r="I128" s="119">
        <v>3</v>
      </c>
      <c r="J128" s="119">
        <f t="shared" si="9"/>
        <v>3</v>
      </c>
      <c r="K128" s="119">
        <v>94400000</v>
      </c>
      <c r="L128" s="119">
        <v>31466666.666666664</v>
      </c>
      <c r="M128" s="119">
        <f t="shared" si="10"/>
        <v>2</v>
      </c>
      <c r="N128" s="119">
        <f t="shared" si="11"/>
        <v>62933333.333333328</v>
      </c>
      <c r="O128" s="120">
        <v>45147</v>
      </c>
      <c r="P128" s="120">
        <v>46242</v>
      </c>
      <c r="Q128" s="119">
        <v>1</v>
      </c>
      <c r="R128" s="121">
        <v>31466666.666666672</v>
      </c>
      <c r="S128" s="119">
        <v>0</v>
      </c>
      <c r="T128" s="121">
        <v>0</v>
      </c>
      <c r="U128" s="119">
        <v>1</v>
      </c>
      <c r="V128" s="121">
        <f t="shared" si="12"/>
        <v>31466666.666666664</v>
      </c>
      <c r="W128" s="119">
        <f t="shared" si="13"/>
        <v>0</v>
      </c>
      <c r="X128" s="121">
        <f t="shared" si="14"/>
        <v>0</v>
      </c>
      <c r="Y128" s="122" t="s">
        <v>2416</v>
      </c>
      <c r="Z128" s="123" t="s">
        <v>2407</v>
      </c>
      <c r="AA128" s="123" t="s">
        <v>2406</v>
      </c>
      <c r="AB128" s="123" t="s">
        <v>2372</v>
      </c>
      <c r="AC128" s="124" t="s">
        <v>12</v>
      </c>
      <c r="AD128" s="110">
        <f>COUNTIF('KK1. Movies'!AI:AI,'TK 15661.Bản quyền phim '!F128)</f>
        <v>1</v>
      </c>
      <c r="AE128" s="110">
        <f>COUNTIF('KK2. Series'!AM:AM,'TK 15661.Bản quyền phim '!F128)</f>
        <v>0</v>
      </c>
      <c r="AF128" s="110">
        <f>COUNTIF('KK3. Kids'!AF:AF,'TK 15661.Bản quyền phim '!F128)</f>
        <v>0</v>
      </c>
      <c r="AG128" s="110"/>
      <c r="AH128" s="110" t="str">
        <f t="shared" si="15"/>
        <v>OK</v>
      </c>
    </row>
    <row r="129" spans="1:34" ht="15.6" hidden="1" x14ac:dyDescent="0.3">
      <c r="A129" s="43"/>
      <c r="B129" s="108" t="s">
        <v>2941</v>
      </c>
      <c r="C129" s="94" t="s">
        <v>2412</v>
      </c>
      <c r="D129" s="94" t="s">
        <v>2938</v>
      </c>
      <c r="E129" s="94" t="s">
        <v>2937</v>
      </c>
      <c r="F129" s="94" t="s">
        <v>2139</v>
      </c>
      <c r="G129" s="94" t="s">
        <v>2417</v>
      </c>
      <c r="H129" s="119">
        <v>1</v>
      </c>
      <c r="I129" s="119">
        <v>3</v>
      </c>
      <c r="J129" s="119">
        <f t="shared" si="9"/>
        <v>3</v>
      </c>
      <c r="K129" s="119">
        <v>87320000</v>
      </c>
      <c r="L129" s="119">
        <v>29106666.666666664</v>
      </c>
      <c r="M129" s="119">
        <f t="shared" si="10"/>
        <v>2</v>
      </c>
      <c r="N129" s="119">
        <f t="shared" si="11"/>
        <v>58213333.333333328</v>
      </c>
      <c r="O129" s="120">
        <v>45147</v>
      </c>
      <c r="P129" s="120">
        <v>46242</v>
      </c>
      <c r="Q129" s="119">
        <v>1</v>
      </c>
      <c r="R129" s="121">
        <v>29106666.666666672</v>
      </c>
      <c r="S129" s="119">
        <v>0</v>
      </c>
      <c r="T129" s="121">
        <v>0</v>
      </c>
      <c r="U129" s="119">
        <v>1</v>
      </c>
      <c r="V129" s="121">
        <f t="shared" si="12"/>
        <v>29106666.666666664</v>
      </c>
      <c r="W129" s="119">
        <f t="shared" si="13"/>
        <v>0</v>
      </c>
      <c r="X129" s="121">
        <f t="shared" si="14"/>
        <v>0</v>
      </c>
      <c r="Y129" s="122" t="s">
        <v>2416</v>
      </c>
      <c r="Z129" s="123" t="s">
        <v>2407</v>
      </c>
      <c r="AA129" s="123" t="s">
        <v>2406</v>
      </c>
      <c r="AB129" s="123" t="s">
        <v>2372</v>
      </c>
      <c r="AC129" s="124" t="s">
        <v>12</v>
      </c>
      <c r="AD129" s="110">
        <f>COUNTIF('KK1. Movies'!AI:AI,'TK 15661.Bản quyền phim '!F129)</f>
        <v>1</v>
      </c>
      <c r="AE129" s="110">
        <f>COUNTIF('KK2. Series'!AM:AM,'TK 15661.Bản quyền phim '!F129)</f>
        <v>0</v>
      </c>
      <c r="AF129" s="110">
        <f>COUNTIF('KK3. Kids'!AF:AF,'TK 15661.Bản quyền phim '!F129)</f>
        <v>0</v>
      </c>
      <c r="AG129" s="110"/>
      <c r="AH129" s="110" t="str">
        <f t="shared" si="15"/>
        <v>OK</v>
      </c>
    </row>
    <row r="130" spans="1:34" ht="15.6" hidden="1" x14ac:dyDescent="0.3">
      <c r="A130" s="43"/>
      <c r="B130" s="108" t="s">
        <v>2940</v>
      </c>
      <c r="C130" s="94" t="s">
        <v>2412</v>
      </c>
      <c r="D130" s="94" t="s">
        <v>2938</v>
      </c>
      <c r="E130" s="94" t="s">
        <v>2937</v>
      </c>
      <c r="F130" s="94" t="s">
        <v>2203</v>
      </c>
      <c r="G130" s="94" t="s">
        <v>2417</v>
      </c>
      <c r="H130" s="119">
        <v>1</v>
      </c>
      <c r="I130" s="119">
        <v>3</v>
      </c>
      <c r="J130" s="119">
        <f t="shared" si="9"/>
        <v>3</v>
      </c>
      <c r="K130" s="119">
        <v>75520000</v>
      </c>
      <c r="L130" s="119">
        <v>25173333.333333336</v>
      </c>
      <c r="M130" s="119">
        <f t="shared" si="10"/>
        <v>2</v>
      </c>
      <c r="N130" s="119">
        <f t="shared" si="11"/>
        <v>50346666.666666672</v>
      </c>
      <c r="O130" s="120">
        <v>45147</v>
      </c>
      <c r="P130" s="120">
        <v>46242</v>
      </c>
      <c r="Q130" s="119">
        <v>1</v>
      </c>
      <c r="R130" s="121">
        <v>25173333.333333328</v>
      </c>
      <c r="S130" s="119">
        <v>0</v>
      </c>
      <c r="T130" s="121">
        <v>0</v>
      </c>
      <c r="U130" s="119">
        <v>1</v>
      </c>
      <c r="V130" s="121">
        <f t="shared" si="12"/>
        <v>25173333.333333336</v>
      </c>
      <c r="W130" s="119">
        <f t="shared" si="13"/>
        <v>0</v>
      </c>
      <c r="X130" s="121">
        <f t="shared" si="14"/>
        <v>0</v>
      </c>
      <c r="Y130" s="122" t="s">
        <v>2416</v>
      </c>
      <c r="Z130" s="123" t="s">
        <v>2407</v>
      </c>
      <c r="AA130" s="123" t="s">
        <v>2406</v>
      </c>
      <c r="AB130" s="123" t="s">
        <v>2372</v>
      </c>
      <c r="AC130" s="124" t="s">
        <v>12</v>
      </c>
      <c r="AD130" s="110">
        <f>COUNTIF('KK1. Movies'!AI:AI,'TK 15661.Bản quyền phim '!F130)</f>
        <v>1</v>
      </c>
      <c r="AE130" s="110">
        <f>COUNTIF('KK2. Series'!AM:AM,'TK 15661.Bản quyền phim '!F130)</f>
        <v>0</v>
      </c>
      <c r="AF130" s="110">
        <f>COUNTIF('KK3. Kids'!AF:AF,'TK 15661.Bản quyền phim '!F130)</f>
        <v>0</v>
      </c>
      <c r="AG130" s="110"/>
      <c r="AH130" s="110" t="str">
        <f t="shared" si="15"/>
        <v>OK</v>
      </c>
    </row>
    <row r="131" spans="1:34" ht="15.6" hidden="1" x14ac:dyDescent="0.3">
      <c r="A131" s="43"/>
      <c r="B131" s="108" t="s">
        <v>2939</v>
      </c>
      <c r="C131" s="94" t="s">
        <v>2412</v>
      </c>
      <c r="D131" s="94" t="s">
        <v>2938</v>
      </c>
      <c r="E131" s="94" t="s">
        <v>2937</v>
      </c>
      <c r="F131" s="94" t="s">
        <v>1579</v>
      </c>
      <c r="G131" s="94" t="s">
        <v>2417</v>
      </c>
      <c r="H131" s="119">
        <v>1</v>
      </c>
      <c r="I131" s="119">
        <v>3</v>
      </c>
      <c r="J131" s="119">
        <f t="shared" si="9"/>
        <v>3</v>
      </c>
      <c r="K131" s="119">
        <v>75520000</v>
      </c>
      <c r="L131" s="119">
        <v>25173333.333333336</v>
      </c>
      <c r="M131" s="119">
        <f t="shared" si="10"/>
        <v>2</v>
      </c>
      <c r="N131" s="119">
        <f t="shared" si="11"/>
        <v>50346666.666666672</v>
      </c>
      <c r="O131" s="120">
        <v>45147</v>
      </c>
      <c r="P131" s="120">
        <v>46242</v>
      </c>
      <c r="Q131" s="119">
        <v>1</v>
      </c>
      <c r="R131" s="121">
        <v>25173333.333333328</v>
      </c>
      <c r="S131" s="119">
        <v>0</v>
      </c>
      <c r="T131" s="121">
        <v>0</v>
      </c>
      <c r="U131" s="119">
        <v>1</v>
      </c>
      <c r="V131" s="121">
        <f t="shared" si="12"/>
        <v>25173333.333333336</v>
      </c>
      <c r="W131" s="119">
        <f t="shared" si="13"/>
        <v>0</v>
      </c>
      <c r="X131" s="121">
        <f t="shared" si="14"/>
        <v>0</v>
      </c>
      <c r="Y131" s="122" t="s">
        <v>2416</v>
      </c>
      <c r="Z131" s="123" t="s">
        <v>2407</v>
      </c>
      <c r="AA131" s="123" t="s">
        <v>2406</v>
      </c>
      <c r="AB131" s="123" t="s">
        <v>2372</v>
      </c>
      <c r="AC131" s="124" t="s">
        <v>12</v>
      </c>
      <c r="AD131" s="110">
        <f>COUNTIF('KK1. Movies'!AI:AI,'TK 15661.Bản quyền phim '!F131)</f>
        <v>1</v>
      </c>
      <c r="AE131" s="110">
        <f>COUNTIF('KK2. Series'!AM:AM,'TK 15661.Bản quyền phim '!F131)</f>
        <v>0</v>
      </c>
      <c r="AF131" s="110">
        <f>COUNTIF('KK3. Kids'!AF:AF,'TK 15661.Bản quyền phim '!F131)</f>
        <v>0</v>
      </c>
      <c r="AG131" s="110"/>
      <c r="AH131" s="110" t="str">
        <f t="shared" si="15"/>
        <v>OK</v>
      </c>
    </row>
    <row r="132" spans="1:34" ht="15.6" hidden="1" x14ac:dyDescent="0.3">
      <c r="A132" s="47">
        <f>(U132-H132)*L132</f>
        <v>0</v>
      </c>
      <c r="B132" s="108" t="s">
        <v>2936</v>
      </c>
      <c r="C132" s="94" t="s">
        <v>2493</v>
      </c>
      <c r="D132" s="94" t="s">
        <v>2935</v>
      </c>
      <c r="E132" s="94" t="s">
        <v>2934</v>
      </c>
      <c r="F132" s="94" t="s">
        <v>968</v>
      </c>
      <c r="G132" s="94" t="s">
        <v>2428</v>
      </c>
      <c r="H132" s="119">
        <v>36</v>
      </c>
      <c r="I132" s="119">
        <v>3</v>
      </c>
      <c r="J132" s="119">
        <f t="shared" si="9"/>
        <v>108</v>
      </c>
      <c r="K132" s="119">
        <v>1411428571</v>
      </c>
      <c r="L132" s="119">
        <v>13068783.064814815</v>
      </c>
      <c r="M132" s="119">
        <f t="shared" si="10"/>
        <v>72</v>
      </c>
      <c r="N132" s="119">
        <f t="shared" si="11"/>
        <v>940952380.66666675</v>
      </c>
      <c r="O132" s="120">
        <v>45015</v>
      </c>
      <c r="P132" s="120">
        <v>46110</v>
      </c>
      <c r="Q132" s="119">
        <v>36</v>
      </c>
      <c r="R132" s="121">
        <v>470476190.33333325</v>
      </c>
      <c r="S132" s="119">
        <v>0</v>
      </c>
      <c r="T132" s="121">
        <v>0</v>
      </c>
      <c r="U132" s="119">
        <v>36</v>
      </c>
      <c r="V132" s="121">
        <f t="shared" si="12"/>
        <v>470476190.33333337</v>
      </c>
      <c r="W132" s="119">
        <f t="shared" si="13"/>
        <v>0</v>
      </c>
      <c r="X132" s="121">
        <f t="shared" si="14"/>
        <v>0</v>
      </c>
      <c r="Y132" s="122" t="s">
        <v>2427</v>
      </c>
      <c r="Z132" s="123" t="s">
        <v>2407</v>
      </c>
      <c r="AA132" s="123" t="s">
        <v>2406</v>
      </c>
      <c r="AB132" s="123" t="s">
        <v>2372</v>
      </c>
      <c r="AC132" s="124" t="s">
        <v>10</v>
      </c>
      <c r="AD132" s="110">
        <f>COUNTIF('KK1. Movies'!AI:AI,'TK 15661.Bản quyền phim '!F132)</f>
        <v>0</v>
      </c>
      <c r="AE132" s="110">
        <f>COUNTIF('KK2. Series'!AM:AM,'TK 15661.Bản quyền phim '!F132)</f>
        <v>1</v>
      </c>
      <c r="AF132" s="110">
        <f>COUNTIF('KK3. Kids'!AF:AF,'TK 15661.Bản quyền phim '!F132)</f>
        <v>0</v>
      </c>
      <c r="AG132" s="110"/>
      <c r="AH132" s="110" t="str">
        <f t="shared" si="15"/>
        <v>OK</v>
      </c>
    </row>
    <row r="133" spans="1:34" hidden="1" x14ac:dyDescent="0.2">
      <c r="A133" s="49"/>
      <c r="B133" s="108" t="s">
        <v>2933</v>
      </c>
      <c r="C133" s="94" t="s">
        <v>2412</v>
      </c>
      <c r="D133" s="94" t="s">
        <v>2931</v>
      </c>
      <c r="E133" s="94" t="s">
        <v>2930</v>
      </c>
      <c r="F133" s="94" t="s">
        <v>240</v>
      </c>
      <c r="G133" s="94" t="s">
        <v>2409</v>
      </c>
      <c r="H133" s="119">
        <v>52</v>
      </c>
      <c r="I133" s="119">
        <v>3</v>
      </c>
      <c r="J133" s="119">
        <f t="shared" si="9"/>
        <v>156</v>
      </c>
      <c r="K133" s="119">
        <v>143724000</v>
      </c>
      <c r="L133" s="119">
        <v>921307.69230769237</v>
      </c>
      <c r="M133" s="119">
        <f t="shared" si="10"/>
        <v>104</v>
      </c>
      <c r="N133" s="119">
        <f t="shared" si="11"/>
        <v>95816000</v>
      </c>
      <c r="O133" s="120">
        <v>45065</v>
      </c>
      <c r="P133" s="120">
        <v>46160</v>
      </c>
      <c r="Q133" s="119">
        <v>52</v>
      </c>
      <c r="R133" s="121">
        <v>47908000</v>
      </c>
      <c r="S133" s="119">
        <v>0</v>
      </c>
      <c r="T133" s="121">
        <v>0</v>
      </c>
      <c r="U133" s="119">
        <v>52</v>
      </c>
      <c r="V133" s="121">
        <f t="shared" si="12"/>
        <v>47908000</v>
      </c>
      <c r="W133" s="119">
        <f t="shared" si="13"/>
        <v>0</v>
      </c>
      <c r="X133" s="121">
        <f t="shared" si="14"/>
        <v>0</v>
      </c>
      <c r="Y133" s="122" t="s">
        <v>2408</v>
      </c>
      <c r="Z133" s="123" t="s">
        <v>2407</v>
      </c>
      <c r="AA133" s="123" t="s">
        <v>2406</v>
      </c>
      <c r="AB133" s="123" t="s">
        <v>2372</v>
      </c>
      <c r="AC133" s="123" t="s">
        <v>8</v>
      </c>
      <c r="AD133" s="110">
        <f>COUNTIF('KK1. Movies'!AI:AI,'TK 15661.Bản quyền phim '!F133)</f>
        <v>0</v>
      </c>
      <c r="AE133" s="110">
        <f>COUNTIF('KK2. Series'!AM:AM,'TK 15661.Bản quyền phim '!F133)</f>
        <v>0</v>
      </c>
      <c r="AF133" s="110">
        <f>COUNTIF('KK3. Kids'!AF:AF,'TK 15661.Bản quyền phim '!F133)</f>
        <v>1</v>
      </c>
      <c r="AG133" s="110"/>
      <c r="AH133" s="110" t="str">
        <f t="shared" si="15"/>
        <v>OK</v>
      </c>
    </row>
    <row r="134" spans="1:34" hidden="1" x14ac:dyDescent="0.2">
      <c r="A134" s="49"/>
      <c r="B134" s="108" t="s">
        <v>2932</v>
      </c>
      <c r="C134" s="94" t="s">
        <v>2412</v>
      </c>
      <c r="D134" s="94" t="s">
        <v>2931</v>
      </c>
      <c r="E134" s="94" t="s">
        <v>2930</v>
      </c>
      <c r="F134" s="94" t="s">
        <v>247</v>
      </c>
      <c r="G134" s="94" t="s">
        <v>2409</v>
      </c>
      <c r="H134" s="119">
        <v>26</v>
      </c>
      <c r="I134" s="119">
        <v>3</v>
      </c>
      <c r="J134" s="119">
        <f t="shared" ref="J134:J197" si="16">H134*I134</f>
        <v>78</v>
      </c>
      <c r="K134" s="119">
        <v>71036000</v>
      </c>
      <c r="L134" s="119">
        <v>910717.94871794875</v>
      </c>
      <c r="M134" s="119">
        <f t="shared" ref="M134:M197" si="17">J134-Q134</f>
        <v>52</v>
      </c>
      <c r="N134" s="119">
        <f t="shared" ref="N134:N197" si="18">K134-R134</f>
        <v>47357333.333333343</v>
      </c>
      <c r="O134" s="120">
        <v>45189</v>
      </c>
      <c r="P134" s="120">
        <v>46284</v>
      </c>
      <c r="Q134" s="119">
        <v>26</v>
      </c>
      <c r="R134" s="121">
        <v>23678666.66666666</v>
      </c>
      <c r="S134" s="119">
        <v>0</v>
      </c>
      <c r="T134" s="121">
        <v>0</v>
      </c>
      <c r="U134" s="119">
        <v>26</v>
      </c>
      <c r="V134" s="121">
        <f t="shared" ref="V134:V197" si="19">U134*L134</f>
        <v>23678666.666666668</v>
      </c>
      <c r="W134" s="119">
        <f t="shared" ref="W134:W197" si="20">Q134+S134-U134</f>
        <v>0</v>
      </c>
      <c r="X134" s="121">
        <f t="shared" ref="X134:X197" si="21">R134+T134-V134</f>
        <v>0</v>
      </c>
      <c r="Y134" s="122" t="s">
        <v>2408</v>
      </c>
      <c r="Z134" s="123" t="s">
        <v>2407</v>
      </c>
      <c r="AA134" s="123" t="s">
        <v>2406</v>
      </c>
      <c r="AB134" s="123" t="s">
        <v>2372</v>
      </c>
      <c r="AC134" s="123" t="s">
        <v>8</v>
      </c>
      <c r="AD134" s="110">
        <f>COUNTIF('KK1. Movies'!AI:AI,'TK 15661.Bản quyền phim '!F134)</f>
        <v>0</v>
      </c>
      <c r="AE134" s="110">
        <f>COUNTIF('KK2. Series'!AM:AM,'TK 15661.Bản quyền phim '!F134)</f>
        <v>0</v>
      </c>
      <c r="AF134" s="110">
        <f>COUNTIF('KK3. Kids'!AF:AF,'TK 15661.Bản quyền phim '!F134)</f>
        <v>1</v>
      </c>
      <c r="AG134" s="110"/>
      <c r="AH134" s="110" t="str">
        <f t="shared" si="15"/>
        <v>OK</v>
      </c>
    </row>
    <row r="135" spans="1:34" ht="15.6" hidden="1" x14ac:dyDescent="0.3">
      <c r="B135" s="108" t="s">
        <v>2929</v>
      </c>
      <c r="C135" s="94" t="s">
        <v>2493</v>
      </c>
      <c r="D135" s="94" t="s">
        <v>2928</v>
      </c>
      <c r="E135" s="94" t="s">
        <v>2927</v>
      </c>
      <c r="F135" s="94" t="s">
        <v>1052</v>
      </c>
      <c r="G135" s="94" t="s">
        <v>2428</v>
      </c>
      <c r="H135" s="119">
        <v>26</v>
      </c>
      <c r="I135" s="119">
        <v>3</v>
      </c>
      <c r="J135" s="119">
        <f t="shared" si="16"/>
        <v>78</v>
      </c>
      <c r="K135" s="119">
        <v>1354169143</v>
      </c>
      <c r="L135" s="119">
        <v>17361142.85897436</v>
      </c>
      <c r="M135" s="119">
        <f t="shared" si="17"/>
        <v>52</v>
      </c>
      <c r="N135" s="119">
        <f t="shared" si="18"/>
        <v>902779428.66666675</v>
      </c>
      <c r="O135" s="120">
        <v>45019</v>
      </c>
      <c r="P135" s="120">
        <v>46114</v>
      </c>
      <c r="Q135" s="119">
        <v>26</v>
      </c>
      <c r="R135" s="121">
        <v>451389714.33333325</v>
      </c>
      <c r="S135" s="119">
        <v>0</v>
      </c>
      <c r="T135" s="121">
        <v>0</v>
      </c>
      <c r="U135" s="119">
        <v>26</v>
      </c>
      <c r="V135" s="121">
        <f t="shared" si="19"/>
        <v>451389714.33333337</v>
      </c>
      <c r="W135" s="119">
        <f t="shared" si="20"/>
        <v>0</v>
      </c>
      <c r="X135" s="121">
        <f t="shared" si="21"/>
        <v>0</v>
      </c>
      <c r="Y135" s="122" t="s">
        <v>2427</v>
      </c>
      <c r="Z135" s="123" t="s">
        <v>2407</v>
      </c>
      <c r="AA135" s="123" t="s">
        <v>2406</v>
      </c>
      <c r="AB135" s="123" t="s">
        <v>2372</v>
      </c>
      <c r="AC135" s="124" t="s">
        <v>10</v>
      </c>
      <c r="AD135" s="110">
        <f>COUNTIF('KK1. Movies'!AI:AI,'TK 15661.Bản quyền phim '!F135)</f>
        <v>0</v>
      </c>
      <c r="AE135" s="110">
        <f>COUNTIF('KK2. Series'!AM:AM,'TK 15661.Bản quyền phim '!F135)</f>
        <v>1</v>
      </c>
      <c r="AF135" s="110">
        <f>COUNTIF('KK3. Kids'!AF:AF,'TK 15661.Bản quyền phim '!F135)</f>
        <v>0</v>
      </c>
      <c r="AG135" s="110"/>
      <c r="AH135" s="110" t="str">
        <f t="shared" ref="AH135:AH198" si="22">IF(SUM(AD135:AG135)&gt;0,"OK",0)</f>
        <v>OK</v>
      </c>
    </row>
    <row r="136" spans="1:34" hidden="1" x14ac:dyDescent="0.2">
      <c r="A136" s="49"/>
      <c r="B136" s="108" t="s">
        <v>2926</v>
      </c>
      <c r="C136" s="94" t="s">
        <v>2412</v>
      </c>
      <c r="D136" s="94" t="s">
        <v>2917</v>
      </c>
      <c r="E136" s="94" t="s">
        <v>2916</v>
      </c>
      <c r="F136" s="94" t="s">
        <v>2925</v>
      </c>
      <c r="G136" s="94" t="s">
        <v>2409</v>
      </c>
      <c r="H136" s="119">
        <v>60</v>
      </c>
      <c r="I136" s="119">
        <v>3</v>
      </c>
      <c r="J136" s="119">
        <f t="shared" si="16"/>
        <v>180</v>
      </c>
      <c r="K136" s="119">
        <v>156468000</v>
      </c>
      <c r="L136" s="119">
        <v>869266.66666666674</v>
      </c>
      <c r="M136" s="119">
        <f t="shared" si="17"/>
        <v>120</v>
      </c>
      <c r="N136" s="119">
        <f t="shared" si="18"/>
        <v>104312000</v>
      </c>
      <c r="O136" s="120">
        <v>44998</v>
      </c>
      <c r="P136" s="120">
        <v>46093</v>
      </c>
      <c r="Q136" s="119">
        <v>60</v>
      </c>
      <c r="R136" s="121">
        <v>52155999.999999993</v>
      </c>
      <c r="S136" s="119">
        <v>0</v>
      </c>
      <c r="T136" s="121">
        <v>0</v>
      </c>
      <c r="U136" s="119">
        <v>60</v>
      </c>
      <c r="V136" s="121">
        <f t="shared" si="19"/>
        <v>52156000.000000007</v>
      </c>
      <c r="W136" s="119">
        <f t="shared" si="20"/>
        <v>0</v>
      </c>
      <c r="X136" s="121">
        <f t="shared" si="21"/>
        <v>0</v>
      </c>
      <c r="Y136" s="122" t="s">
        <v>2408</v>
      </c>
      <c r="Z136" s="123" t="s">
        <v>2407</v>
      </c>
      <c r="AA136" s="123" t="s">
        <v>2406</v>
      </c>
      <c r="AB136" s="123" t="s">
        <v>2372</v>
      </c>
      <c r="AC136" s="123" t="s">
        <v>8</v>
      </c>
      <c r="AD136" s="110">
        <f>COUNTIF('KK1. Movies'!AI:AI,'TK 15661.Bản quyền phim '!F136)</f>
        <v>0</v>
      </c>
      <c r="AE136" s="110">
        <f>COUNTIF('KK2. Series'!AM:AM,'TK 15661.Bản quyền phim '!F136)</f>
        <v>0</v>
      </c>
      <c r="AF136" s="110">
        <f>COUNTIF('KK3. Kids'!AF:AF,'TK 15661.Bản quyền phim '!F136)</f>
        <v>1</v>
      </c>
      <c r="AG136" s="110"/>
      <c r="AH136" s="110" t="str">
        <f t="shared" si="22"/>
        <v>OK</v>
      </c>
    </row>
    <row r="137" spans="1:34" hidden="1" x14ac:dyDescent="0.2">
      <c r="A137" s="49"/>
      <c r="B137" s="108" t="s">
        <v>2924</v>
      </c>
      <c r="C137" s="94" t="s">
        <v>2412</v>
      </c>
      <c r="D137" s="94" t="s">
        <v>2917</v>
      </c>
      <c r="E137" s="94" t="s">
        <v>2916</v>
      </c>
      <c r="F137" s="94" t="s">
        <v>2923</v>
      </c>
      <c r="G137" s="94" t="s">
        <v>2409</v>
      </c>
      <c r="H137" s="119">
        <v>60</v>
      </c>
      <c r="I137" s="119">
        <v>3</v>
      </c>
      <c r="J137" s="119">
        <f t="shared" si="16"/>
        <v>180</v>
      </c>
      <c r="K137" s="119">
        <v>156468000</v>
      </c>
      <c r="L137" s="119">
        <v>869266.66666666674</v>
      </c>
      <c r="M137" s="119">
        <f t="shared" si="17"/>
        <v>120</v>
      </c>
      <c r="N137" s="119">
        <f t="shared" si="18"/>
        <v>104312000</v>
      </c>
      <c r="O137" s="120">
        <v>45026</v>
      </c>
      <c r="P137" s="120">
        <v>46121</v>
      </c>
      <c r="Q137" s="119">
        <v>60</v>
      </c>
      <c r="R137" s="121">
        <v>52155999.999999993</v>
      </c>
      <c r="S137" s="119">
        <v>0</v>
      </c>
      <c r="T137" s="121">
        <v>0</v>
      </c>
      <c r="U137" s="119">
        <v>60</v>
      </c>
      <c r="V137" s="121">
        <f t="shared" si="19"/>
        <v>52156000.000000007</v>
      </c>
      <c r="W137" s="119">
        <f t="shared" si="20"/>
        <v>0</v>
      </c>
      <c r="X137" s="121">
        <f t="shared" si="21"/>
        <v>0</v>
      </c>
      <c r="Y137" s="122" t="s">
        <v>2408</v>
      </c>
      <c r="Z137" s="123" t="s">
        <v>2407</v>
      </c>
      <c r="AA137" s="123" t="s">
        <v>2406</v>
      </c>
      <c r="AB137" s="123" t="s">
        <v>2372</v>
      </c>
      <c r="AC137" s="123" t="s">
        <v>8</v>
      </c>
      <c r="AD137" s="110">
        <f>COUNTIF('KK1. Movies'!AI:AI,'TK 15661.Bản quyền phim '!F137)</f>
        <v>0</v>
      </c>
      <c r="AE137" s="110">
        <f>COUNTIF('KK2. Series'!AM:AM,'TK 15661.Bản quyền phim '!F137)</f>
        <v>0</v>
      </c>
      <c r="AF137" s="110">
        <f>COUNTIF('KK3. Kids'!AF:AF,'TK 15661.Bản quyền phim '!F137)</f>
        <v>1</v>
      </c>
      <c r="AG137" s="110"/>
      <c r="AH137" s="110" t="str">
        <f t="shared" si="22"/>
        <v>OK</v>
      </c>
    </row>
    <row r="138" spans="1:34" hidden="1" x14ac:dyDescent="0.2">
      <c r="A138" s="49"/>
      <c r="B138" s="108" t="s">
        <v>2922</v>
      </c>
      <c r="C138" s="94" t="s">
        <v>2412</v>
      </c>
      <c r="D138" s="94" t="s">
        <v>2917</v>
      </c>
      <c r="E138" s="94" t="s">
        <v>2916</v>
      </c>
      <c r="F138" s="94" t="s">
        <v>2921</v>
      </c>
      <c r="G138" s="94" t="s">
        <v>2409</v>
      </c>
      <c r="H138" s="119">
        <v>60</v>
      </c>
      <c r="I138" s="119">
        <v>3</v>
      </c>
      <c r="J138" s="119">
        <f t="shared" si="16"/>
        <v>180</v>
      </c>
      <c r="K138" s="119">
        <v>156468000</v>
      </c>
      <c r="L138" s="119">
        <v>869266.66666666674</v>
      </c>
      <c r="M138" s="119">
        <f t="shared" si="17"/>
        <v>120</v>
      </c>
      <c r="N138" s="119">
        <f t="shared" si="18"/>
        <v>104312000</v>
      </c>
      <c r="O138" s="120">
        <v>45054</v>
      </c>
      <c r="P138" s="120">
        <v>46149</v>
      </c>
      <c r="Q138" s="119">
        <v>60</v>
      </c>
      <c r="R138" s="121">
        <v>52155999.999999993</v>
      </c>
      <c r="S138" s="119">
        <v>0</v>
      </c>
      <c r="T138" s="121">
        <v>0</v>
      </c>
      <c r="U138" s="119">
        <v>60</v>
      </c>
      <c r="V138" s="121">
        <f t="shared" si="19"/>
        <v>52156000.000000007</v>
      </c>
      <c r="W138" s="119">
        <f t="shared" si="20"/>
        <v>0</v>
      </c>
      <c r="X138" s="121">
        <f t="shared" si="21"/>
        <v>0</v>
      </c>
      <c r="Y138" s="122" t="s">
        <v>2408</v>
      </c>
      <c r="Z138" s="123" t="s">
        <v>2407</v>
      </c>
      <c r="AA138" s="123" t="s">
        <v>2406</v>
      </c>
      <c r="AB138" s="123" t="s">
        <v>2372</v>
      </c>
      <c r="AC138" s="123" t="s">
        <v>8</v>
      </c>
      <c r="AD138" s="110">
        <f>COUNTIF('KK1. Movies'!AI:AI,'TK 15661.Bản quyền phim '!F138)</f>
        <v>0</v>
      </c>
      <c r="AE138" s="110">
        <f>COUNTIF('KK2. Series'!AM:AM,'TK 15661.Bản quyền phim '!F138)</f>
        <v>0</v>
      </c>
      <c r="AF138" s="110">
        <f>COUNTIF('KK3. Kids'!AF:AF,'TK 15661.Bản quyền phim '!F138)</f>
        <v>1</v>
      </c>
      <c r="AG138" s="110"/>
      <c r="AH138" s="110" t="str">
        <f t="shared" si="22"/>
        <v>OK</v>
      </c>
    </row>
    <row r="139" spans="1:34" hidden="1" x14ac:dyDescent="0.2">
      <c r="A139" s="47">
        <f>(U139-H139)*L139</f>
        <v>0</v>
      </c>
      <c r="B139" s="108" t="s">
        <v>2920</v>
      </c>
      <c r="C139" s="94" t="s">
        <v>2412</v>
      </c>
      <c r="D139" s="94" t="s">
        <v>2917</v>
      </c>
      <c r="E139" s="94" t="s">
        <v>2916</v>
      </c>
      <c r="F139" s="94" t="s">
        <v>278</v>
      </c>
      <c r="G139" s="94" t="s">
        <v>2409</v>
      </c>
      <c r="H139" s="119">
        <v>1</v>
      </c>
      <c r="I139" s="119">
        <v>3</v>
      </c>
      <c r="J139" s="119">
        <f t="shared" si="16"/>
        <v>3</v>
      </c>
      <c r="K139" s="119">
        <v>2596000</v>
      </c>
      <c r="L139" s="119">
        <v>865333.33333333326</v>
      </c>
      <c r="M139" s="119">
        <f t="shared" si="17"/>
        <v>2</v>
      </c>
      <c r="N139" s="119">
        <f t="shared" si="18"/>
        <v>1730666.6666666665</v>
      </c>
      <c r="O139" s="120">
        <v>45024</v>
      </c>
      <c r="P139" s="120">
        <v>46119</v>
      </c>
      <c r="Q139" s="119">
        <v>1</v>
      </c>
      <c r="R139" s="121">
        <v>865333.33333333349</v>
      </c>
      <c r="S139" s="119">
        <v>0</v>
      </c>
      <c r="T139" s="121">
        <v>0</v>
      </c>
      <c r="U139" s="119">
        <v>1</v>
      </c>
      <c r="V139" s="121">
        <f t="shared" si="19"/>
        <v>865333.33333333326</v>
      </c>
      <c r="W139" s="119">
        <f t="shared" si="20"/>
        <v>0</v>
      </c>
      <c r="X139" s="121">
        <f t="shared" si="21"/>
        <v>0</v>
      </c>
      <c r="Y139" s="122" t="s">
        <v>2408</v>
      </c>
      <c r="Z139" s="123" t="s">
        <v>2407</v>
      </c>
      <c r="AA139" s="123" t="s">
        <v>2406</v>
      </c>
      <c r="AB139" s="123" t="s">
        <v>2372</v>
      </c>
      <c r="AC139" s="123" t="s">
        <v>8</v>
      </c>
      <c r="AD139" s="110">
        <f>COUNTIF('KK1. Movies'!AI:AI,'TK 15661.Bản quyền phim '!F139)</f>
        <v>0</v>
      </c>
      <c r="AE139" s="110">
        <f>COUNTIF('KK2. Series'!AM:AM,'TK 15661.Bản quyền phim '!F139)</f>
        <v>0</v>
      </c>
      <c r="AF139" s="110">
        <f>COUNTIF('KK3. Kids'!AF:AF,'TK 15661.Bản quyền phim '!F139)</f>
        <v>1</v>
      </c>
      <c r="AG139" s="110"/>
      <c r="AH139" s="110" t="str">
        <f t="shared" si="22"/>
        <v>OK</v>
      </c>
    </row>
    <row r="140" spans="1:34" hidden="1" x14ac:dyDescent="0.2">
      <c r="A140" s="47">
        <f>(U140-H140)*L140</f>
        <v>0</v>
      </c>
      <c r="B140" s="108" t="s">
        <v>2919</v>
      </c>
      <c r="C140" s="94" t="s">
        <v>2412</v>
      </c>
      <c r="D140" s="94" t="s">
        <v>2917</v>
      </c>
      <c r="E140" s="94" t="s">
        <v>2916</v>
      </c>
      <c r="F140" s="94" t="s">
        <v>269</v>
      </c>
      <c r="G140" s="94" t="s">
        <v>2409</v>
      </c>
      <c r="H140" s="119">
        <v>1</v>
      </c>
      <c r="I140" s="119">
        <v>3</v>
      </c>
      <c r="J140" s="119">
        <f t="shared" si="16"/>
        <v>3</v>
      </c>
      <c r="K140" s="119">
        <v>2596000</v>
      </c>
      <c r="L140" s="119">
        <v>865333.33333333326</v>
      </c>
      <c r="M140" s="119">
        <f t="shared" si="17"/>
        <v>1</v>
      </c>
      <c r="N140" s="119">
        <f t="shared" si="18"/>
        <v>865333.33333333</v>
      </c>
      <c r="O140" s="120">
        <v>45025</v>
      </c>
      <c r="P140" s="120">
        <v>46121</v>
      </c>
      <c r="Q140" s="119">
        <v>2</v>
      </c>
      <c r="R140" s="121">
        <v>1730666.66666667</v>
      </c>
      <c r="S140" s="119">
        <v>0</v>
      </c>
      <c r="T140" s="121">
        <v>0</v>
      </c>
      <c r="U140" s="119">
        <v>1</v>
      </c>
      <c r="V140" s="121">
        <f t="shared" si="19"/>
        <v>865333.33333333326</v>
      </c>
      <c r="W140" s="119">
        <f t="shared" si="20"/>
        <v>1</v>
      </c>
      <c r="X140" s="121">
        <f t="shared" si="21"/>
        <v>865333.33333333675</v>
      </c>
      <c r="Y140" s="122" t="s">
        <v>2408</v>
      </c>
      <c r="Z140" s="123" t="s">
        <v>2407</v>
      </c>
      <c r="AA140" s="123" t="s">
        <v>2406</v>
      </c>
      <c r="AB140" s="123" t="s">
        <v>2372</v>
      </c>
      <c r="AC140" s="123" t="s">
        <v>8</v>
      </c>
      <c r="AD140" s="110">
        <f>COUNTIF('KK1. Movies'!AI:AI,'TK 15661.Bản quyền phim '!F140)</f>
        <v>0</v>
      </c>
      <c r="AE140" s="110">
        <f>COUNTIF('KK2. Series'!AM:AM,'TK 15661.Bản quyền phim '!F140)</f>
        <v>0</v>
      </c>
      <c r="AF140" s="110">
        <f>COUNTIF('KK3. Kids'!AF:AF,'TK 15661.Bản quyền phim '!F140)</f>
        <v>1</v>
      </c>
      <c r="AG140" s="110"/>
      <c r="AH140" s="110" t="str">
        <f t="shared" si="22"/>
        <v>OK</v>
      </c>
    </row>
    <row r="141" spans="1:34" hidden="1" x14ac:dyDescent="0.2">
      <c r="A141" s="49"/>
      <c r="B141" s="108" t="s">
        <v>2918</v>
      </c>
      <c r="C141" s="94" t="s">
        <v>2412</v>
      </c>
      <c r="D141" s="94" t="s">
        <v>2917</v>
      </c>
      <c r="E141" s="94" t="s">
        <v>2916</v>
      </c>
      <c r="F141" s="94" t="s">
        <v>2915</v>
      </c>
      <c r="G141" s="94" t="s">
        <v>2409</v>
      </c>
      <c r="H141" s="119">
        <v>180</v>
      </c>
      <c r="I141" s="119">
        <v>3</v>
      </c>
      <c r="J141" s="119">
        <f t="shared" si="16"/>
        <v>540</v>
      </c>
      <c r="K141" s="119">
        <v>469404000</v>
      </c>
      <c r="L141" s="119">
        <v>869266.66666666674</v>
      </c>
      <c r="M141" s="119">
        <f t="shared" si="17"/>
        <v>360</v>
      </c>
      <c r="N141" s="119">
        <f t="shared" si="18"/>
        <v>312936000</v>
      </c>
      <c r="O141" s="120">
        <v>45027</v>
      </c>
      <c r="P141" s="120">
        <v>46122</v>
      </c>
      <c r="Q141" s="119">
        <v>180</v>
      </c>
      <c r="R141" s="121">
        <v>156468000</v>
      </c>
      <c r="S141" s="119">
        <v>0</v>
      </c>
      <c r="T141" s="121">
        <v>0</v>
      </c>
      <c r="U141" s="119">
        <v>180</v>
      </c>
      <c r="V141" s="121">
        <f t="shared" si="19"/>
        <v>156468000</v>
      </c>
      <c r="W141" s="119">
        <f t="shared" si="20"/>
        <v>0</v>
      </c>
      <c r="X141" s="121">
        <f t="shared" si="21"/>
        <v>0</v>
      </c>
      <c r="Y141" s="122" t="s">
        <v>2408</v>
      </c>
      <c r="Z141" s="123" t="s">
        <v>2407</v>
      </c>
      <c r="AA141" s="123" t="s">
        <v>2406</v>
      </c>
      <c r="AB141" s="123" t="s">
        <v>2372</v>
      </c>
      <c r="AC141" s="123" t="s">
        <v>8</v>
      </c>
      <c r="AD141" s="110">
        <f>COUNTIF('KK1. Movies'!AI:AI,'TK 15661.Bản quyền phim '!F141)</f>
        <v>0</v>
      </c>
      <c r="AE141" s="110">
        <f>COUNTIF('KK2. Series'!AM:AM,'TK 15661.Bản quyền phim '!F141)</f>
        <v>0</v>
      </c>
      <c r="AF141" s="110">
        <f>COUNTIF('KK3. Kids'!AF:AF,'TK 15661.Bản quyền phim '!F141)</f>
        <v>1</v>
      </c>
      <c r="AG141" s="110"/>
      <c r="AH141" s="110" t="str">
        <f t="shared" si="22"/>
        <v>OK</v>
      </c>
    </row>
    <row r="142" spans="1:34" ht="15.6" hidden="1" x14ac:dyDescent="0.3">
      <c r="A142" s="47">
        <f>(U142-H142)*L142</f>
        <v>0</v>
      </c>
      <c r="B142" s="108" t="s">
        <v>2914</v>
      </c>
      <c r="C142" s="94" t="s">
        <v>2412</v>
      </c>
      <c r="D142" s="94" t="s">
        <v>2570</v>
      </c>
      <c r="E142" s="94" t="s">
        <v>2569</v>
      </c>
      <c r="F142" s="94" t="s">
        <v>1094</v>
      </c>
      <c r="G142" s="94" t="s">
        <v>2428</v>
      </c>
      <c r="H142" s="119">
        <v>38</v>
      </c>
      <c r="I142" s="119">
        <v>4</v>
      </c>
      <c r="J142" s="119">
        <f t="shared" si="16"/>
        <v>152</v>
      </c>
      <c r="K142" s="119">
        <v>1494658800</v>
      </c>
      <c r="L142" s="119">
        <v>9833281.578947369</v>
      </c>
      <c r="M142" s="119">
        <f t="shared" si="17"/>
        <v>76</v>
      </c>
      <c r="N142" s="119">
        <f t="shared" si="18"/>
        <v>747329400</v>
      </c>
      <c r="O142" s="120">
        <v>45041</v>
      </c>
      <c r="P142" s="120">
        <v>46501</v>
      </c>
      <c r="Q142" s="119">
        <v>76</v>
      </c>
      <c r="R142" s="121">
        <v>747329400</v>
      </c>
      <c r="S142" s="119">
        <v>0</v>
      </c>
      <c r="T142" s="121">
        <v>0</v>
      </c>
      <c r="U142" s="119">
        <v>38</v>
      </c>
      <c r="V142" s="121">
        <f t="shared" si="19"/>
        <v>373664700</v>
      </c>
      <c r="W142" s="119">
        <f t="shared" si="20"/>
        <v>38</v>
      </c>
      <c r="X142" s="121">
        <f t="shared" si="21"/>
        <v>373664700</v>
      </c>
      <c r="Y142" s="122" t="s">
        <v>2427</v>
      </c>
      <c r="Z142" s="123" t="s">
        <v>2407</v>
      </c>
      <c r="AA142" s="123" t="s">
        <v>2406</v>
      </c>
      <c r="AB142" s="123" t="s">
        <v>2372</v>
      </c>
      <c r="AC142" s="124" t="s">
        <v>10</v>
      </c>
      <c r="AD142" s="110">
        <f>COUNTIF('KK1. Movies'!AI:AI,'TK 15661.Bản quyền phim '!F142)</f>
        <v>0</v>
      </c>
      <c r="AE142" s="110">
        <f>COUNTIF('KK2. Series'!AM:AM,'TK 15661.Bản quyền phim '!F142)</f>
        <v>1</v>
      </c>
      <c r="AF142" s="110">
        <f>COUNTIF('KK3. Kids'!AF:AF,'TK 15661.Bản quyền phim '!F142)</f>
        <v>0</v>
      </c>
      <c r="AG142" s="110"/>
      <c r="AH142" s="110" t="str">
        <f t="shared" si="22"/>
        <v>OK</v>
      </c>
    </row>
    <row r="143" spans="1:34" ht="15.6" hidden="1" x14ac:dyDescent="0.3">
      <c r="B143" s="108" t="s">
        <v>2913</v>
      </c>
      <c r="C143" s="94" t="s">
        <v>2412</v>
      </c>
      <c r="D143" s="94" t="s">
        <v>2431</v>
      </c>
      <c r="E143" s="94" t="s">
        <v>2430</v>
      </c>
      <c r="F143" s="94" t="s">
        <v>1090</v>
      </c>
      <c r="G143" s="94" t="s">
        <v>2428</v>
      </c>
      <c r="H143" s="119">
        <v>18</v>
      </c>
      <c r="I143" s="119">
        <v>3</v>
      </c>
      <c r="J143" s="119">
        <f t="shared" si="16"/>
        <v>54</v>
      </c>
      <c r="K143" s="119">
        <v>944000000</v>
      </c>
      <c r="L143" s="119">
        <v>17481481.481481481</v>
      </c>
      <c r="M143" s="119">
        <f t="shared" si="17"/>
        <v>36</v>
      </c>
      <c r="N143" s="119">
        <f t="shared" si="18"/>
        <v>629333333.33333349</v>
      </c>
      <c r="O143" s="120">
        <v>45005</v>
      </c>
      <c r="P143" s="120">
        <v>46100</v>
      </c>
      <c r="Q143" s="119">
        <v>18</v>
      </c>
      <c r="R143" s="121">
        <v>314666666.66666657</v>
      </c>
      <c r="S143" s="119">
        <v>0</v>
      </c>
      <c r="T143" s="121">
        <v>0</v>
      </c>
      <c r="U143" s="119">
        <v>18</v>
      </c>
      <c r="V143" s="121">
        <f t="shared" si="19"/>
        <v>314666666.66666669</v>
      </c>
      <c r="W143" s="119">
        <f t="shared" si="20"/>
        <v>0</v>
      </c>
      <c r="X143" s="121">
        <f t="shared" si="21"/>
        <v>0</v>
      </c>
      <c r="Y143" s="122" t="s">
        <v>2427</v>
      </c>
      <c r="Z143" s="123" t="s">
        <v>2407</v>
      </c>
      <c r="AA143" s="123" t="s">
        <v>2406</v>
      </c>
      <c r="AB143" s="123" t="s">
        <v>2372</v>
      </c>
      <c r="AC143" s="124" t="s">
        <v>10</v>
      </c>
      <c r="AD143" s="110">
        <f>COUNTIF('KK1. Movies'!AI:AI,'TK 15661.Bản quyền phim '!F143)</f>
        <v>0</v>
      </c>
      <c r="AE143" s="110">
        <f>COUNTIF('KK2. Series'!AM:AM,'TK 15661.Bản quyền phim '!F143)</f>
        <v>1</v>
      </c>
      <c r="AF143" s="110">
        <f>COUNTIF('KK3. Kids'!AF:AF,'TK 15661.Bản quyền phim '!F143)</f>
        <v>0</v>
      </c>
      <c r="AG143" s="110"/>
      <c r="AH143" s="110" t="str">
        <f t="shared" si="22"/>
        <v>OK</v>
      </c>
    </row>
    <row r="144" spans="1:34" ht="15.6" hidden="1" x14ac:dyDescent="0.3">
      <c r="A144" s="43"/>
      <c r="B144" s="108" t="s">
        <v>2912</v>
      </c>
      <c r="C144" s="94" t="s">
        <v>2493</v>
      </c>
      <c r="D144" s="94" t="s">
        <v>2649</v>
      </c>
      <c r="E144" s="94" t="s">
        <v>2648</v>
      </c>
      <c r="F144" s="94" t="s">
        <v>1633</v>
      </c>
      <c r="G144" s="94" t="s">
        <v>2417</v>
      </c>
      <c r="H144" s="119">
        <v>1</v>
      </c>
      <c r="I144" s="119">
        <v>3</v>
      </c>
      <c r="J144" s="119">
        <f t="shared" si="16"/>
        <v>3</v>
      </c>
      <c r="K144" s="119">
        <v>63809524</v>
      </c>
      <c r="L144" s="119">
        <v>21269841.333333332</v>
      </c>
      <c r="M144" s="119">
        <f t="shared" si="17"/>
        <v>2</v>
      </c>
      <c r="N144" s="119">
        <f t="shared" si="18"/>
        <v>42539682.666666657</v>
      </c>
      <c r="O144" s="120">
        <v>45052</v>
      </c>
      <c r="P144" s="120">
        <v>46147</v>
      </c>
      <c r="Q144" s="119">
        <v>1</v>
      </c>
      <c r="R144" s="121">
        <v>21269841.33333334</v>
      </c>
      <c r="S144" s="119">
        <v>0</v>
      </c>
      <c r="T144" s="121">
        <v>0</v>
      </c>
      <c r="U144" s="119">
        <v>1</v>
      </c>
      <c r="V144" s="121">
        <f t="shared" si="19"/>
        <v>21269841.333333332</v>
      </c>
      <c r="W144" s="119">
        <f t="shared" si="20"/>
        <v>0</v>
      </c>
      <c r="X144" s="121">
        <f t="shared" si="21"/>
        <v>0</v>
      </c>
      <c r="Y144" s="122" t="s">
        <v>2416</v>
      </c>
      <c r="Z144" s="123" t="s">
        <v>2407</v>
      </c>
      <c r="AA144" s="123" t="s">
        <v>2406</v>
      </c>
      <c r="AB144" s="123" t="s">
        <v>2372</v>
      </c>
      <c r="AC144" s="124" t="s">
        <v>12</v>
      </c>
      <c r="AD144" s="110">
        <f>COUNTIF('KK1. Movies'!AI:AI,'TK 15661.Bản quyền phim '!F144)</f>
        <v>1</v>
      </c>
      <c r="AE144" s="110">
        <f>COUNTIF('KK2. Series'!AM:AM,'TK 15661.Bản quyền phim '!F144)</f>
        <v>0</v>
      </c>
      <c r="AF144" s="110">
        <f>COUNTIF('KK3. Kids'!AF:AF,'TK 15661.Bản quyền phim '!F144)</f>
        <v>0</v>
      </c>
      <c r="AG144" s="110"/>
      <c r="AH144" s="110" t="str">
        <f t="shared" si="22"/>
        <v>OK</v>
      </c>
    </row>
    <row r="145" spans="1:34" ht="15.6" hidden="1" x14ac:dyDescent="0.3">
      <c r="A145" s="43"/>
      <c r="B145" s="108" t="s">
        <v>2911</v>
      </c>
      <c r="C145" s="94" t="s">
        <v>2493</v>
      </c>
      <c r="D145" s="94" t="s">
        <v>2649</v>
      </c>
      <c r="E145" s="94" t="s">
        <v>2648</v>
      </c>
      <c r="F145" s="94" t="s">
        <v>2097</v>
      </c>
      <c r="G145" s="94" t="s">
        <v>2417</v>
      </c>
      <c r="H145" s="119">
        <v>1</v>
      </c>
      <c r="I145" s="119">
        <v>3</v>
      </c>
      <c r="J145" s="119">
        <f t="shared" si="16"/>
        <v>3</v>
      </c>
      <c r="K145" s="119">
        <v>63809524</v>
      </c>
      <c r="L145" s="119">
        <v>21269841.333333332</v>
      </c>
      <c r="M145" s="119">
        <f t="shared" si="17"/>
        <v>2</v>
      </c>
      <c r="N145" s="119">
        <f t="shared" si="18"/>
        <v>42539682.666666657</v>
      </c>
      <c r="O145" s="120">
        <v>45157</v>
      </c>
      <c r="P145" s="120">
        <v>46252</v>
      </c>
      <c r="Q145" s="119">
        <v>1</v>
      </c>
      <c r="R145" s="121">
        <v>21269841.33333334</v>
      </c>
      <c r="S145" s="119">
        <v>0</v>
      </c>
      <c r="T145" s="121">
        <v>0</v>
      </c>
      <c r="U145" s="119">
        <v>1</v>
      </c>
      <c r="V145" s="121">
        <f t="shared" si="19"/>
        <v>21269841.333333332</v>
      </c>
      <c r="W145" s="119">
        <f t="shared" si="20"/>
        <v>0</v>
      </c>
      <c r="X145" s="121">
        <f t="shared" si="21"/>
        <v>0</v>
      </c>
      <c r="Y145" s="122" t="s">
        <v>2416</v>
      </c>
      <c r="Z145" s="123" t="s">
        <v>2407</v>
      </c>
      <c r="AA145" s="123" t="s">
        <v>2406</v>
      </c>
      <c r="AB145" s="123" t="s">
        <v>2372</v>
      </c>
      <c r="AC145" s="124" t="s">
        <v>12</v>
      </c>
      <c r="AD145" s="110">
        <f>COUNTIF('KK1. Movies'!AI:AI,'TK 15661.Bản quyền phim '!F145)</f>
        <v>1</v>
      </c>
      <c r="AE145" s="110">
        <f>COUNTIF('KK2. Series'!AM:AM,'TK 15661.Bản quyền phim '!F145)</f>
        <v>0</v>
      </c>
      <c r="AF145" s="110">
        <f>COUNTIF('KK3. Kids'!AF:AF,'TK 15661.Bản quyền phim '!F145)</f>
        <v>0</v>
      </c>
      <c r="AG145" s="110"/>
      <c r="AH145" s="110" t="str">
        <f t="shared" si="22"/>
        <v>OK</v>
      </c>
    </row>
    <row r="146" spans="1:34" ht="15.6" hidden="1" x14ac:dyDescent="0.3">
      <c r="A146" s="43"/>
      <c r="B146" s="108" t="s">
        <v>2910</v>
      </c>
      <c r="C146" s="94" t="s">
        <v>2493</v>
      </c>
      <c r="D146" s="94" t="s">
        <v>2649</v>
      </c>
      <c r="E146" s="94" t="s">
        <v>2648</v>
      </c>
      <c r="F146" s="94" t="s">
        <v>2252</v>
      </c>
      <c r="G146" s="94" t="s">
        <v>2417</v>
      </c>
      <c r="H146" s="119">
        <v>1</v>
      </c>
      <c r="I146" s="119">
        <v>3</v>
      </c>
      <c r="J146" s="119">
        <f t="shared" si="16"/>
        <v>3</v>
      </c>
      <c r="K146" s="119">
        <v>63809524</v>
      </c>
      <c r="L146" s="119">
        <v>21269841.333333332</v>
      </c>
      <c r="M146" s="119">
        <f t="shared" si="17"/>
        <v>2</v>
      </c>
      <c r="N146" s="119">
        <f t="shared" si="18"/>
        <v>42539682.666666657</v>
      </c>
      <c r="O146" s="120">
        <v>45206</v>
      </c>
      <c r="P146" s="120">
        <v>46301</v>
      </c>
      <c r="Q146" s="119">
        <v>1</v>
      </c>
      <c r="R146" s="121">
        <v>21269841.33333334</v>
      </c>
      <c r="S146" s="119">
        <v>0</v>
      </c>
      <c r="T146" s="121">
        <v>0</v>
      </c>
      <c r="U146" s="119">
        <v>1</v>
      </c>
      <c r="V146" s="121">
        <f t="shared" si="19"/>
        <v>21269841.333333332</v>
      </c>
      <c r="W146" s="119">
        <f t="shared" si="20"/>
        <v>0</v>
      </c>
      <c r="X146" s="121">
        <f t="shared" si="21"/>
        <v>0</v>
      </c>
      <c r="Y146" s="122" t="s">
        <v>2416</v>
      </c>
      <c r="Z146" s="123" t="s">
        <v>2407</v>
      </c>
      <c r="AA146" s="123" t="s">
        <v>2406</v>
      </c>
      <c r="AB146" s="123" t="s">
        <v>2372</v>
      </c>
      <c r="AC146" s="124" t="s">
        <v>12</v>
      </c>
      <c r="AD146" s="110">
        <f>COUNTIF('KK1. Movies'!AI:AI,'TK 15661.Bản quyền phim '!F146)</f>
        <v>1</v>
      </c>
      <c r="AE146" s="110">
        <f>COUNTIF('KK2. Series'!AM:AM,'TK 15661.Bản quyền phim '!F146)</f>
        <v>0</v>
      </c>
      <c r="AF146" s="110">
        <f>COUNTIF('KK3. Kids'!AF:AF,'TK 15661.Bản quyền phim '!F146)</f>
        <v>0</v>
      </c>
      <c r="AG146" s="110"/>
      <c r="AH146" s="110" t="str">
        <f t="shared" si="22"/>
        <v>OK</v>
      </c>
    </row>
    <row r="147" spans="1:34" ht="15.6" hidden="1" x14ac:dyDescent="0.3">
      <c r="A147" s="47">
        <f t="shared" ref="A147:A161" si="23">(U147-H147)*L147</f>
        <v>0</v>
      </c>
      <c r="B147" s="108" t="s">
        <v>2909</v>
      </c>
      <c r="C147" s="94" t="s">
        <v>2412</v>
      </c>
      <c r="D147" s="94" t="s">
        <v>2583</v>
      </c>
      <c r="E147" s="94" t="s">
        <v>2582</v>
      </c>
      <c r="F147" s="94" t="s">
        <v>938</v>
      </c>
      <c r="G147" s="94" t="s">
        <v>2581</v>
      </c>
      <c r="H147" s="119">
        <v>10</v>
      </c>
      <c r="I147" s="119">
        <v>5</v>
      </c>
      <c r="J147" s="119">
        <f t="shared" si="16"/>
        <v>50</v>
      </c>
      <c r="K147" s="119">
        <v>419560800</v>
      </c>
      <c r="L147" s="119">
        <v>8391216</v>
      </c>
      <c r="M147" s="119">
        <f t="shared" si="17"/>
        <v>20</v>
      </c>
      <c r="N147" s="119">
        <f t="shared" si="18"/>
        <v>167824320</v>
      </c>
      <c r="O147" s="120">
        <v>45017</v>
      </c>
      <c r="P147" s="120">
        <v>46843</v>
      </c>
      <c r="Q147" s="119">
        <v>30</v>
      </c>
      <c r="R147" s="121">
        <v>251736480</v>
      </c>
      <c r="S147" s="119">
        <v>0</v>
      </c>
      <c r="T147" s="121">
        <v>0</v>
      </c>
      <c r="U147" s="119">
        <v>10</v>
      </c>
      <c r="V147" s="121">
        <f t="shared" si="19"/>
        <v>83912160</v>
      </c>
      <c r="W147" s="119">
        <f t="shared" si="20"/>
        <v>20</v>
      </c>
      <c r="X147" s="121">
        <f t="shared" si="21"/>
        <v>167824320</v>
      </c>
      <c r="Y147" s="122" t="s">
        <v>2427</v>
      </c>
      <c r="Z147" s="123" t="s">
        <v>2407</v>
      </c>
      <c r="AA147" s="123" t="s">
        <v>2406</v>
      </c>
      <c r="AB147" s="123" t="s">
        <v>2372</v>
      </c>
      <c r="AC147" s="124" t="s">
        <v>10</v>
      </c>
      <c r="AD147" s="110">
        <f>COUNTIF('KK1. Movies'!AI:AI,'TK 15661.Bản quyền phim '!F147)</f>
        <v>0</v>
      </c>
      <c r="AE147" s="110">
        <f>COUNTIF('KK2. Series'!AM:AM,'TK 15661.Bản quyền phim '!F147)</f>
        <v>1</v>
      </c>
      <c r="AF147" s="110">
        <f>COUNTIF('KK3. Kids'!AF:AF,'TK 15661.Bản quyền phim '!F147)</f>
        <v>0</v>
      </c>
      <c r="AG147" s="110"/>
      <c r="AH147" s="110" t="str">
        <f t="shared" si="22"/>
        <v>OK</v>
      </c>
    </row>
    <row r="148" spans="1:34" ht="15.6" hidden="1" x14ac:dyDescent="0.3">
      <c r="A148" s="47">
        <f t="shared" si="23"/>
        <v>-188800000</v>
      </c>
      <c r="B148" s="108" t="s">
        <v>2908</v>
      </c>
      <c r="C148" s="94" t="s">
        <v>2412</v>
      </c>
      <c r="D148" s="94" t="s">
        <v>2536</v>
      </c>
      <c r="E148" s="94" t="s">
        <v>2535</v>
      </c>
      <c r="F148" s="94" t="s">
        <v>1077</v>
      </c>
      <c r="G148" s="94" t="s">
        <v>2428</v>
      </c>
      <c r="H148" s="119">
        <v>32</v>
      </c>
      <c r="I148" s="119">
        <v>4</v>
      </c>
      <c r="J148" s="119">
        <f t="shared" si="16"/>
        <v>128</v>
      </c>
      <c r="K148" s="119">
        <v>755200000</v>
      </c>
      <c r="L148" s="119">
        <v>5900000</v>
      </c>
      <c r="M148" s="119">
        <f t="shared" si="17"/>
        <v>64</v>
      </c>
      <c r="N148" s="119">
        <f t="shared" si="18"/>
        <v>377600000</v>
      </c>
      <c r="O148" s="120">
        <v>45107</v>
      </c>
      <c r="P148" s="120">
        <v>46567</v>
      </c>
      <c r="Q148" s="119">
        <v>64</v>
      </c>
      <c r="R148" s="121">
        <v>377600000</v>
      </c>
      <c r="S148" s="119">
        <v>0</v>
      </c>
      <c r="T148" s="121">
        <v>0</v>
      </c>
      <c r="U148" s="119">
        <v>0</v>
      </c>
      <c r="V148" s="121">
        <f t="shared" si="19"/>
        <v>0</v>
      </c>
      <c r="W148" s="119">
        <f t="shared" si="20"/>
        <v>64</v>
      </c>
      <c r="X148" s="121">
        <f t="shared" si="21"/>
        <v>377600000</v>
      </c>
      <c r="Y148" s="122" t="s">
        <v>2427</v>
      </c>
      <c r="Z148" s="123" t="s">
        <v>2407</v>
      </c>
      <c r="AA148" s="123" t="s">
        <v>2406</v>
      </c>
      <c r="AB148" s="123" t="s">
        <v>2372</v>
      </c>
      <c r="AC148" s="124" t="s">
        <v>10</v>
      </c>
      <c r="AD148" s="110">
        <f>COUNTIF('KK1. Movies'!AI:AI,'TK 15661.Bản quyền phim '!F148)</f>
        <v>0</v>
      </c>
      <c r="AE148" s="110">
        <f>COUNTIF('KK2. Series'!AM:AM,'TK 15661.Bản quyền phim '!F148)</f>
        <v>1</v>
      </c>
      <c r="AF148" s="110">
        <f>COUNTIF('KK3. Kids'!AF:AF,'TK 15661.Bản quyền phim '!F148)</f>
        <v>0</v>
      </c>
      <c r="AG148" s="110"/>
      <c r="AH148" s="110" t="str">
        <f t="shared" si="22"/>
        <v>OK</v>
      </c>
    </row>
    <row r="149" spans="1:34" hidden="1" x14ac:dyDescent="0.2">
      <c r="A149" s="47">
        <f t="shared" si="23"/>
        <v>0</v>
      </c>
      <c r="B149" s="108" t="s">
        <v>2907</v>
      </c>
      <c r="C149" s="94" t="s">
        <v>2412</v>
      </c>
      <c r="D149" s="94" t="s">
        <v>2817</v>
      </c>
      <c r="E149" s="94" t="s">
        <v>163</v>
      </c>
      <c r="F149" s="94" t="s">
        <v>257</v>
      </c>
      <c r="G149" s="94" t="s">
        <v>2409</v>
      </c>
      <c r="H149" s="119">
        <v>76</v>
      </c>
      <c r="I149" s="119">
        <v>3</v>
      </c>
      <c r="J149" s="119">
        <f t="shared" si="16"/>
        <v>228</v>
      </c>
      <c r="K149" s="119">
        <v>219739600</v>
      </c>
      <c r="L149" s="119">
        <v>963770.17543859652</v>
      </c>
      <c r="M149" s="119">
        <f t="shared" si="17"/>
        <v>152</v>
      </c>
      <c r="N149" s="119">
        <f t="shared" si="18"/>
        <v>146493066.66666663</v>
      </c>
      <c r="O149" s="120">
        <v>45078</v>
      </c>
      <c r="P149" s="120">
        <v>46173</v>
      </c>
      <c r="Q149" s="119">
        <v>76</v>
      </c>
      <c r="R149" s="121">
        <v>73246533.333333358</v>
      </c>
      <c r="S149" s="119">
        <v>0</v>
      </c>
      <c r="T149" s="121">
        <v>0</v>
      </c>
      <c r="U149" s="119">
        <v>76</v>
      </c>
      <c r="V149" s="121">
        <f t="shared" si="19"/>
        <v>73246533.333333328</v>
      </c>
      <c r="W149" s="119">
        <f t="shared" si="20"/>
        <v>0</v>
      </c>
      <c r="X149" s="121">
        <f t="shared" si="21"/>
        <v>0</v>
      </c>
      <c r="Y149" s="122" t="s">
        <v>2408</v>
      </c>
      <c r="Z149" s="123" t="s">
        <v>2407</v>
      </c>
      <c r="AA149" s="123" t="s">
        <v>2406</v>
      </c>
      <c r="AB149" s="123" t="s">
        <v>2372</v>
      </c>
      <c r="AC149" s="123" t="s">
        <v>8</v>
      </c>
      <c r="AD149" s="110">
        <f>COUNTIF('KK1. Movies'!AI:AI,'TK 15661.Bản quyền phim '!F149)</f>
        <v>0</v>
      </c>
      <c r="AE149" s="110">
        <f>COUNTIF('KK2. Series'!AM:AM,'TK 15661.Bản quyền phim '!F149)</f>
        <v>0</v>
      </c>
      <c r="AF149" s="110">
        <f>COUNTIF('KK3. Kids'!AF:AF,'TK 15661.Bản quyền phim '!F149)</f>
        <v>1</v>
      </c>
      <c r="AG149" s="110"/>
      <c r="AH149" s="110" t="str">
        <f t="shared" si="22"/>
        <v>OK</v>
      </c>
    </row>
    <row r="150" spans="1:34" hidden="1" x14ac:dyDescent="0.2">
      <c r="A150" s="47">
        <f t="shared" si="23"/>
        <v>0</v>
      </c>
      <c r="B150" s="108" t="s">
        <v>2906</v>
      </c>
      <c r="C150" s="94" t="s">
        <v>2412</v>
      </c>
      <c r="D150" s="94" t="s">
        <v>2817</v>
      </c>
      <c r="E150" s="94" t="s">
        <v>163</v>
      </c>
      <c r="F150" s="94" t="s">
        <v>255</v>
      </c>
      <c r="G150" s="94" t="s">
        <v>2409</v>
      </c>
      <c r="H150" s="119">
        <v>78</v>
      </c>
      <c r="I150" s="119">
        <v>3</v>
      </c>
      <c r="J150" s="119">
        <f t="shared" si="16"/>
        <v>234</v>
      </c>
      <c r="K150" s="119">
        <v>219739600</v>
      </c>
      <c r="L150" s="119">
        <v>939058.11965811963</v>
      </c>
      <c r="M150" s="119">
        <f t="shared" si="17"/>
        <v>156</v>
      </c>
      <c r="N150" s="119">
        <f t="shared" si="18"/>
        <v>146493066.66666663</v>
      </c>
      <c r="O150" s="120">
        <v>45078</v>
      </c>
      <c r="P150" s="120">
        <v>46173</v>
      </c>
      <c r="Q150" s="119">
        <v>78</v>
      </c>
      <c r="R150" s="121">
        <v>73246533.333333358</v>
      </c>
      <c r="S150" s="119">
        <v>0</v>
      </c>
      <c r="T150" s="121">
        <v>0</v>
      </c>
      <c r="U150" s="119">
        <v>78</v>
      </c>
      <c r="V150" s="121">
        <f t="shared" si="19"/>
        <v>73246533.333333328</v>
      </c>
      <c r="W150" s="119">
        <f t="shared" si="20"/>
        <v>0</v>
      </c>
      <c r="X150" s="121">
        <f t="shared" si="21"/>
        <v>0</v>
      </c>
      <c r="Y150" s="122" t="s">
        <v>2408</v>
      </c>
      <c r="Z150" s="123" t="s">
        <v>2407</v>
      </c>
      <c r="AA150" s="123" t="s">
        <v>2406</v>
      </c>
      <c r="AB150" s="123" t="s">
        <v>2372</v>
      </c>
      <c r="AC150" s="123" t="s">
        <v>8</v>
      </c>
      <c r="AD150" s="110">
        <f>COUNTIF('KK1. Movies'!AI:AI,'TK 15661.Bản quyền phim '!F150)</f>
        <v>0</v>
      </c>
      <c r="AE150" s="110">
        <f>COUNTIF('KK2. Series'!AM:AM,'TK 15661.Bản quyền phim '!F150)</f>
        <v>0</v>
      </c>
      <c r="AF150" s="110">
        <f>COUNTIF('KK3. Kids'!AF:AF,'TK 15661.Bản quyền phim '!F150)</f>
        <v>1</v>
      </c>
      <c r="AG150" s="110"/>
      <c r="AH150" s="110" t="str">
        <f t="shared" si="22"/>
        <v>OK</v>
      </c>
    </row>
    <row r="151" spans="1:34" hidden="1" x14ac:dyDescent="0.2">
      <c r="A151" s="47">
        <f t="shared" si="23"/>
        <v>0</v>
      </c>
      <c r="B151" s="108" t="s">
        <v>2905</v>
      </c>
      <c r="C151" s="94" t="s">
        <v>2412</v>
      </c>
      <c r="D151" s="94" t="s">
        <v>2817</v>
      </c>
      <c r="E151" s="94" t="s">
        <v>163</v>
      </c>
      <c r="F151" s="94" t="s">
        <v>250</v>
      </c>
      <c r="G151" s="94" t="s">
        <v>2409</v>
      </c>
      <c r="H151" s="119">
        <v>78</v>
      </c>
      <c r="I151" s="119">
        <v>3</v>
      </c>
      <c r="J151" s="119">
        <f t="shared" si="16"/>
        <v>234</v>
      </c>
      <c r="K151" s="119">
        <v>219739600</v>
      </c>
      <c r="L151" s="119">
        <v>939058.11965811963</v>
      </c>
      <c r="M151" s="119">
        <f t="shared" si="17"/>
        <v>156</v>
      </c>
      <c r="N151" s="119">
        <f t="shared" si="18"/>
        <v>146493066.66666663</v>
      </c>
      <c r="O151" s="120">
        <v>45078</v>
      </c>
      <c r="P151" s="120">
        <v>46173</v>
      </c>
      <c r="Q151" s="119">
        <v>78</v>
      </c>
      <c r="R151" s="121">
        <v>73246533.333333358</v>
      </c>
      <c r="S151" s="119">
        <v>0</v>
      </c>
      <c r="T151" s="121">
        <v>0</v>
      </c>
      <c r="U151" s="119">
        <v>78</v>
      </c>
      <c r="V151" s="121">
        <f t="shared" si="19"/>
        <v>73246533.333333328</v>
      </c>
      <c r="W151" s="119">
        <f t="shared" si="20"/>
        <v>0</v>
      </c>
      <c r="X151" s="121">
        <f t="shared" si="21"/>
        <v>0</v>
      </c>
      <c r="Y151" s="122" t="s">
        <v>2408</v>
      </c>
      <c r="Z151" s="123" t="s">
        <v>2407</v>
      </c>
      <c r="AA151" s="123" t="s">
        <v>2406</v>
      </c>
      <c r="AB151" s="123" t="s">
        <v>2372</v>
      </c>
      <c r="AC151" s="123" t="s">
        <v>8</v>
      </c>
      <c r="AD151" s="110">
        <f>COUNTIF('KK1. Movies'!AI:AI,'TK 15661.Bản quyền phim '!F151)</f>
        <v>0</v>
      </c>
      <c r="AE151" s="110">
        <f>COUNTIF('KK2. Series'!AM:AM,'TK 15661.Bản quyền phim '!F151)</f>
        <v>0</v>
      </c>
      <c r="AF151" s="110">
        <f>COUNTIF('KK3. Kids'!AF:AF,'TK 15661.Bản quyền phim '!F151)</f>
        <v>1</v>
      </c>
      <c r="AG151" s="110"/>
      <c r="AH151" s="110" t="str">
        <f t="shared" si="22"/>
        <v>OK</v>
      </c>
    </row>
    <row r="152" spans="1:34" ht="15.6" hidden="1" x14ac:dyDescent="0.3">
      <c r="A152" s="47">
        <f t="shared" si="23"/>
        <v>0</v>
      </c>
      <c r="B152" s="108" t="s">
        <v>2904</v>
      </c>
      <c r="C152" s="94" t="s">
        <v>2686</v>
      </c>
      <c r="D152" s="94" t="s">
        <v>2685</v>
      </c>
      <c r="E152" s="94" t="s">
        <v>2684</v>
      </c>
      <c r="F152" s="94" t="s">
        <v>945</v>
      </c>
      <c r="G152" s="94" t="s">
        <v>2581</v>
      </c>
      <c r="H152" s="119">
        <v>8</v>
      </c>
      <c r="I152" s="119">
        <v>7</v>
      </c>
      <c r="J152" s="119">
        <f t="shared" si="16"/>
        <v>56</v>
      </c>
      <c r="K152" s="119">
        <v>1032000000</v>
      </c>
      <c r="L152" s="119">
        <v>18428571.428571429</v>
      </c>
      <c r="M152" s="119">
        <f t="shared" si="17"/>
        <v>16</v>
      </c>
      <c r="N152" s="119">
        <f t="shared" si="18"/>
        <v>294857142.85714293</v>
      </c>
      <c r="O152" s="120">
        <v>45096</v>
      </c>
      <c r="P152" s="120">
        <v>47652</v>
      </c>
      <c r="Q152" s="119">
        <v>40</v>
      </c>
      <c r="R152" s="121">
        <v>737142857.14285707</v>
      </c>
      <c r="S152" s="119">
        <v>0</v>
      </c>
      <c r="T152" s="121">
        <v>0</v>
      </c>
      <c r="U152" s="119">
        <v>8</v>
      </c>
      <c r="V152" s="121">
        <f t="shared" si="19"/>
        <v>147428571.42857143</v>
      </c>
      <c r="W152" s="119">
        <f t="shared" si="20"/>
        <v>32</v>
      </c>
      <c r="X152" s="121">
        <f t="shared" si="21"/>
        <v>589714285.71428561</v>
      </c>
      <c r="Y152" s="122" t="s">
        <v>2427</v>
      </c>
      <c r="Z152" s="123" t="s">
        <v>2407</v>
      </c>
      <c r="AA152" s="123" t="s">
        <v>2406</v>
      </c>
      <c r="AB152" s="123" t="s">
        <v>2372</v>
      </c>
      <c r="AC152" s="124" t="s">
        <v>10</v>
      </c>
      <c r="AD152" s="110">
        <f>COUNTIF('KK1. Movies'!AI:AI,'TK 15661.Bản quyền phim '!F152)</f>
        <v>0</v>
      </c>
      <c r="AE152" s="110">
        <f>COUNTIF('KK2. Series'!AM:AM,'TK 15661.Bản quyền phim '!F152)</f>
        <v>1</v>
      </c>
      <c r="AF152" s="110">
        <f>COUNTIF('KK3. Kids'!AF:AF,'TK 15661.Bản quyền phim '!F152)</f>
        <v>0</v>
      </c>
      <c r="AG152" s="110"/>
      <c r="AH152" s="110" t="str">
        <f t="shared" si="22"/>
        <v>OK</v>
      </c>
    </row>
    <row r="153" spans="1:34" ht="15.6" hidden="1" x14ac:dyDescent="0.3">
      <c r="A153" s="47">
        <f t="shared" si="23"/>
        <v>0</v>
      </c>
      <c r="B153" s="108" t="s">
        <v>2903</v>
      </c>
      <c r="C153" s="94" t="s">
        <v>2412</v>
      </c>
      <c r="D153" s="94" t="s">
        <v>2570</v>
      </c>
      <c r="E153" s="94" t="s">
        <v>2569</v>
      </c>
      <c r="F153" s="94" t="s">
        <v>2902</v>
      </c>
      <c r="G153" s="94" t="s">
        <v>2428</v>
      </c>
      <c r="H153" s="119">
        <v>14</v>
      </c>
      <c r="I153" s="119">
        <v>4</v>
      </c>
      <c r="J153" s="119">
        <f t="shared" si="16"/>
        <v>56</v>
      </c>
      <c r="K153" s="119">
        <v>605741200</v>
      </c>
      <c r="L153" s="119">
        <v>10816807.142857144</v>
      </c>
      <c r="M153" s="119">
        <f t="shared" si="17"/>
        <v>28</v>
      </c>
      <c r="N153" s="119">
        <f t="shared" si="18"/>
        <v>302870600</v>
      </c>
      <c r="O153" s="120">
        <v>45107</v>
      </c>
      <c r="P153" s="120">
        <v>46567</v>
      </c>
      <c r="Q153" s="119">
        <v>28</v>
      </c>
      <c r="R153" s="121">
        <v>302870600</v>
      </c>
      <c r="S153" s="119">
        <v>0</v>
      </c>
      <c r="T153" s="121">
        <v>0</v>
      </c>
      <c r="U153" s="119">
        <v>14</v>
      </c>
      <c r="V153" s="121">
        <f t="shared" si="19"/>
        <v>151435300</v>
      </c>
      <c r="W153" s="119">
        <f t="shared" si="20"/>
        <v>14</v>
      </c>
      <c r="X153" s="121">
        <f t="shared" si="21"/>
        <v>151435300</v>
      </c>
      <c r="Y153" s="122" t="s">
        <v>2427</v>
      </c>
      <c r="Z153" s="123" t="s">
        <v>2407</v>
      </c>
      <c r="AA153" s="123" t="s">
        <v>2406</v>
      </c>
      <c r="AB153" s="123" t="s">
        <v>2372</v>
      </c>
      <c r="AC153" s="124" t="s">
        <v>10</v>
      </c>
      <c r="AD153" s="110">
        <f>COUNTIF('KK1. Movies'!AI:AI,'TK 15661.Bản quyền phim '!F153)</f>
        <v>0</v>
      </c>
      <c r="AE153" s="110">
        <f>COUNTIF('KK2. Series'!AM:AM,'TK 15661.Bản quyền phim '!F153)</f>
        <v>1</v>
      </c>
      <c r="AF153" s="110">
        <f>COUNTIF('KK3. Kids'!AF:AF,'TK 15661.Bản quyền phim '!F153)</f>
        <v>0</v>
      </c>
      <c r="AG153" s="110"/>
      <c r="AH153" s="110" t="str">
        <f t="shared" si="22"/>
        <v>OK</v>
      </c>
    </row>
    <row r="154" spans="1:34" ht="15.6" hidden="1" x14ac:dyDescent="0.3">
      <c r="A154" s="47">
        <f t="shared" si="23"/>
        <v>0</v>
      </c>
      <c r="B154" s="108" t="s">
        <v>2901</v>
      </c>
      <c r="C154" s="94" t="s">
        <v>2412</v>
      </c>
      <c r="D154" s="94" t="s">
        <v>2900</v>
      </c>
      <c r="E154" s="94" t="s">
        <v>2899</v>
      </c>
      <c r="F154" s="94" t="s">
        <v>2898</v>
      </c>
      <c r="G154" s="94" t="s">
        <v>2428</v>
      </c>
      <c r="H154" s="119">
        <v>8</v>
      </c>
      <c r="I154" s="119">
        <v>4</v>
      </c>
      <c r="J154" s="119">
        <f t="shared" si="16"/>
        <v>32</v>
      </c>
      <c r="K154" s="119">
        <v>283200000</v>
      </c>
      <c r="L154" s="119">
        <v>8850000</v>
      </c>
      <c r="M154" s="119">
        <f t="shared" si="17"/>
        <v>16</v>
      </c>
      <c r="N154" s="119">
        <f t="shared" si="18"/>
        <v>141600000</v>
      </c>
      <c r="O154" s="120">
        <v>45071</v>
      </c>
      <c r="P154" s="120">
        <v>46531</v>
      </c>
      <c r="Q154" s="119">
        <v>16</v>
      </c>
      <c r="R154" s="121">
        <v>141600000</v>
      </c>
      <c r="S154" s="119">
        <v>0</v>
      </c>
      <c r="T154" s="121">
        <v>0</v>
      </c>
      <c r="U154" s="119">
        <v>8</v>
      </c>
      <c r="V154" s="121">
        <f t="shared" si="19"/>
        <v>70800000</v>
      </c>
      <c r="W154" s="119">
        <f t="shared" si="20"/>
        <v>8</v>
      </c>
      <c r="X154" s="121">
        <f t="shared" si="21"/>
        <v>70800000</v>
      </c>
      <c r="Y154" s="122" t="s">
        <v>2427</v>
      </c>
      <c r="Z154" s="123" t="s">
        <v>2407</v>
      </c>
      <c r="AA154" s="123" t="s">
        <v>2406</v>
      </c>
      <c r="AB154" s="123" t="s">
        <v>2372</v>
      </c>
      <c r="AC154" s="124" t="s">
        <v>10</v>
      </c>
      <c r="AD154" s="110">
        <f>COUNTIF('KK1. Movies'!AI:AI,'TK 15661.Bản quyền phim '!F154)</f>
        <v>0</v>
      </c>
      <c r="AE154" s="110">
        <f>COUNTIF('KK2. Series'!AM:AM,'TK 15661.Bản quyền phim '!F154)</f>
        <v>1</v>
      </c>
      <c r="AF154" s="110">
        <f>COUNTIF('KK3. Kids'!AF:AF,'TK 15661.Bản quyền phim '!F154)</f>
        <v>0</v>
      </c>
      <c r="AG154" s="110"/>
      <c r="AH154" s="110" t="str">
        <f t="shared" si="22"/>
        <v>OK</v>
      </c>
    </row>
    <row r="155" spans="1:34" ht="15.6" hidden="1" x14ac:dyDescent="0.3">
      <c r="A155" s="47">
        <f t="shared" si="23"/>
        <v>0</v>
      </c>
      <c r="B155" s="108" t="s">
        <v>2897</v>
      </c>
      <c r="C155" s="94" t="s">
        <v>2412</v>
      </c>
      <c r="D155" s="94" t="s">
        <v>2896</v>
      </c>
      <c r="E155" s="94" t="s">
        <v>2895</v>
      </c>
      <c r="F155" s="94" t="s">
        <v>1083</v>
      </c>
      <c r="G155" s="94" t="s">
        <v>2428</v>
      </c>
      <c r="H155" s="119">
        <v>16</v>
      </c>
      <c r="I155" s="119">
        <v>4</v>
      </c>
      <c r="J155" s="119">
        <f t="shared" si="16"/>
        <v>64</v>
      </c>
      <c r="K155" s="119">
        <v>1048889728.0000001</v>
      </c>
      <c r="L155" s="119">
        <v>16388902.000000002</v>
      </c>
      <c r="M155" s="119">
        <f t="shared" si="17"/>
        <v>32</v>
      </c>
      <c r="N155" s="119">
        <f t="shared" si="18"/>
        <v>524444864</v>
      </c>
      <c r="O155" s="120">
        <v>45101</v>
      </c>
      <c r="P155" s="120">
        <v>46561</v>
      </c>
      <c r="Q155" s="119">
        <v>32</v>
      </c>
      <c r="R155" s="121">
        <v>524444864.00000012</v>
      </c>
      <c r="S155" s="119">
        <v>0</v>
      </c>
      <c r="T155" s="121">
        <v>0</v>
      </c>
      <c r="U155" s="119">
        <v>16</v>
      </c>
      <c r="V155" s="121">
        <f t="shared" si="19"/>
        <v>262222432.00000003</v>
      </c>
      <c r="W155" s="119">
        <f t="shared" si="20"/>
        <v>16</v>
      </c>
      <c r="X155" s="121">
        <f t="shared" si="21"/>
        <v>262222432.00000009</v>
      </c>
      <c r="Y155" s="122" t="s">
        <v>2427</v>
      </c>
      <c r="Z155" s="123" t="s">
        <v>2407</v>
      </c>
      <c r="AA155" s="123" t="s">
        <v>2406</v>
      </c>
      <c r="AB155" s="123" t="s">
        <v>2372</v>
      </c>
      <c r="AC155" s="124" t="s">
        <v>10</v>
      </c>
      <c r="AD155" s="110">
        <f>COUNTIF('KK1. Movies'!AI:AI,'TK 15661.Bản quyền phim '!F155)</f>
        <v>0</v>
      </c>
      <c r="AE155" s="110">
        <f>COUNTIF('KK2. Series'!AM:AM,'TK 15661.Bản quyền phim '!F155)</f>
        <v>1</v>
      </c>
      <c r="AF155" s="110">
        <f>COUNTIF('KK3. Kids'!AF:AF,'TK 15661.Bản quyền phim '!F155)</f>
        <v>0</v>
      </c>
      <c r="AG155" s="110"/>
      <c r="AH155" s="110" t="str">
        <f t="shared" si="22"/>
        <v>OK</v>
      </c>
    </row>
    <row r="156" spans="1:34" ht="15.6" hidden="1" x14ac:dyDescent="0.3">
      <c r="A156" s="47">
        <f t="shared" si="23"/>
        <v>0</v>
      </c>
      <c r="B156" s="108" t="s">
        <v>2894</v>
      </c>
      <c r="C156" s="94" t="s">
        <v>2412</v>
      </c>
      <c r="D156" s="94" t="s">
        <v>2893</v>
      </c>
      <c r="E156" s="94" t="s">
        <v>2892</v>
      </c>
      <c r="F156" s="94" t="s">
        <v>910</v>
      </c>
      <c r="G156" s="94" t="s">
        <v>2428</v>
      </c>
      <c r="H156" s="119">
        <v>16</v>
      </c>
      <c r="I156" s="119">
        <v>4</v>
      </c>
      <c r="J156" s="119">
        <f t="shared" si="16"/>
        <v>64</v>
      </c>
      <c r="K156" s="119">
        <v>1510400000</v>
      </c>
      <c r="L156" s="119">
        <v>23600000</v>
      </c>
      <c r="M156" s="119">
        <f t="shared" si="17"/>
        <v>32</v>
      </c>
      <c r="N156" s="119">
        <f t="shared" si="18"/>
        <v>755200000</v>
      </c>
      <c r="O156" s="120">
        <v>45105</v>
      </c>
      <c r="P156" s="120">
        <v>46565</v>
      </c>
      <c r="Q156" s="119">
        <v>32</v>
      </c>
      <c r="R156" s="121">
        <v>755200000</v>
      </c>
      <c r="S156" s="119">
        <v>0</v>
      </c>
      <c r="T156" s="121">
        <v>0</v>
      </c>
      <c r="U156" s="119">
        <v>16</v>
      </c>
      <c r="V156" s="121">
        <f t="shared" si="19"/>
        <v>377600000</v>
      </c>
      <c r="W156" s="119">
        <f t="shared" si="20"/>
        <v>16</v>
      </c>
      <c r="X156" s="121">
        <f t="shared" si="21"/>
        <v>377600000</v>
      </c>
      <c r="Y156" s="122" t="s">
        <v>2427</v>
      </c>
      <c r="Z156" s="123" t="s">
        <v>2407</v>
      </c>
      <c r="AA156" s="123" t="s">
        <v>2406</v>
      </c>
      <c r="AB156" s="123" t="s">
        <v>2372</v>
      </c>
      <c r="AC156" s="124" t="s">
        <v>10</v>
      </c>
      <c r="AD156" s="110">
        <f>COUNTIF('KK1. Movies'!AI:AI,'TK 15661.Bản quyền phim '!F156)</f>
        <v>0</v>
      </c>
      <c r="AE156" s="110">
        <f>COUNTIF('KK2. Series'!AM:AM,'TK 15661.Bản quyền phim '!F156)</f>
        <v>1</v>
      </c>
      <c r="AF156" s="110">
        <f>COUNTIF('KK3. Kids'!AF:AF,'TK 15661.Bản quyền phim '!F156)</f>
        <v>0</v>
      </c>
      <c r="AG156" s="110"/>
      <c r="AH156" s="110" t="str">
        <f t="shared" si="22"/>
        <v>OK</v>
      </c>
    </row>
    <row r="157" spans="1:34" ht="15.6" hidden="1" x14ac:dyDescent="0.3">
      <c r="A157" s="47">
        <f t="shared" si="23"/>
        <v>0</v>
      </c>
      <c r="B157" s="108" t="s">
        <v>2891</v>
      </c>
      <c r="C157" s="94" t="s">
        <v>2412</v>
      </c>
      <c r="D157" s="94" t="s">
        <v>2890</v>
      </c>
      <c r="E157" s="94" t="s">
        <v>2889</v>
      </c>
      <c r="F157" s="94" t="s">
        <v>1064</v>
      </c>
      <c r="G157" s="94" t="s">
        <v>2428</v>
      </c>
      <c r="H157" s="119">
        <v>40</v>
      </c>
      <c r="I157" s="119">
        <v>5</v>
      </c>
      <c r="J157" s="119">
        <f t="shared" si="16"/>
        <v>200</v>
      </c>
      <c r="K157" s="119">
        <v>2832000000</v>
      </c>
      <c r="L157" s="119">
        <v>14160000</v>
      </c>
      <c r="M157" s="119">
        <f t="shared" si="17"/>
        <v>80</v>
      </c>
      <c r="N157" s="119">
        <f t="shared" si="18"/>
        <v>1132800000</v>
      </c>
      <c r="O157" s="120">
        <v>45112</v>
      </c>
      <c r="P157" s="120">
        <v>46938</v>
      </c>
      <c r="Q157" s="119">
        <v>120</v>
      </c>
      <c r="R157" s="121">
        <v>1699200000</v>
      </c>
      <c r="S157" s="119">
        <v>0</v>
      </c>
      <c r="T157" s="121">
        <v>0</v>
      </c>
      <c r="U157" s="119">
        <v>40</v>
      </c>
      <c r="V157" s="121">
        <f t="shared" si="19"/>
        <v>566400000</v>
      </c>
      <c r="W157" s="119">
        <f t="shared" si="20"/>
        <v>80</v>
      </c>
      <c r="X157" s="121">
        <f t="shared" si="21"/>
        <v>1132800000</v>
      </c>
      <c r="Y157" s="122" t="s">
        <v>2427</v>
      </c>
      <c r="Z157" s="123" t="s">
        <v>2407</v>
      </c>
      <c r="AA157" s="123" t="s">
        <v>2406</v>
      </c>
      <c r="AB157" s="123" t="s">
        <v>2372</v>
      </c>
      <c r="AC157" s="124" t="s">
        <v>10</v>
      </c>
      <c r="AD157" s="110">
        <f>COUNTIF('KK1. Movies'!AI:AI,'TK 15661.Bản quyền phim '!F157)</f>
        <v>0</v>
      </c>
      <c r="AE157" s="110">
        <f>COUNTIF('KK2. Series'!AM:AM,'TK 15661.Bản quyền phim '!F157)</f>
        <v>1</v>
      </c>
      <c r="AF157" s="110">
        <f>COUNTIF('KK3. Kids'!AF:AF,'TK 15661.Bản quyền phim '!F157)</f>
        <v>0</v>
      </c>
      <c r="AG157" s="110"/>
      <c r="AH157" s="110" t="str">
        <f t="shared" si="22"/>
        <v>OK</v>
      </c>
    </row>
    <row r="158" spans="1:34" ht="15.6" hidden="1" x14ac:dyDescent="0.3">
      <c r="A158" s="47">
        <f t="shared" si="23"/>
        <v>0</v>
      </c>
      <c r="B158" s="108" t="s">
        <v>2888</v>
      </c>
      <c r="C158" s="94" t="s">
        <v>2412</v>
      </c>
      <c r="D158" s="94" t="s">
        <v>2886</v>
      </c>
      <c r="E158" s="94" t="s">
        <v>2885</v>
      </c>
      <c r="F158" s="94" t="s">
        <v>1060</v>
      </c>
      <c r="G158" s="94" t="s">
        <v>2428</v>
      </c>
      <c r="H158" s="119">
        <v>3</v>
      </c>
      <c r="I158" s="119">
        <v>5</v>
      </c>
      <c r="J158" s="119">
        <f t="shared" si="16"/>
        <v>15</v>
      </c>
      <c r="K158" s="119">
        <v>107100000</v>
      </c>
      <c r="L158" s="119">
        <v>7140000</v>
      </c>
      <c r="M158" s="119">
        <f t="shared" si="17"/>
        <v>6</v>
      </c>
      <c r="N158" s="119">
        <f t="shared" si="18"/>
        <v>42840000</v>
      </c>
      <c r="O158" s="120">
        <v>45107</v>
      </c>
      <c r="P158" s="120">
        <v>46933</v>
      </c>
      <c r="Q158" s="119">
        <v>9</v>
      </c>
      <c r="R158" s="121">
        <v>64260000</v>
      </c>
      <c r="S158" s="119">
        <v>0</v>
      </c>
      <c r="T158" s="121">
        <v>0</v>
      </c>
      <c r="U158" s="119">
        <v>3</v>
      </c>
      <c r="V158" s="121">
        <f t="shared" si="19"/>
        <v>21420000</v>
      </c>
      <c r="W158" s="119">
        <f t="shared" si="20"/>
        <v>6</v>
      </c>
      <c r="X158" s="121">
        <f t="shared" si="21"/>
        <v>42840000</v>
      </c>
      <c r="Y158" s="122" t="s">
        <v>2427</v>
      </c>
      <c r="Z158" s="123" t="s">
        <v>2407</v>
      </c>
      <c r="AA158" s="123" t="s">
        <v>2406</v>
      </c>
      <c r="AB158" s="123" t="s">
        <v>2372</v>
      </c>
      <c r="AC158" s="124" t="s">
        <v>10</v>
      </c>
      <c r="AD158" s="110">
        <f>COUNTIF('KK1. Movies'!AI:AI,'TK 15661.Bản quyền phim '!F158)</f>
        <v>0</v>
      </c>
      <c r="AE158" s="110">
        <f>COUNTIF('KK2. Series'!AM:AM,'TK 15661.Bản quyền phim '!F158)</f>
        <v>1</v>
      </c>
      <c r="AF158" s="110">
        <f>COUNTIF('KK3. Kids'!AF:AF,'TK 15661.Bản quyền phim '!F158)</f>
        <v>0</v>
      </c>
      <c r="AG158" s="110"/>
      <c r="AH158" s="110" t="str">
        <f t="shared" si="22"/>
        <v>OK</v>
      </c>
    </row>
    <row r="159" spans="1:34" ht="15.6" hidden="1" x14ac:dyDescent="0.3">
      <c r="A159" s="47">
        <f t="shared" si="23"/>
        <v>0</v>
      </c>
      <c r="B159" s="108" t="s">
        <v>2887</v>
      </c>
      <c r="C159" s="94" t="s">
        <v>2412</v>
      </c>
      <c r="D159" s="94" t="s">
        <v>2886</v>
      </c>
      <c r="E159" s="94" t="s">
        <v>2885</v>
      </c>
      <c r="F159" s="94" t="s">
        <v>891</v>
      </c>
      <c r="G159" s="94" t="s">
        <v>2428</v>
      </c>
      <c r="H159" s="119">
        <v>10</v>
      </c>
      <c r="I159" s="119">
        <v>5</v>
      </c>
      <c r="J159" s="119">
        <f t="shared" si="16"/>
        <v>50</v>
      </c>
      <c r="K159" s="119">
        <v>476000000</v>
      </c>
      <c r="L159" s="119">
        <v>9520000</v>
      </c>
      <c r="M159" s="119">
        <f t="shared" si="17"/>
        <v>20</v>
      </c>
      <c r="N159" s="119">
        <f t="shared" si="18"/>
        <v>190400000</v>
      </c>
      <c r="O159" s="120">
        <v>45107</v>
      </c>
      <c r="P159" s="120">
        <v>46933</v>
      </c>
      <c r="Q159" s="119">
        <v>30</v>
      </c>
      <c r="R159" s="121">
        <v>285600000</v>
      </c>
      <c r="S159" s="119">
        <v>0</v>
      </c>
      <c r="T159" s="121">
        <v>0</v>
      </c>
      <c r="U159" s="119">
        <v>10</v>
      </c>
      <c r="V159" s="121">
        <f t="shared" si="19"/>
        <v>95200000</v>
      </c>
      <c r="W159" s="119">
        <f t="shared" si="20"/>
        <v>20</v>
      </c>
      <c r="X159" s="121">
        <f t="shared" si="21"/>
        <v>190400000</v>
      </c>
      <c r="Y159" s="122" t="s">
        <v>2427</v>
      </c>
      <c r="Z159" s="123" t="s">
        <v>2407</v>
      </c>
      <c r="AA159" s="123" t="s">
        <v>2406</v>
      </c>
      <c r="AB159" s="123" t="s">
        <v>2372</v>
      </c>
      <c r="AC159" s="124" t="s">
        <v>10</v>
      </c>
      <c r="AD159" s="110">
        <f>COUNTIF('KK1. Movies'!AI:AI,'TK 15661.Bản quyền phim '!F159)</f>
        <v>0</v>
      </c>
      <c r="AE159" s="110">
        <f>COUNTIF('KK2. Series'!AM:AM,'TK 15661.Bản quyền phim '!F159)</f>
        <v>1</v>
      </c>
      <c r="AF159" s="110">
        <f>COUNTIF('KK3. Kids'!AF:AF,'TK 15661.Bản quyền phim '!F159)</f>
        <v>0</v>
      </c>
      <c r="AG159" s="110"/>
      <c r="AH159" s="110" t="str">
        <f t="shared" si="22"/>
        <v>OK</v>
      </c>
    </row>
    <row r="160" spans="1:34" ht="15.6" hidden="1" x14ac:dyDescent="0.3">
      <c r="A160" s="47">
        <f t="shared" si="23"/>
        <v>0</v>
      </c>
      <c r="B160" s="108" t="s">
        <v>2884</v>
      </c>
      <c r="C160" s="94" t="s">
        <v>2412</v>
      </c>
      <c r="D160" s="94" t="s">
        <v>2431</v>
      </c>
      <c r="E160" s="94" t="s">
        <v>2430</v>
      </c>
      <c r="F160" s="94" t="s">
        <v>921</v>
      </c>
      <c r="G160" s="94" t="s">
        <v>2428</v>
      </c>
      <c r="H160" s="119">
        <v>17</v>
      </c>
      <c r="I160" s="119">
        <v>4</v>
      </c>
      <c r="J160" s="119">
        <f t="shared" si="16"/>
        <v>68</v>
      </c>
      <c r="K160" s="119">
        <v>3626666666.6666665</v>
      </c>
      <c r="L160" s="119">
        <v>53333333.333333336</v>
      </c>
      <c r="M160" s="119">
        <f t="shared" si="17"/>
        <v>34</v>
      </c>
      <c r="N160" s="119">
        <f t="shared" si="18"/>
        <v>1813333333.3333333</v>
      </c>
      <c r="O160" s="120">
        <v>45184</v>
      </c>
      <c r="P160" s="120">
        <v>46644</v>
      </c>
      <c r="Q160" s="119">
        <v>34</v>
      </c>
      <c r="R160" s="121">
        <v>1813333333.3333333</v>
      </c>
      <c r="S160" s="119">
        <v>0</v>
      </c>
      <c r="T160" s="121">
        <v>0</v>
      </c>
      <c r="U160" s="119">
        <v>17</v>
      </c>
      <c r="V160" s="121">
        <f t="shared" si="19"/>
        <v>906666666.66666675</v>
      </c>
      <c r="W160" s="119">
        <f t="shared" si="20"/>
        <v>17</v>
      </c>
      <c r="X160" s="121">
        <f t="shared" si="21"/>
        <v>906666666.66666651</v>
      </c>
      <c r="Y160" s="122" t="s">
        <v>2427</v>
      </c>
      <c r="Z160" s="123" t="s">
        <v>2407</v>
      </c>
      <c r="AA160" s="123" t="s">
        <v>2406</v>
      </c>
      <c r="AB160" s="123" t="s">
        <v>2372</v>
      </c>
      <c r="AC160" s="124" t="s">
        <v>10</v>
      </c>
      <c r="AD160" s="110">
        <f>COUNTIF('KK1. Movies'!AI:AI,'TK 15661.Bản quyền phim '!F160)</f>
        <v>0</v>
      </c>
      <c r="AE160" s="110">
        <f>COUNTIF('KK2. Series'!AM:AM,'TK 15661.Bản quyền phim '!F160)</f>
        <v>1</v>
      </c>
      <c r="AF160" s="110">
        <f>COUNTIF('KK3. Kids'!AF:AF,'TK 15661.Bản quyền phim '!F160)</f>
        <v>0</v>
      </c>
      <c r="AG160" s="110"/>
      <c r="AH160" s="110" t="str">
        <f t="shared" si="22"/>
        <v>OK</v>
      </c>
    </row>
    <row r="161" spans="1:34" ht="15.6" hidden="1" x14ac:dyDescent="0.3">
      <c r="A161" s="47">
        <f t="shared" si="23"/>
        <v>0</v>
      </c>
      <c r="B161" s="108" t="s">
        <v>2883</v>
      </c>
      <c r="C161" s="94" t="s">
        <v>2412</v>
      </c>
      <c r="D161" s="94" t="s">
        <v>2431</v>
      </c>
      <c r="E161" s="94" t="s">
        <v>2430</v>
      </c>
      <c r="F161" s="94" t="s">
        <v>865</v>
      </c>
      <c r="G161" s="94" t="s">
        <v>2428</v>
      </c>
      <c r="H161" s="119">
        <v>16</v>
      </c>
      <c r="I161" s="119">
        <v>4</v>
      </c>
      <c r="J161" s="119">
        <f t="shared" si="16"/>
        <v>64</v>
      </c>
      <c r="K161" s="119">
        <v>1280000000</v>
      </c>
      <c r="L161" s="119">
        <v>20000000</v>
      </c>
      <c r="M161" s="119">
        <f t="shared" si="17"/>
        <v>32</v>
      </c>
      <c r="N161" s="119">
        <f t="shared" si="18"/>
        <v>640000000</v>
      </c>
      <c r="O161" s="120">
        <v>45229</v>
      </c>
      <c r="P161" s="120">
        <v>46689</v>
      </c>
      <c r="Q161" s="119">
        <v>32</v>
      </c>
      <c r="R161" s="121">
        <v>640000000</v>
      </c>
      <c r="S161" s="119">
        <v>0</v>
      </c>
      <c r="T161" s="121">
        <v>0</v>
      </c>
      <c r="U161" s="119">
        <v>16</v>
      </c>
      <c r="V161" s="121">
        <f t="shared" si="19"/>
        <v>320000000</v>
      </c>
      <c r="W161" s="119">
        <f t="shared" si="20"/>
        <v>16</v>
      </c>
      <c r="X161" s="121">
        <f t="shared" si="21"/>
        <v>320000000</v>
      </c>
      <c r="Y161" s="122" t="s">
        <v>2427</v>
      </c>
      <c r="Z161" s="123" t="s">
        <v>2407</v>
      </c>
      <c r="AA161" s="123" t="s">
        <v>2406</v>
      </c>
      <c r="AB161" s="123" t="s">
        <v>2372</v>
      </c>
      <c r="AC161" s="124" t="s">
        <v>10</v>
      </c>
      <c r="AD161" s="110">
        <f>COUNTIF('KK1. Movies'!AI:AI,'TK 15661.Bản quyền phim '!F161)</f>
        <v>0</v>
      </c>
      <c r="AE161" s="110">
        <f>COUNTIF('KK2. Series'!AM:AM,'TK 15661.Bản quyền phim '!F161)</f>
        <v>1</v>
      </c>
      <c r="AF161" s="110">
        <f>COUNTIF('KK3. Kids'!AF:AF,'TK 15661.Bản quyền phim '!F161)</f>
        <v>0</v>
      </c>
      <c r="AG161" s="110"/>
      <c r="AH161" s="110" t="str">
        <f t="shared" si="22"/>
        <v>OK</v>
      </c>
    </row>
    <row r="162" spans="1:34" hidden="1" x14ac:dyDescent="0.2">
      <c r="A162" s="49"/>
      <c r="B162" s="108" t="s">
        <v>2882</v>
      </c>
      <c r="C162" s="94" t="s">
        <v>2412</v>
      </c>
      <c r="D162" s="94" t="s">
        <v>2880</v>
      </c>
      <c r="E162" s="94" t="s">
        <v>2879</v>
      </c>
      <c r="F162" s="94" t="s">
        <v>231</v>
      </c>
      <c r="G162" s="94" t="s">
        <v>2409</v>
      </c>
      <c r="H162" s="119">
        <v>26</v>
      </c>
      <c r="I162" s="119">
        <v>3</v>
      </c>
      <c r="J162" s="119">
        <f t="shared" si="16"/>
        <v>78</v>
      </c>
      <c r="K162" s="119">
        <v>93600000</v>
      </c>
      <c r="L162" s="119">
        <v>1200000</v>
      </c>
      <c r="M162" s="119">
        <f t="shared" si="17"/>
        <v>52</v>
      </c>
      <c r="N162" s="119">
        <f t="shared" si="18"/>
        <v>62400000</v>
      </c>
      <c r="O162" s="120">
        <v>45261</v>
      </c>
      <c r="P162" s="120">
        <v>46356</v>
      </c>
      <c r="Q162" s="119">
        <v>26</v>
      </c>
      <c r="R162" s="121">
        <v>31200000</v>
      </c>
      <c r="S162" s="119">
        <v>0</v>
      </c>
      <c r="T162" s="121">
        <v>0</v>
      </c>
      <c r="U162" s="119">
        <v>26</v>
      </c>
      <c r="V162" s="121">
        <f t="shared" si="19"/>
        <v>31200000</v>
      </c>
      <c r="W162" s="119">
        <f t="shared" si="20"/>
        <v>0</v>
      </c>
      <c r="X162" s="121">
        <f t="shared" si="21"/>
        <v>0</v>
      </c>
      <c r="Y162" s="122" t="s">
        <v>2408</v>
      </c>
      <c r="Z162" s="123" t="s">
        <v>2407</v>
      </c>
      <c r="AA162" s="123" t="s">
        <v>2406</v>
      </c>
      <c r="AB162" s="123" t="s">
        <v>2372</v>
      </c>
      <c r="AC162" s="123" t="s">
        <v>8</v>
      </c>
      <c r="AD162" s="110">
        <f>COUNTIF('KK1. Movies'!AI:AI,'TK 15661.Bản quyền phim '!F162)</f>
        <v>0</v>
      </c>
      <c r="AE162" s="110">
        <f>COUNTIF('KK2. Series'!AM:AM,'TK 15661.Bản quyền phim '!F162)</f>
        <v>0</v>
      </c>
      <c r="AF162" s="110">
        <f>COUNTIF('KK3. Kids'!AF:AF,'TK 15661.Bản quyền phim '!F162)</f>
        <v>1</v>
      </c>
      <c r="AG162" s="110"/>
      <c r="AH162" s="110" t="str">
        <f t="shared" si="22"/>
        <v>OK</v>
      </c>
    </row>
    <row r="163" spans="1:34" hidden="1" x14ac:dyDescent="0.2">
      <c r="A163" s="49"/>
      <c r="B163" s="108" t="s">
        <v>2881</v>
      </c>
      <c r="C163" s="94" t="s">
        <v>2412</v>
      </c>
      <c r="D163" s="94" t="s">
        <v>2880</v>
      </c>
      <c r="E163" s="94" t="s">
        <v>2879</v>
      </c>
      <c r="F163" s="94" t="s">
        <v>225</v>
      </c>
      <c r="G163" s="94" t="s">
        <v>2409</v>
      </c>
      <c r="H163" s="119">
        <v>26</v>
      </c>
      <c r="I163" s="119">
        <v>3</v>
      </c>
      <c r="J163" s="119">
        <f t="shared" si="16"/>
        <v>78</v>
      </c>
      <c r="K163" s="119">
        <v>93600000</v>
      </c>
      <c r="L163" s="119">
        <v>1200000</v>
      </c>
      <c r="M163" s="119">
        <f t="shared" si="17"/>
        <v>52</v>
      </c>
      <c r="N163" s="119">
        <f t="shared" si="18"/>
        <v>62400000</v>
      </c>
      <c r="O163" s="120">
        <v>45261</v>
      </c>
      <c r="P163" s="120">
        <v>46356</v>
      </c>
      <c r="Q163" s="119">
        <v>26</v>
      </c>
      <c r="R163" s="121">
        <v>31200000</v>
      </c>
      <c r="S163" s="119">
        <v>0</v>
      </c>
      <c r="T163" s="121">
        <v>0</v>
      </c>
      <c r="U163" s="119">
        <v>26</v>
      </c>
      <c r="V163" s="121">
        <f t="shared" si="19"/>
        <v>31200000</v>
      </c>
      <c r="W163" s="119">
        <f t="shared" si="20"/>
        <v>0</v>
      </c>
      <c r="X163" s="121">
        <f t="shared" si="21"/>
        <v>0</v>
      </c>
      <c r="Y163" s="122" t="s">
        <v>2408</v>
      </c>
      <c r="Z163" s="123" t="s">
        <v>2407</v>
      </c>
      <c r="AA163" s="123" t="s">
        <v>2406</v>
      </c>
      <c r="AB163" s="123" t="s">
        <v>2372</v>
      </c>
      <c r="AC163" s="123" t="s">
        <v>8</v>
      </c>
      <c r="AD163" s="110">
        <f>COUNTIF('KK1. Movies'!AI:AI,'TK 15661.Bản quyền phim '!F163)</f>
        <v>0</v>
      </c>
      <c r="AE163" s="110">
        <f>COUNTIF('KK2. Series'!AM:AM,'TK 15661.Bản quyền phim '!F163)</f>
        <v>0</v>
      </c>
      <c r="AF163" s="110">
        <f>COUNTIF('KK3. Kids'!AF:AF,'TK 15661.Bản quyền phim '!F163)</f>
        <v>1</v>
      </c>
      <c r="AG163" s="110"/>
      <c r="AH163" s="110" t="str">
        <f t="shared" si="22"/>
        <v>OK</v>
      </c>
    </row>
    <row r="164" spans="1:34" x14ac:dyDescent="0.2">
      <c r="A164" s="49"/>
      <c r="B164" s="108" t="s">
        <v>2878</v>
      </c>
      <c r="C164" s="94" t="s">
        <v>2412</v>
      </c>
      <c r="D164" s="94" t="s">
        <v>2876</v>
      </c>
      <c r="E164" s="94" t="s">
        <v>2875</v>
      </c>
      <c r="F164" s="94" t="s">
        <v>233</v>
      </c>
      <c r="G164" s="94" t="s">
        <v>2409</v>
      </c>
      <c r="H164" s="119">
        <v>52</v>
      </c>
      <c r="I164" s="119">
        <v>3</v>
      </c>
      <c r="J164" s="119">
        <f t="shared" si="16"/>
        <v>156</v>
      </c>
      <c r="K164" s="119">
        <v>247416000</v>
      </c>
      <c r="L164" s="119">
        <v>1586000</v>
      </c>
      <c r="M164" s="119">
        <f t="shared" si="17"/>
        <v>104</v>
      </c>
      <c r="N164" s="119">
        <f t="shared" si="18"/>
        <v>164944000</v>
      </c>
      <c r="O164" s="120">
        <v>45200</v>
      </c>
      <c r="P164" s="120">
        <v>46295</v>
      </c>
      <c r="Q164" s="119">
        <v>52</v>
      </c>
      <c r="R164" s="121">
        <v>82472000</v>
      </c>
      <c r="S164" s="119">
        <v>0</v>
      </c>
      <c r="T164" s="121">
        <v>0</v>
      </c>
      <c r="U164" s="119">
        <v>52</v>
      </c>
      <c r="V164" s="121">
        <f t="shared" si="19"/>
        <v>82472000</v>
      </c>
      <c r="W164" s="119">
        <f t="shared" si="20"/>
        <v>0</v>
      </c>
      <c r="X164" s="121">
        <f t="shared" si="21"/>
        <v>0</v>
      </c>
      <c r="Y164" s="122" t="s">
        <v>2408</v>
      </c>
      <c r="Z164" s="123" t="s">
        <v>2407</v>
      </c>
      <c r="AA164" s="123" t="s">
        <v>2406</v>
      </c>
      <c r="AB164" s="123" t="s">
        <v>2372</v>
      </c>
      <c r="AC164" s="123" t="s">
        <v>8</v>
      </c>
      <c r="AD164" s="110">
        <f>COUNTIF('KK1. Movies'!AI:AI,'TK 15661.Bản quyền phim '!F164)</f>
        <v>0</v>
      </c>
      <c r="AE164" s="110">
        <f>COUNTIF('KK2. Series'!AM:AM,'TK 15661.Bản quyền phim '!F164)</f>
        <v>0</v>
      </c>
      <c r="AF164" s="110">
        <f>COUNTIF('KK3. Kids'!AF:AF,'TK 15661.Bản quyền phim '!F164)</f>
        <v>2</v>
      </c>
      <c r="AG164" s="110"/>
      <c r="AH164" s="110" t="str">
        <f t="shared" si="22"/>
        <v>OK</v>
      </c>
    </row>
    <row r="165" spans="1:34" hidden="1" x14ac:dyDescent="0.2">
      <c r="A165" s="47">
        <f>(U165-H165)*L165</f>
        <v>0</v>
      </c>
      <c r="B165" s="108" t="s">
        <v>2877</v>
      </c>
      <c r="C165" s="94" t="s">
        <v>2412</v>
      </c>
      <c r="D165" s="94" t="s">
        <v>2876</v>
      </c>
      <c r="E165" s="94" t="s">
        <v>2875</v>
      </c>
      <c r="F165" s="94" t="s">
        <v>2874</v>
      </c>
      <c r="G165" s="94" t="s">
        <v>2409</v>
      </c>
      <c r="H165" s="119">
        <v>1</v>
      </c>
      <c r="I165" s="119">
        <v>3</v>
      </c>
      <c r="J165" s="119">
        <f t="shared" si="16"/>
        <v>3</v>
      </c>
      <c r="K165" s="119">
        <v>25864000</v>
      </c>
      <c r="L165" s="119">
        <v>8621333.3333333321</v>
      </c>
      <c r="M165" s="119">
        <f t="shared" si="17"/>
        <v>2</v>
      </c>
      <c r="N165" s="119">
        <f t="shared" si="18"/>
        <v>17242666.666666664</v>
      </c>
      <c r="O165" s="120">
        <v>45200</v>
      </c>
      <c r="P165" s="120">
        <v>46295</v>
      </c>
      <c r="Q165" s="119">
        <v>1</v>
      </c>
      <c r="R165" s="121">
        <v>8621333.3333333358</v>
      </c>
      <c r="S165" s="119">
        <v>0</v>
      </c>
      <c r="T165" s="121">
        <v>0</v>
      </c>
      <c r="U165" s="119">
        <v>1</v>
      </c>
      <c r="V165" s="121">
        <f t="shared" si="19"/>
        <v>8621333.3333333321</v>
      </c>
      <c r="W165" s="119">
        <f t="shared" si="20"/>
        <v>0</v>
      </c>
      <c r="X165" s="121">
        <f t="shared" si="21"/>
        <v>0</v>
      </c>
      <c r="Y165" s="122" t="s">
        <v>2408</v>
      </c>
      <c r="Z165" s="123" t="s">
        <v>2407</v>
      </c>
      <c r="AA165" s="123" t="s">
        <v>2406</v>
      </c>
      <c r="AB165" s="123" t="s">
        <v>2372</v>
      </c>
      <c r="AC165" s="123"/>
      <c r="AD165" s="110">
        <f>COUNTIF('KK1. Movies'!AI:AI,'TK 15661.Bản quyền phim '!F165)</f>
        <v>0</v>
      </c>
      <c r="AE165" s="110">
        <f>COUNTIF('KK2. Series'!AM:AM,'TK 15661.Bản quyền phim '!F165)</f>
        <v>0</v>
      </c>
      <c r="AF165" s="110">
        <f>COUNTIF('KK3. Kids'!AF:AF,'TK 15661.Bản quyền phim '!F165)</f>
        <v>0</v>
      </c>
      <c r="AG165" s="110"/>
      <c r="AH165" s="110">
        <f t="shared" si="22"/>
        <v>0</v>
      </c>
    </row>
    <row r="166" spans="1:34" ht="15.6" hidden="1" x14ac:dyDescent="0.3">
      <c r="A166" s="47">
        <f>(U166-H166)*L166</f>
        <v>0</v>
      </c>
      <c r="B166" s="108" t="s">
        <v>2873</v>
      </c>
      <c r="C166" s="94" t="s">
        <v>2412</v>
      </c>
      <c r="D166" s="94" t="s">
        <v>2630</v>
      </c>
      <c r="E166" s="94" t="s">
        <v>2629</v>
      </c>
      <c r="F166" s="94" t="s">
        <v>1040</v>
      </c>
      <c r="G166" s="94" t="s">
        <v>2428</v>
      </c>
      <c r="H166" s="119">
        <v>36</v>
      </c>
      <c r="I166" s="119">
        <v>5</v>
      </c>
      <c r="J166" s="119">
        <f t="shared" si="16"/>
        <v>180</v>
      </c>
      <c r="K166" s="119">
        <v>3416000000</v>
      </c>
      <c r="L166" s="119">
        <v>18977777.77777778</v>
      </c>
      <c r="M166" s="119">
        <f t="shared" si="17"/>
        <v>72</v>
      </c>
      <c r="N166" s="119">
        <f t="shared" si="18"/>
        <v>1366400000</v>
      </c>
      <c r="O166" s="120">
        <v>45233</v>
      </c>
      <c r="P166" s="120">
        <v>47059</v>
      </c>
      <c r="Q166" s="119">
        <v>108</v>
      </c>
      <c r="R166" s="121">
        <v>2049600000</v>
      </c>
      <c r="S166" s="119">
        <v>0</v>
      </c>
      <c r="T166" s="121">
        <v>0</v>
      </c>
      <c r="U166" s="119">
        <v>36</v>
      </c>
      <c r="V166" s="121">
        <f t="shared" si="19"/>
        <v>683200000.00000012</v>
      </c>
      <c r="W166" s="119">
        <f t="shared" si="20"/>
        <v>72</v>
      </c>
      <c r="X166" s="121">
        <f t="shared" si="21"/>
        <v>1366400000</v>
      </c>
      <c r="Y166" s="122" t="s">
        <v>2427</v>
      </c>
      <c r="Z166" s="123" t="s">
        <v>2407</v>
      </c>
      <c r="AA166" s="123" t="s">
        <v>2406</v>
      </c>
      <c r="AB166" s="123" t="s">
        <v>2372</v>
      </c>
      <c r="AC166" s="124" t="s">
        <v>10</v>
      </c>
      <c r="AD166" s="110">
        <f>COUNTIF('KK1. Movies'!AI:AI,'TK 15661.Bản quyền phim '!F166)</f>
        <v>0</v>
      </c>
      <c r="AE166" s="110">
        <f>COUNTIF('KK2. Series'!AM:AM,'TK 15661.Bản quyền phim '!F166)</f>
        <v>1</v>
      </c>
      <c r="AF166" s="110">
        <f>COUNTIF('KK3. Kids'!AF:AF,'TK 15661.Bản quyền phim '!F166)</f>
        <v>0</v>
      </c>
      <c r="AG166" s="110"/>
      <c r="AH166" s="110" t="str">
        <f t="shared" si="22"/>
        <v>OK</v>
      </c>
    </row>
    <row r="167" spans="1:34" ht="15.6" hidden="1" x14ac:dyDescent="0.3">
      <c r="A167" s="47">
        <f>(U167-H167)*L167</f>
        <v>0</v>
      </c>
      <c r="B167" s="108" t="s">
        <v>2872</v>
      </c>
      <c r="C167" s="94" t="s">
        <v>2412</v>
      </c>
      <c r="D167" s="94" t="s">
        <v>2871</v>
      </c>
      <c r="E167" s="94" t="s">
        <v>2870</v>
      </c>
      <c r="F167" s="94" t="s">
        <v>2869</v>
      </c>
      <c r="G167" s="94" t="s">
        <v>2428</v>
      </c>
      <c r="H167" s="119">
        <v>12</v>
      </c>
      <c r="I167" s="119">
        <v>4</v>
      </c>
      <c r="J167" s="119">
        <f t="shared" si="16"/>
        <v>48</v>
      </c>
      <c r="K167" s="119">
        <v>439200000</v>
      </c>
      <c r="L167" s="119">
        <v>9150000</v>
      </c>
      <c r="M167" s="119">
        <f t="shared" si="17"/>
        <v>24</v>
      </c>
      <c r="N167" s="119">
        <f t="shared" si="18"/>
        <v>219600000</v>
      </c>
      <c r="O167" s="120">
        <v>45264</v>
      </c>
      <c r="P167" s="120">
        <v>46724</v>
      </c>
      <c r="Q167" s="119">
        <v>24</v>
      </c>
      <c r="R167" s="121">
        <v>219600000</v>
      </c>
      <c r="S167" s="119">
        <v>0</v>
      </c>
      <c r="T167" s="121">
        <v>0</v>
      </c>
      <c r="U167" s="119">
        <v>12</v>
      </c>
      <c r="V167" s="121">
        <f t="shared" si="19"/>
        <v>109800000</v>
      </c>
      <c r="W167" s="119">
        <f t="shared" si="20"/>
        <v>12</v>
      </c>
      <c r="X167" s="121">
        <f t="shared" si="21"/>
        <v>109800000</v>
      </c>
      <c r="Y167" s="122" t="s">
        <v>2427</v>
      </c>
      <c r="Z167" s="123" t="s">
        <v>2407</v>
      </c>
      <c r="AA167" s="123" t="s">
        <v>2406</v>
      </c>
      <c r="AB167" s="123" t="s">
        <v>2372</v>
      </c>
      <c r="AC167" s="124" t="s">
        <v>10</v>
      </c>
      <c r="AD167" s="110">
        <f>COUNTIF('KK1. Movies'!AI:AI,'TK 15661.Bản quyền phim '!F167)</f>
        <v>0</v>
      </c>
      <c r="AE167" s="110">
        <f>COUNTIF('KK2. Series'!AM:AM,'TK 15661.Bản quyền phim '!F167)</f>
        <v>1</v>
      </c>
      <c r="AF167" s="110">
        <f>COUNTIF('KK3. Kids'!AF:AF,'TK 15661.Bản quyền phim '!F167)</f>
        <v>0</v>
      </c>
      <c r="AG167" s="110"/>
      <c r="AH167" s="110" t="str">
        <f t="shared" si="22"/>
        <v>OK</v>
      </c>
    </row>
    <row r="168" spans="1:34" ht="15.6" hidden="1" x14ac:dyDescent="0.3">
      <c r="A168" s="47">
        <f>(U168-H168)*L168</f>
        <v>0</v>
      </c>
      <c r="B168" s="108" t="s">
        <v>2868</v>
      </c>
      <c r="C168" s="94" t="s">
        <v>2412</v>
      </c>
      <c r="D168" s="94" t="s">
        <v>2702</v>
      </c>
      <c r="E168" s="94" t="s">
        <v>2701</v>
      </c>
      <c r="F168" s="94" t="s">
        <v>1026</v>
      </c>
      <c r="G168" s="94" t="s">
        <v>2428</v>
      </c>
      <c r="H168" s="119">
        <v>40</v>
      </c>
      <c r="I168" s="119">
        <v>5</v>
      </c>
      <c r="J168" s="119">
        <f t="shared" si="16"/>
        <v>200</v>
      </c>
      <c r="K168" s="119">
        <v>1952000000</v>
      </c>
      <c r="L168" s="119">
        <v>9760000</v>
      </c>
      <c r="M168" s="119">
        <f t="shared" si="17"/>
        <v>40</v>
      </c>
      <c r="N168" s="119">
        <f t="shared" si="18"/>
        <v>390400000</v>
      </c>
      <c r="O168" s="120">
        <v>45287</v>
      </c>
      <c r="P168" s="120">
        <v>47113</v>
      </c>
      <c r="Q168" s="119">
        <v>160</v>
      </c>
      <c r="R168" s="121">
        <v>1561600000</v>
      </c>
      <c r="S168" s="119">
        <v>0</v>
      </c>
      <c r="T168" s="121">
        <v>0</v>
      </c>
      <c r="U168" s="119">
        <v>40</v>
      </c>
      <c r="V168" s="121">
        <f t="shared" si="19"/>
        <v>390400000</v>
      </c>
      <c r="W168" s="119">
        <f t="shared" si="20"/>
        <v>120</v>
      </c>
      <c r="X168" s="121">
        <f t="shared" si="21"/>
        <v>1171200000</v>
      </c>
      <c r="Y168" s="122" t="s">
        <v>2427</v>
      </c>
      <c r="Z168" s="123" t="s">
        <v>2407</v>
      </c>
      <c r="AA168" s="123" t="s">
        <v>2406</v>
      </c>
      <c r="AB168" s="123" t="s">
        <v>2372</v>
      </c>
      <c r="AC168" s="124" t="s">
        <v>10</v>
      </c>
      <c r="AD168" s="110">
        <f>COUNTIF('KK1. Movies'!AI:AI,'TK 15661.Bản quyền phim '!F168)</f>
        <v>0</v>
      </c>
      <c r="AE168" s="110">
        <f>COUNTIF('KK2. Series'!AM:AM,'TK 15661.Bản quyền phim '!F168)</f>
        <v>1</v>
      </c>
      <c r="AF168" s="110">
        <f>COUNTIF('KK3. Kids'!AF:AF,'TK 15661.Bản quyền phim '!F168)</f>
        <v>0</v>
      </c>
      <c r="AG168" s="110"/>
      <c r="AH168" s="110" t="str">
        <f t="shared" si="22"/>
        <v>OK</v>
      </c>
    </row>
    <row r="169" spans="1:34" ht="15.6" hidden="1" x14ac:dyDescent="0.3">
      <c r="A169" s="43"/>
      <c r="B169" s="108" t="s">
        <v>2867</v>
      </c>
      <c r="C169" s="94" t="s">
        <v>2493</v>
      </c>
      <c r="D169" s="94" t="s">
        <v>2590</v>
      </c>
      <c r="E169" s="94" t="s">
        <v>2589</v>
      </c>
      <c r="F169" s="94" t="s">
        <v>1937</v>
      </c>
      <c r="G169" s="94" t="s">
        <v>2417</v>
      </c>
      <c r="H169" s="119">
        <v>1</v>
      </c>
      <c r="I169" s="119">
        <v>3</v>
      </c>
      <c r="J169" s="119">
        <f t="shared" si="16"/>
        <v>3</v>
      </c>
      <c r="K169" s="119">
        <v>95238095</v>
      </c>
      <c r="L169" s="119">
        <v>31746031.666666668</v>
      </c>
      <c r="M169" s="119">
        <f t="shared" si="17"/>
        <v>1</v>
      </c>
      <c r="N169" s="119">
        <f t="shared" si="18"/>
        <v>31746031.666666672</v>
      </c>
      <c r="O169" s="120">
        <v>45318</v>
      </c>
      <c r="P169" s="120">
        <v>46403</v>
      </c>
      <c r="Q169" s="119">
        <v>2</v>
      </c>
      <c r="R169" s="121">
        <v>63492063.333333328</v>
      </c>
      <c r="S169" s="119">
        <v>0</v>
      </c>
      <c r="T169" s="121">
        <v>0</v>
      </c>
      <c r="U169" s="119">
        <v>1</v>
      </c>
      <c r="V169" s="121">
        <f t="shared" si="19"/>
        <v>31746031.666666668</v>
      </c>
      <c r="W169" s="119">
        <f t="shared" si="20"/>
        <v>1</v>
      </c>
      <c r="X169" s="121">
        <f t="shared" si="21"/>
        <v>31746031.66666666</v>
      </c>
      <c r="Y169" s="122" t="s">
        <v>2416</v>
      </c>
      <c r="Z169" s="123" t="s">
        <v>2407</v>
      </c>
      <c r="AA169" s="123" t="s">
        <v>2406</v>
      </c>
      <c r="AB169" s="123" t="s">
        <v>2372</v>
      </c>
      <c r="AC169" s="124" t="s">
        <v>12</v>
      </c>
      <c r="AD169" s="110">
        <f>COUNTIF('KK1. Movies'!AI:AI,'TK 15661.Bản quyền phim '!F169)</f>
        <v>1</v>
      </c>
      <c r="AE169" s="110">
        <f>COUNTIF('KK2. Series'!AM:AM,'TK 15661.Bản quyền phim '!F169)</f>
        <v>0</v>
      </c>
      <c r="AF169" s="110">
        <f>COUNTIF('KK3. Kids'!AF:AF,'TK 15661.Bản quyền phim '!F169)</f>
        <v>0</v>
      </c>
      <c r="AG169" s="110"/>
      <c r="AH169" s="110" t="str">
        <f t="shared" si="22"/>
        <v>OK</v>
      </c>
    </row>
    <row r="170" spans="1:34" ht="15.6" hidden="1" x14ac:dyDescent="0.3">
      <c r="A170" s="43"/>
      <c r="B170" s="108" t="s">
        <v>2866</v>
      </c>
      <c r="C170" s="94" t="s">
        <v>2493</v>
      </c>
      <c r="D170" s="94" t="s">
        <v>2590</v>
      </c>
      <c r="E170" s="94" t="s">
        <v>2589</v>
      </c>
      <c r="F170" s="94" t="s">
        <v>2260</v>
      </c>
      <c r="G170" s="94" t="s">
        <v>2417</v>
      </c>
      <c r="H170" s="119">
        <v>1</v>
      </c>
      <c r="I170" s="119">
        <v>3</v>
      </c>
      <c r="J170" s="119">
        <f t="shared" si="16"/>
        <v>3</v>
      </c>
      <c r="K170" s="119">
        <v>57142857</v>
      </c>
      <c r="L170" s="119">
        <v>19047619</v>
      </c>
      <c r="M170" s="119">
        <f t="shared" si="17"/>
        <v>1</v>
      </c>
      <c r="N170" s="119">
        <f t="shared" si="18"/>
        <v>19047619</v>
      </c>
      <c r="O170" s="120">
        <v>45304</v>
      </c>
      <c r="P170" s="120">
        <v>46399</v>
      </c>
      <c r="Q170" s="119">
        <v>2</v>
      </c>
      <c r="R170" s="121">
        <v>38095238</v>
      </c>
      <c r="S170" s="119">
        <v>0</v>
      </c>
      <c r="T170" s="121">
        <v>0</v>
      </c>
      <c r="U170" s="119">
        <v>1</v>
      </c>
      <c r="V170" s="121">
        <f t="shared" si="19"/>
        <v>19047619</v>
      </c>
      <c r="W170" s="119">
        <f t="shared" si="20"/>
        <v>1</v>
      </c>
      <c r="X170" s="121">
        <f t="shared" si="21"/>
        <v>19047619</v>
      </c>
      <c r="Y170" s="122" t="s">
        <v>2416</v>
      </c>
      <c r="Z170" s="123" t="s">
        <v>2407</v>
      </c>
      <c r="AA170" s="123" t="s">
        <v>2406</v>
      </c>
      <c r="AB170" s="123" t="s">
        <v>2372</v>
      </c>
      <c r="AC170" s="124" t="s">
        <v>12</v>
      </c>
      <c r="AD170" s="110">
        <f>COUNTIF('KK1. Movies'!AI:AI,'TK 15661.Bản quyền phim '!F170)</f>
        <v>1</v>
      </c>
      <c r="AE170" s="110">
        <f>COUNTIF('KK2. Series'!AM:AM,'TK 15661.Bản quyền phim '!F170)</f>
        <v>0</v>
      </c>
      <c r="AF170" s="110">
        <f>COUNTIF('KK3. Kids'!AF:AF,'TK 15661.Bản quyền phim '!F170)</f>
        <v>0</v>
      </c>
      <c r="AG170" s="110"/>
      <c r="AH170" s="110" t="str">
        <f t="shared" si="22"/>
        <v>OK</v>
      </c>
    </row>
    <row r="171" spans="1:34" ht="15.6" hidden="1" x14ac:dyDescent="0.3">
      <c r="A171" s="43"/>
      <c r="B171" s="108" t="s">
        <v>2865</v>
      </c>
      <c r="C171" s="94" t="s">
        <v>2493</v>
      </c>
      <c r="D171" s="94" t="s">
        <v>2590</v>
      </c>
      <c r="E171" s="94" t="s">
        <v>2589</v>
      </c>
      <c r="F171" s="94" t="s">
        <v>1571</v>
      </c>
      <c r="G171" s="94" t="s">
        <v>2417</v>
      </c>
      <c r="H171" s="119">
        <v>1</v>
      </c>
      <c r="I171" s="119">
        <v>3</v>
      </c>
      <c r="J171" s="119">
        <f t="shared" si="16"/>
        <v>3</v>
      </c>
      <c r="K171" s="119">
        <v>104761905</v>
      </c>
      <c r="L171" s="119">
        <v>34920635</v>
      </c>
      <c r="M171" s="119">
        <f t="shared" si="17"/>
        <v>1</v>
      </c>
      <c r="N171" s="119">
        <f t="shared" si="18"/>
        <v>34920635</v>
      </c>
      <c r="O171" s="120">
        <v>45518</v>
      </c>
      <c r="P171" s="120">
        <v>46612</v>
      </c>
      <c r="Q171" s="119">
        <v>2</v>
      </c>
      <c r="R171" s="121">
        <v>69841270</v>
      </c>
      <c r="S171" s="119">
        <v>0</v>
      </c>
      <c r="T171" s="121">
        <v>0</v>
      </c>
      <c r="U171" s="119">
        <v>1</v>
      </c>
      <c r="V171" s="121">
        <f t="shared" si="19"/>
        <v>34920635</v>
      </c>
      <c r="W171" s="119">
        <f t="shared" si="20"/>
        <v>1</v>
      </c>
      <c r="X171" s="121">
        <f t="shared" si="21"/>
        <v>34920635</v>
      </c>
      <c r="Y171" s="122" t="s">
        <v>2416</v>
      </c>
      <c r="Z171" s="123" t="s">
        <v>2407</v>
      </c>
      <c r="AA171" s="123" t="s">
        <v>2406</v>
      </c>
      <c r="AB171" s="123" t="s">
        <v>2372</v>
      </c>
      <c r="AC171" s="124" t="s">
        <v>12</v>
      </c>
      <c r="AD171" s="110">
        <f>COUNTIF('KK1. Movies'!AI:AI,'TK 15661.Bản quyền phim '!F171)</f>
        <v>1</v>
      </c>
      <c r="AE171" s="110">
        <f>COUNTIF('KK2. Series'!AM:AM,'TK 15661.Bản quyền phim '!F171)</f>
        <v>0</v>
      </c>
      <c r="AF171" s="110">
        <f>COUNTIF('KK3. Kids'!AF:AF,'TK 15661.Bản quyền phim '!F171)</f>
        <v>0</v>
      </c>
      <c r="AG171" s="110"/>
      <c r="AH171" s="110" t="str">
        <f t="shared" si="22"/>
        <v>OK</v>
      </c>
    </row>
    <row r="172" spans="1:34" ht="15.6" hidden="1" x14ac:dyDescent="0.3">
      <c r="A172" s="43"/>
      <c r="B172" s="108" t="s">
        <v>2864</v>
      </c>
      <c r="C172" s="94" t="s">
        <v>2493</v>
      </c>
      <c r="D172" s="94" t="s">
        <v>2590</v>
      </c>
      <c r="E172" s="94" t="s">
        <v>2589</v>
      </c>
      <c r="F172" s="94" t="s">
        <v>1894</v>
      </c>
      <c r="G172" s="94" t="s">
        <v>2417</v>
      </c>
      <c r="H172" s="119">
        <v>1</v>
      </c>
      <c r="I172" s="119">
        <v>3</v>
      </c>
      <c r="J172" s="119">
        <f t="shared" si="16"/>
        <v>3</v>
      </c>
      <c r="K172" s="119">
        <v>152380952</v>
      </c>
      <c r="L172" s="119">
        <v>50793650.666666664</v>
      </c>
      <c r="M172" s="119">
        <f t="shared" si="17"/>
        <v>1</v>
      </c>
      <c r="N172" s="119">
        <f t="shared" si="18"/>
        <v>50793650.666666657</v>
      </c>
      <c r="O172" s="120">
        <v>45401</v>
      </c>
      <c r="P172" s="120">
        <v>46495</v>
      </c>
      <c r="Q172" s="119">
        <v>2</v>
      </c>
      <c r="R172" s="121">
        <v>101587301.33333334</v>
      </c>
      <c r="S172" s="119">
        <v>0</v>
      </c>
      <c r="T172" s="121">
        <v>0</v>
      </c>
      <c r="U172" s="119">
        <v>1</v>
      </c>
      <c r="V172" s="121">
        <f t="shared" si="19"/>
        <v>50793650.666666664</v>
      </c>
      <c r="W172" s="119">
        <f t="shared" si="20"/>
        <v>1</v>
      </c>
      <c r="X172" s="121">
        <f t="shared" si="21"/>
        <v>50793650.666666679</v>
      </c>
      <c r="Y172" s="122" t="s">
        <v>2416</v>
      </c>
      <c r="Z172" s="123" t="s">
        <v>2407</v>
      </c>
      <c r="AA172" s="123" t="s">
        <v>2406</v>
      </c>
      <c r="AB172" s="123" t="s">
        <v>2372</v>
      </c>
      <c r="AC172" s="124" t="s">
        <v>12</v>
      </c>
      <c r="AD172" s="110">
        <f>COUNTIF('KK1. Movies'!AI:AI,'TK 15661.Bản quyền phim '!F172)</f>
        <v>1</v>
      </c>
      <c r="AE172" s="110">
        <f>COUNTIF('KK2. Series'!AM:AM,'TK 15661.Bản quyền phim '!F172)</f>
        <v>0</v>
      </c>
      <c r="AF172" s="110">
        <f>COUNTIF('KK3. Kids'!AF:AF,'TK 15661.Bản quyền phim '!F172)</f>
        <v>0</v>
      </c>
      <c r="AG172" s="110"/>
      <c r="AH172" s="110" t="str">
        <f t="shared" si="22"/>
        <v>OK</v>
      </c>
    </row>
    <row r="173" spans="1:34" ht="15.6" hidden="1" x14ac:dyDescent="0.3">
      <c r="A173" s="43"/>
      <c r="B173" s="108" t="s">
        <v>2863</v>
      </c>
      <c r="C173" s="94" t="s">
        <v>2493</v>
      </c>
      <c r="D173" s="94" t="s">
        <v>2590</v>
      </c>
      <c r="E173" s="94" t="s">
        <v>2589</v>
      </c>
      <c r="F173" s="94" t="s">
        <v>1548</v>
      </c>
      <c r="G173" s="94" t="s">
        <v>2417</v>
      </c>
      <c r="H173" s="119">
        <v>1</v>
      </c>
      <c r="I173" s="119">
        <v>3</v>
      </c>
      <c r="J173" s="119">
        <f t="shared" si="16"/>
        <v>3</v>
      </c>
      <c r="K173" s="119">
        <v>114285714</v>
      </c>
      <c r="L173" s="119">
        <v>38095238</v>
      </c>
      <c r="M173" s="119">
        <f t="shared" si="17"/>
        <v>1</v>
      </c>
      <c r="N173" s="119">
        <f t="shared" si="18"/>
        <v>38095238</v>
      </c>
      <c r="O173" s="120">
        <v>45546</v>
      </c>
      <c r="P173" s="120">
        <v>46640</v>
      </c>
      <c r="Q173" s="119">
        <v>2</v>
      </c>
      <c r="R173" s="121">
        <v>76190476</v>
      </c>
      <c r="S173" s="119">
        <v>0</v>
      </c>
      <c r="T173" s="121">
        <v>0</v>
      </c>
      <c r="U173" s="119">
        <v>1</v>
      </c>
      <c r="V173" s="121">
        <f t="shared" si="19"/>
        <v>38095238</v>
      </c>
      <c r="W173" s="119">
        <f t="shared" si="20"/>
        <v>1</v>
      </c>
      <c r="X173" s="121">
        <f t="shared" si="21"/>
        <v>38095238</v>
      </c>
      <c r="Y173" s="122" t="s">
        <v>2416</v>
      </c>
      <c r="Z173" s="123" t="s">
        <v>2407</v>
      </c>
      <c r="AA173" s="123" t="s">
        <v>2406</v>
      </c>
      <c r="AB173" s="123" t="s">
        <v>2372</v>
      </c>
      <c r="AC173" s="124" t="s">
        <v>12</v>
      </c>
      <c r="AD173" s="110">
        <f>COUNTIF('KK1. Movies'!AI:AI,'TK 15661.Bản quyền phim '!F173)</f>
        <v>1</v>
      </c>
      <c r="AE173" s="110">
        <f>COUNTIF('KK2. Series'!AM:AM,'TK 15661.Bản quyền phim '!F173)</f>
        <v>0</v>
      </c>
      <c r="AF173" s="110">
        <f>COUNTIF('KK3. Kids'!AF:AF,'TK 15661.Bản quyền phim '!F173)</f>
        <v>0</v>
      </c>
      <c r="AG173" s="110"/>
      <c r="AH173" s="110" t="str">
        <f t="shared" si="22"/>
        <v>OK</v>
      </c>
    </row>
    <row r="174" spans="1:34" ht="15.6" hidden="1" x14ac:dyDescent="0.3">
      <c r="A174" s="43"/>
      <c r="B174" s="108" t="s">
        <v>2862</v>
      </c>
      <c r="C174" s="94" t="s">
        <v>2493</v>
      </c>
      <c r="D174" s="94" t="s">
        <v>2590</v>
      </c>
      <c r="E174" s="94" t="s">
        <v>2589</v>
      </c>
      <c r="F174" s="94" t="s">
        <v>2313</v>
      </c>
      <c r="G174" s="94" t="s">
        <v>2417</v>
      </c>
      <c r="H174" s="119">
        <v>1</v>
      </c>
      <c r="I174" s="119">
        <v>3</v>
      </c>
      <c r="J174" s="119">
        <f t="shared" si="16"/>
        <v>3</v>
      </c>
      <c r="K174" s="119">
        <v>85714286</v>
      </c>
      <c r="L174" s="119">
        <v>28571428.666666668</v>
      </c>
      <c r="M174" s="119">
        <f t="shared" si="17"/>
        <v>1</v>
      </c>
      <c r="N174" s="119">
        <f t="shared" si="18"/>
        <v>28571428.666666672</v>
      </c>
      <c r="O174" s="120">
        <v>45566</v>
      </c>
      <c r="P174" s="120">
        <v>46660</v>
      </c>
      <c r="Q174" s="119">
        <v>2</v>
      </c>
      <c r="R174" s="121">
        <v>57142857.333333328</v>
      </c>
      <c r="S174" s="119">
        <v>0</v>
      </c>
      <c r="T174" s="121">
        <v>0</v>
      </c>
      <c r="U174" s="119">
        <v>1</v>
      </c>
      <c r="V174" s="121">
        <f t="shared" si="19"/>
        <v>28571428.666666668</v>
      </c>
      <c r="W174" s="119">
        <f t="shared" si="20"/>
        <v>1</v>
      </c>
      <c r="X174" s="121">
        <f t="shared" si="21"/>
        <v>28571428.66666666</v>
      </c>
      <c r="Y174" s="122" t="s">
        <v>2416</v>
      </c>
      <c r="Z174" s="123" t="s">
        <v>2407</v>
      </c>
      <c r="AA174" s="123" t="s">
        <v>2406</v>
      </c>
      <c r="AB174" s="123" t="s">
        <v>2372</v>
      </c>
      <c r="AC174" s="124" t="s">
        <v>12</v>
      </c>
      <c r="AD174" s="110">
        <f>COUNTIF('KK1. Movies'!AI:AI,'TK 15661.Bản quyền phim '!F174)</f>
        <v>1</v>
      </c>
      <c r="AE174" s="110">
        <f>COUNTIF('KK2. Series'!AM:AM,'TK 15661.Bản quyền phim '!F174)</f>
        <v>0</v>
      </c>
      <c r="AF174" s="110">
        <f>COUNTIF('KK3. Kids'!AF:AF,'TK 15661.Bản quyền phim '!F174)</f>
        <v>0</v>
      </c>
      <c r="AG174" s="110"/>
      <c r="AH174" s="110" t="str">
        <f t="shared" si="22"/>
        <v>OK</v>
      </c>
    </row>
    <row r="175" spans="1:34" ht="15.6" hidden="1" x14ac:dyDescent="0.3">
      <c r="A175" s="43"/>
      <c r="B175" s="108" t="s">
        <v>2861</v>
      </c>
      <c r="C175" s="94" t="s">
        <v>2493</v>
      </c>
      <c r="D175" s="94" t="s">
        <v>2590</v>
      </c>
      <c r="E175" s="94" t="s">
        <v>2589</v>
      </c>
      <c r="F175" s="94" t="s">
        <v>1733</v>
      </c>
      <c r="G175" s="94" t="s">
        <v>2417</v>
      </c>
      <c r="H175" s="119">
        <v>1</v>
      </c>
      <c r="I175" s="119">
        <v>3</v>
      </c>
      <c r="J175" s="119">
        <f t="shared" si="16"/>
        <v>3</v>
      </c>
      <c r="K175" s="119">
        <v>83809524</v>
      </c>
      <c r="L175" s="119">
        <v>27936508</v>
      </c>
      <c r="M175" s="119">
        <f t="shared" si="17"/>
        <v>1</v>
      </c>
      <c r="N175" s="119">
        <f t="shared" si="18"/>
        <v>27936508</v>
      </c>
      <c r="O175" s="120">
        <v>45344</v>
      </c>
      <c r="P175" s="120">
        <v>46439</v>
      </c>
      <c r="Q175" s="119">
        <v>2</v>
      </c>
      <c r="R175" s="121">
        <v>55873016</v>
      </c>
      <c r="S175" s="119">
        <v>0</v>
      </c>
      <c r="T175" s="121">
        <v>0</v>
      </c>
      <c r="U175" s="119">
        <v>1</v>
      </c>
      <c r="V175" s="121">
        <f t="shared" si="19"/>
        <v>27936508</v>
      </c>
      <c r="W175" s="119">
        <f t="shared" si="20"/>
        <v>1</v>
      </c>
      <c r="X175" s="121">
        <f t="shared" si="21"/>
        <v>27936508</v>
      </c>
      <c r="Y175" s="122" t="s">
        <v>2416</v>
      </c>
      <c r="Z175" s="123" t="s">
        <v>2407</v>
      </c>
      <c r="AA175" s="123" t="s">
        <v>2406</v>
      </c>
      <c r="AB175" s="123" t="s">
        <v>2372</v>
      </c>
      <c r="AC175" s="124" t="s">
        <v>12</v>
      </c>
      <c r="AD175" s="110">
        <f>COUNTIF('KK1. Movies'!AI:AI,'TK 15661.Bản quyền phim '!F175)</f>
        <v>1</v>
      </c>
      <c r="AE175" s="110">
        <f>COUNTIF('KK2. Series'!AM:AM,'TK 15661.Bản quyền phim '!F175)</f>
        <v>0</v>
      </c>
      <c r="AF175" s="110">
        <f>COUNTIF('KK3. Kids'!AF:AF,'TK 15661.Bản quyền phim '!F175)</f>
        <v>0</v>
      </c>
      <c r="AG175" s="110"/>
      <c r="AH175" s="110" t="str">
        <f t="shared" si="22"/>
        <v>OK</v>
      </c>
    </row>
    <row r="176" spans="1:34" ht="15.6" hidden="1" x14ac:dyDescent="0.3">
      <c r="A176" s="43"/>
      <c r="B176" s="108" t="s">
        <v>2860</v>
      </c>
      <c r="C176" s="94" t="s">
        <v>2493</v>
      </c>
      <c r="D176" s="94" t="s">
        <v>2590</v>
      </c>
      <c r="E176" s="94" t="s">
        <v>2589</v>
      </c>
      <c r="F176" s="94" t="s">
        <v>2334</v>
      </c>
      <c r="G176" s="94" t="s">
        <v>2417</v>
      </c>
      <c r="H176" s="119">
        <v>1</v>
      </c>
      <c r="I176" s="119">
        <v>3</v>
      </c>
      <c r="J176" s="119">
        <f t="shared" si="16"/>
        <v>3</v>
      </c>
      <c r="K176" s="119">
        <v>85714286</v>
      </c>
      <c r="L176" s="119">
        <v>28571428.666666668</v>
      </c>
      <c r="M176" s="119">
        <f t="shared" si="17"/>
        <v>1</v>
      </c>
      <c r="N176" s="119">
        <f t="shared" si="18"/>
        <v>28571428.666666672</v>
      </c>
      <c r="O176" s="120">
        <v>45566</v>
      </c>
      <c r="P176" s="120">
        <v>46660</v>
      </c>
      <c r="Q176" s="119">
        <v>2</v>
      </c>
      <c r="R176" s="121">
        <v>57142857.333333328</v>
      </c>
      <c r="S176" s="119">
        <v>0</v>
      </c>
      <c r="T176" s="121">
        <v>0</v>
      </c>
      <c r="U176" s="119">
        <v>1</v>
      </c>
      <c r="V176" s="121">
        <f t="shared" si="19"/>
        <v>28571428.666666668</v>
      </c>
      <c r="W176" s="119">
        <f t="shared" si="20"/>
        <v>1</v>
      </c>
      <c r="X176" s="121">
        <f t="shared" si="21"/>
        <v>28571428.66666666</v>
      </c>
      <c r="Y176" s="122" t="s">
        <v>2416</v>
      </c>
      <c r="Z176" s="123" t="s">
        <v>2407</v>
      </c>
      <c r="AA176" s="123" t="s">
        <v>2406</v>
      </c>
      <c r="AB176" s="123" t="s">
        <v>2372</v>
      </c>
      <c r="AC176" s="124" t="s">
        <v>12</v>
      </c>
      <c r="AD176" s="110">
        <f>COUNTIF('KK1. Movies'!AI:AI,'TK 15661.Bản quyền phim '!F176)</f>
        <v>1</v>
      </c>
      <c r="AE176" s="110">
        <f>COUNTIF('KK2. Series'!AM:AM,'TK 15661.Bản quyền phim '!F176)</f>
        <v>0</v>
      </c>
      <c r="AF176" s="110">
        <f>COUNTIF('KK3. Kids'!AF:AF,'TK 15661.Bản quyền phim '!F176)</f>
        <v>0</v>
      </c>
      <c r="AG176" s="110"/>
      <c r="AH176" s="110" t="str">
        <f t="shared" si="22"/>
        <v>OK</v>
      </c>
    </row>
    <row r="177" spans="1:34" ht="15.6" hidden="1" x14ac:dyDescent="0.3">
      <c r="A177" s="43"/>
      <c r="B177" s="108" t="s">
        <v>2859</v>
      </c>
      <c r="C177" s="94" t="s">
        <v>2493</v>
      </c>
      <c r="D177" s="94" t="s">
        <v>2590</v>
      </c>
      <c r="E177" s="94" t="s">
        <v>2589</v>
      </c>
      <c r="F177" s="94" t="s">
        <v>1800</v>
      </c>
      <c r="G177" s="94" t="s">
        <v>2417</v>
      </c>
      <c r="H177" s="119">
        <v>1</v>
      </c>
      <c r="I177" s="119">
        <v>3</v>
      </c>
      <c r="J177" s="119">
        <f t="shared" si="16"/>
        <v>3</v>
      </c>
      <c r="K177" s="119">
        <v>76190476</v>
      </c>
      <c r="L177" s="119">
        <v>25396825.333333332</v>
      </c>
      <c r="M177" s="119">
        <f t="shared" si="17"/>
        <v>1</v>
      </c>
      <c r="N177" s="119">
        <f t="shared" si="18"/>
        <v>25396825.333333328</v>
      </c>
      <c r="O177" s="120">
        <v>45379</v>
      </c>
      <c r="P177" s="120">
        <v>46473</v>
      </c>
      <c r="Q177" s="119">
        <v>2</v>
      </c>
      <c r="R177" s="121">
        <v>50793650.666666672</v>
      </c>
      <c r="S177" s="119">
        <v>0</v>
      </c>
      <c r="T177" s="121">
        <v>0</v>
      </c>
      <c r="U177" s="119">
        <v>1</v>
      </c>
      <c r="V177" s="121">
        <f t="shared" si="19"/>
        <v>25396825.333333332</v>
      </c>
      <c r="W177" s="119">
        <f t="shared" si="20"/>
        <v>1</v>
      </c>
      <c r="X177" s="121">
        <f t="shared" si="21"/>
        <v>25396825.33333334</v>
      </c>
      <c r="Y177" s="122" t="s">
        <v>2416</v>
      </c>
      <c r="Z177" s="123" t="s">
        <v>2407</v>
      </c>
      <c r="AA177" s="123" t="s">
        <v>2406</v>
      </c>
      <c r="AB177" s="123" t="s">
        <v>2372</v>
      </c>
      <c r="AC177" s="124" t="s">
        <v>12</v>
      </c>
      <c r="AD177" s="110">
        <f>COUNTIF('KK1. Movies'!AI:AI,'TK 15661.Bản quyền phim '!F177)</f>
        <v>1</v>
      </c>
      <c r="AE177" s="110">
        <f>COUNTIF('KK2. Series'!AM:AM,'TK 15661.Bản quyền phim '!F177)</f>
        <v>0</v>
      </c>
      <c r="AF177" s="110">
        <f>COUNTIF('KK3. Kids'!AF:AF,'TK 15661.Bản quyền phim '!F177)</f>
        <v>0</v>
      </c>
      <c r="AG177" s="110"/>
      <c r="AH177" s="110" t="str">
        <f t="shared" si="22"/>
        <v>OK</v>
      </c>
    </row>
    <row r="178" spans="1:34" ht="15.6" hidden="1" x14ac:dyDescent="0.3">
      <c r="A178" s="43"/>
      <c r="B178" s="108" t="s">
        <v>2858</v>
      </c>
      <c r="C178" s="94" t="s">
        <v>2493</v>
      </c>
      <c r="D178" s="94" t="s">
        <v>2590</v>
      </c>
      <c r="E178" s="94" t="s">
        <v>2589</v>
      </c>
      <c r="F178" s="94" t="s">
        <v>1659</v>
      </c>
      <c r="G178" s="94" t="s">
        <v>2417</v>
      </c>
      <c r="H178" s="119">
        <v>1</v>
      </c>
      <c r="I178" s="119">
        <v>3</v>
      </c>
      <c r="J178" s="119">
        <f t="shared" si="16"/>
        <v>3</v>
      </c>
      <c r="K178" s="119">
        <v>223809524</v>
      </c>
      <c r="L178" s="119">
        <v>74603174.666666672</v>
      </c>
      <c r="M178" s="119">
        <f t="shared" si="17"/>
        <v>1</v>
      </c>
      <c r="N178" s="119">
        <f t="shared" si="18"/>
        <v>74603174.666666687</v>
      </c>
      <c r="O178" s="120">
        <v>45332</v>
      </c>
      <c r="P178" s="120">
        <v>46427</v>
      </c>
      <c r="Q178" s="119">
        <v>2</v>
      </c>
      <c r="R178" s="121">
        <v>149206349.33333331</v>
      </c>
      <c r="S178" s="119">
        <v>0</v>
      </c>
      <c r="T178" s="121">
        <v>0</v>
      </c>
      <c r="U178" s="119">
        <v>1</v>
      </c>
      <c r="V178" s="121">
        <f t="shared" si="19"/>
        <v>74603174.666666672</v>
      </c>
      <c r="W178" s="119">
        <f t="shared" si="20"/>
        <v>1</v>
      </c>
      <c r="X178" s="121">
        <f t="shared" si="21"/>
        <v>74603174.666666642</v>
      </c>
      <c r="Y178" s="122" t="s">
        <v>2416</v>
      </c>
      <c r="Z178" s="123" t="s">
        <v>2407</v>
      </c>
      <c r="AA178" s="123" t="s">
        <v>2406</v>
      </c>
      <c r="AB178" s="123" t="s">
        <v>2372</v>
      </c>
      <c r="AC178" s="124" t="s">
        <v>12</v>
      </c>
      <c r="AD178" s="110">
        <f>COUNTIF('KK1. Movies'!AI:AI,'TK 15661.Bản quyền phim '!F178)</f>
        <v>1</v>
      </c>
      <c r="AE178" s="110">
        <f>COUNTIF('KK2. Series'!AM:AM,'TK 15661.Bản quyền phim '!F178)</f>
        <v>0</v>
      </c>
      <c r="AF178" s="110">
        <f>COUNTIF('KK3. Kids'!AF:AF,'TK 15661.Bản quyền phim '!F178)</f>
        <v>0</v>
      </c>
      <c r="AG178" s="110"/>
      <c r="AH178" s="110" t="str">
        <f t="shared" si="22"/>
        <v>OK</v>
      </c>
    </row>
    <row r="179" spans="1:34" ht="15.6" hidden="1" x14ac:dyDescent="0.3">
      <c r="A179" s="43"/>
      <c r="B179" s="108" t="s">
        <v>2857</v>
      </c>
      <c r="C179" s="94" t="s">
        <v>2493</v>
      </c>
      <c r="D179" s="94" t="s">
        <v>2590</v>
      </c>
      <c r="E179" s="94" t="s">
        <v>2589</v>
      </c>
      <c r="F179" s="94" t="s">
        <v>1628</v>
      </c>
      <c r="G179" s="94" t="s">
        <v>2417</v>
      </c>
      <c r="H179" s="119">
        <v>1</v>
      </c>
      <c r="I179" s="119">
        <v>3</v>
      </c>
      <c r="J179" s="119">
        <f t="shared" si="16"/>
        <v>3</v>
      </c>
      <c r="K179" s="119">
        <v>66666667</v>
      </c>
      <c r="L179" s="119">
        <v>22222222.333333332</v>
      </c>
      <c r="M179" s="119">
        <f t="shared" si="17"/>
        <v>1</v>
      </c>
      <c r="N179" s="119">
        <f t="shared" si="18"/>
        <v>22222222.333333328</v>
      </c>
      <c r="O179" s="120">
        <v>45374</v>
      </c>
      <c r="P179" s="120">
        <v>46468</v>
      </c>
      <c r="Q179" s="119">
        <v>2</v>
      </c>
      <c r="R179" s="121">
        <v>44444444.666666672</v>
      </c>
      <c r="S179" s="119">
        <v>0</v>
      </c>
      <c r="T179" s="121">
        <v>0</v>
      </c>
      <c r="U179" s="119">
        <v>1</v>
      </c>
      <c r="V179" s="121">
        <f t="shared" si="19"/>
        <v>22222222.333333332</v>
      </c>
      <c r="W179" s="119">
        <f t="shared" si="20"/>
        <v>1</v>
      </c>
      <c r="X179" s="121">
        <f t="shared" si="21"/>
        <v>22222222.33333334</v>
      </c>
      <c r="Y179" s="122" t="s">
        <v>2416</v>
      </c>
      <c r="Z179" s="123" t="s">
        <v>2407</v>
      </c>
      <c r="AA179" s="123" t="s">
        <v>2406</v>
      </c>
      <c r="AB179" s="123" t="s">
        <v>2372</v>
      </c>
      <c r="AC179" s="124" t="s">
        <v>12</v>
      </c>
      <c r="AD179" s="110">
        <f>COUNTIF('KK1. Movies'!AI:AI,'TK 15661.Bản quyền phim '!F179)</f>
        <v>1</v>
      </c>
      <c r="AE179" s="110">
        <f>COUNTIF('KK2. Series'!AM:AM,'TK 15661.Bản quyền phim '!F179)</f>
        <v>0</v>
      </c>
      <c r="AF179" s="110">
        <f>COUNTIF('KK3. Kids'!AF:AF,'TK 15661.Bản quyền phim '!F179)</f>
        <v>0</v>
      </c>
      <c r="AG179" s="110"/>
      <c r="AH179" s="110" t="str">
        <f t="shared" si="22"/>
        <v>OK</v>
      </c>
    </row>
    <row r="180" spans="1:34" ht="15.6" hidden="1" x14ac:dyDescent="0.3">
      <c r="A180" s="43"/>
      <c r="B180" s="108" t="s">
        <v>2856</v>
      </c>
      <c r="C180" s="94" t="s">
        <v>2493</v>
      </c>
      <c r="D180" s="94" t="s">
        <v>2590</v>
      </c>
      <c r="E180" s="94" t="s">
        <v>2589</v>
      </c>
      <c r="F180" s="94" t="s">
        <v>1755</v>
      </c>
      <c r="G180" s="94" t="s">
        <v>2417</v>
      </c>
      <c r="H180" s="119">
        <v>1</v>
      </c>
      <c r="I180" s="119">
        <v>3</v>
      </c>
      <c r="J180" s="119">
        <f t="shared" si="16"/>
        <v>3</v>
      </c>
      <c r="K180" s="119">
        <v>152380952</v>
      </c>
      <c r="L180" s="119">
        <v>50793650.666666664</v>
      </c>
      <c r="M180" s="119">
        <f t="shared" si="17"/>
        <v>1</v>
      </c>
      <c r="N180" s="119">
        <f t="shared" si="18"/>
        <v>50793650.666666657</v>
      </c>
      <c r="O180" s="120">
        <v>45333</v>
      </c>
      <c r="P180" s="120">
        <v>46428</v>
      </c>
      <c r="Q180" s="119">
        <v>2</v>
      </c>
      <c r="R180" s="121">
        <v>101587301.33333334</v>
      </c>
      <c r="S180" s="119">
        <v>0</v>
      </c>
      <c r="T180" s="121">
        <v>0</v>
      </c>
      <c r="U180" s="119">
        <v>1</v>
      </c>
      <c r="V180" s="121">
        <f t="shared" si="19"/>
        <v>50793650.666666664</v>
      </c>
      <c r="W180" s="119">
        <f t="shared" si="20"/>
        <v>1</v>
      </c>
      <c r="X180" s="121">
        <f t="shared" si="21"/>
        <v>50793650.666666679</v>
      </c>
      <c r="Y180" s="122" t="s">
        <v>2416</v>
      </c>
      <c r="Z180" s="123" t="s">
        <v>2407</v>
      </c>
      <c r="AA180" s="123" t="s">
        <v>2406</v>
      </c>
      <c r="AB180" s="123" t="s">
        <v>2372</v>
      </c>
      <c r="AC180" s="124" t="s">
        <v>12</v>
      </c>
      <c r="AD180" s="110">
        <f>COUNTIF('KK1. Movies'!AI:AI,'TK 15661.Bản quyền phim '!F180)</f>
        <v>1</v>
      </c>
      <c r="AE180" s="110">
        <f>COUNTIF('KK2. Series'!AM:AM,'TK 15661.Bản quyền phim '!F180)</f>
        <v>0</v>
      </c>
      <c r="AF180" s="110">
        <f>COUNTIF('KK3. Kids'!AF:AF,'TK 15661.Bản quyền phim '!F180)</f>
        <v>0</v>
      </c>
      <c r="AG180" s="110"/>
      <c r="AH180" s="110" t="str">
        <f t="shared" si="22"/>
        <v>OK</v>
      </c>
    </row>
    <row r="181" spans="1:34" ht="15.6" hidden="1" x14ac:dyDescent="0.3">
      <c r="A181" s="43"/>
      <c r="B181" s="108" t="s">
        <v>2855</v>
      </c>
      <c r="C181" s="94" t="s">
        <v>2493</v>
      </c>
      <c r="D181" s="94" t="s">
        <v>2590</v>
      </c>
      <c r="E181" s="94" t="s">
        <v>2589</v>
      </c>
      <c r="F181" s="94" t="s">
        <v>2289</v>
      </c>
      <c r="G181" s="94" t="s">
        <v>2417</v>
      </c>
      <c r="H181" s="119">
        <v>1</v>
      </c>
      <c r="I181" s="119">
        <v>3</v>
      </c>
      <c r="J181" s="119">
        <f t="shared" si="16"/>
        <v>3</v>
      </c>
      <c r="K181" s="119">
        <v>57142857</v>
      </c>
      <c r="L181" s="119">
        <v>19047619</v>
      </c>
      <c r="M181" s="119">
        <f t="shared" si="17"/>
        <v>1</v>
      </c>
      <c r="N181" s="119">
        <f t="shared" si="18"/>
        <v>19047619</v>
      </c>
      <c r="O181" s="120">
        <v>45386</v>
      </c>
      <c r="P181" s="120">
        <v>46480</v>
      </c>
      <c r="Q181" s="119">
        <v>2</v>
      </c>
      <c r="R181" s="121">
        <v>38095238</v>
      </c>
      <c r="S181" s="119">
        <v>0</v>
      </c>
      <c r="T181" s="121">
        <v>0</v>
      </c>
      <c r="U181" s="119">
        <v>1</v>
      </c>
      <c r="V181" s="121">
        <f t="shared" si="19"/>
        <v>19047619</v>
      </c>
      <c r="W181" s="119">
        <f t="shared" si="20"/>
        <v>1</v>
      </c>
      <c r="X181" s="121">
        <f t="shared" si="21"/>
        <v>19047619</v>
      </c>
      <c r="Y181" s="122" t="s">
        <v>2416</v>
      </c>
      <c r="Z181" s="123" t="s">
        <v>2407</v>
      </c>
      <c r="AA181" s="123" t="s">
        <v>2406</v>
      </c>
      <c r="AB181" s="123" t="s">
        <v>2372</v>
      </c>
      <c r="AC181" s="124" t="s">
        <v>12</v>
      </c>
      <c r="AD181" s="110">
        <f>COUNTIF('KK1. Movies'!AI:AI,'TK 15661.Bản quyền phim '!F181)</f>
        <v>1</v>
      </c>
      <c r="AE181" s="110">
        <f>COUNTIF('KK2. Series'!AM:AM,'TK 15661.Bản quyền phim '!F181)</f>
        <v>0</v>
      </c>
      <c r="AF181" s="110">
        <f>COUNTIF('KK3. Kids'!AF:AF,'TK 15661.Bản quyền phim '!F181)</f>
        <v>0</v>
      </c>
      <c r="AG181" s="110"/>
      <c r="AH181" s="110" t="str">
        <f t="shared" si="22"/>
        <v>OK</v>
      </c>
    </row>
    <row r="182" spans="1:34" ht="15.6" hidden="1" x14ac:dyDescent="0.3">
      <c r="A182" s="43"/>
      <c r="B182" s="108" t="s">
        <v>2854</v>
      </c>
      <c r="C182" s="94" t="s">
        <v>2493</v>
      </c>
      <c r="D182" s="94" t="s">
        <v>2590</v>
      </c>
      <c r="E182" s="94" t="s">
        <v>2589</v>
      </c>
      <c r="F182" s="94" t="s">
        <v>1448</v>
      </c>
      <c r="G182" s="94" t="s">
        <v>2417</v>
      </c>
      <c r="H182" s="119">
        <v>1</v>
      </c>
      <c r="I182" s="119">
        <v>3</v>
      </c>
      <c r="J182" s="119">
        <f t="shared" si="16"/>
        <v>3</v>
      </c>
      <c r="K182" s="119">
        <v>95238095</v>
      </c>
      <c r="L182" s="119">
        <v>31746031.666666668</v>
      </c>
      <c r="M182" s="119">
        <f t="shared" si="17"/>
        <v>1</v>
      </c>
      <c r="N182" s="119">
        <f t="shared" si="18"/>
        <v>31746031.666666672</v>
      </c>
      <c r="O182" s="120">
        <v>45394</v>
      </c>
      <c r="P182" s="120">
        <v>46488</v>
      </c>
      <c r="Q182" s="119">
        <v>2</v>
      </c>
      <c r="R182" s="121">
        <v>63492063.333333328</v>
      </c>
      <c r="S182" s="119">
        <v>0</v>
      </c>
      <c r="T182" s="121">
        <v>0</v>
      </c>
      <c r="U182" s="119">
        <v>1</v>
      </c>
      <c r="V182" s="121">
        <f t="shared" si="19"/>
        <v>31746031.666666668</v>
      </c>
      <c r="W182" s="119">
        <f t="shared" si="20"/>
        <v>1</v>
      </c>
      <c r="X182" s="121">
        <f t="shared" si="21"/>
        <v>31746031.66666666</v>
      </c>
      <c r="Y182" s="122" t="s">
        <v>2416</v>
      </c>
      <c r="Z182" s="123" t="s">
        <v>2407</v>
      </c>
      <c r="AA182" s="123" t="s">
        <v>2406</v>
      </c>
      <c r="AB182" s="123" t="s">
        <v>2372</v>
      </c>
      <c r="AC182" s="124" t="s">
        <v>12</v>
      </c>
      <c r="AD182" s="110">
        <f>COUNTIF('KK1. Movies'!AI:AI,'TK 15661.Bản quyền phim '!F182)</f>
        <v>1</v>
      </c>
      <c r="AE182" s="110">
        <f>COUNTIF('KK2. Series'!AM:AM,'TK 15661.Bản quyền phim '!F182)</f>
        <v>0</v>
      </c>
      <c r="AF182" s="110">
        <f>COUNTIF('KK3. Kids'!AF:AF,'TK 15661.Bản quyền phim '!F182)</f>
        <v>0</v>
      </c>
      <c r="AG182" s="110"/>
      <c r="AH182" s="110" t="str">
        <f t="shared" si="22"/>
        <v>OK</v>
      </c>
    </row>
    <row r="183" spans="1:34" ht="15.6" hidden="1" x14ac:dyDescent="0.3">
      <c r="A183" s="43"/>
      <c r="B183" s="108" t="s">
        <v>2853</v>
      </c>
      <c r="C183" s="94" t="s">
        <v>2493</v>
      </c>
      <c r="D183" s="94" t="s">
        <v>2590</v>
      </c>
      <c r="E183" s="94" t="s">
        <v>2589</v>
      </c>
      <c r="F183" s="94" t="s">
        <v>1923</v>
      </c>
      <c r="G183" s="94" t="s">
        <v>2417</v>
      </c>
      <c r="H183" s="119">
        <v>1</v>
      </c>
      <c r="I183" s="119">
        <v>3</v>
      </c>
      <c r="J183" s="119">
        <f t="shared" si="16"/>
        <v>3</v>
      </c>
      <c r="K183" s="119">
        <v>66666667</v>
      </c>
      <c r="L183" s="119">
        <v>22222222.333333332</v>
      </c>
      <c r="M183" s="119">
        <f t="shared" si="17"/>
        <v>1</v>
      </c>
      <c r="N183" s="119">
        <f t="shared" si="18"/>
        <v>22222222.333333328</v>
      </c>
      <c r="O183" s="120">
        <v>45574</v>
      </c>
      <c r="P183" s="120">
        <v>46668</v>
      </c>
      <c r="Q183" s="119">
        <v>2</v>
      </c>
      <c r="R183" s="121">
        <v>44444444.666666672</v>
      </c>
      <c r="S183" s="119">
        <v>0</v>
      </c>
      <c r="T183" s="121">
        <v>0</v>
      </c>
      <c r="U183" s="119">
        <v>1</v>
      </c>
      <c r="V183" s="121">
        <f t="shared" si="19"/>
        <v>22222222.333333332</v>
      </c>
      <c r="W183" s="119">
        <f t="shared" si="20"/>
        <v>1</v>
      </c>
      <c r="X183" s="121">
        <f t="shared" si="21"/>
        <v>22222222.33333334</v>
      </c>
      <c r="Y183" s="122" t="s">
        <v>2416</v>
      </c>
      <c r="Z183" s="123" t="s">
        <v>2407</v>
      </c>
      <c r="AA183" s="123" t="s">
        <v>2406</v>
      </c>
      <c r="AB183" s="123" t="s">
        <v>2372</v>
      </c>
      <c r="AC183" s="124" t="s">
        <v>12</v>
      </c>
      <c r="AD183" s="110">
        <f>COUNTIF('KK1. Movies'!AI:AI,'TK 15661.Bản quyền phim '!F183)</f>
        <v>1</v>
      </c>
      <c r="AE183" s="110">
        <f>COUNTIF('KK2. Series'!AM:AM,'TK 15661.Bản quyền phim '!F183)</f>
        <v>0</v>
      </c>
      <c r="AF183" s="110">
        <f>COUNTIF('KK3. Kids'!AF:AF,'TK 15661.Bản quyền phim '!F183)</f>
        <v>0</v>
      </c>
      <c r="AG183" s="110"/>
      <c r="AH183" s="110" t="str">
        <f t="shared" si="22"/>
        <v>OK</v>
      </c>
    </row>
    <row r="184" spans="1:34" ht="15.6" hidden="1" x14ac:dyDescent="0.3">
      <c r="A184" s="43"/>
      <c r="B184" s="108" t="s">
        <v>2852</v>
      </c>
      <c r="C184" s="94" t="s">
        <v>2493</v>
      </c>
      <c r="D184" s="94" t="s">
        <v>2590</v>
      </c>
      <c r="E184" s="94" t="s">
        <v>2589</v>
      </c>
      <c r="F184" s="94" t="s">
        <v>1467</v>
      </c>
      <c r="G184" s="94" t="s">
        <v>2417</v>
      </c>
      <c r="H184" s="119">
        <v>1</v>
      </c>
      <c r="I184" s="119">
        <v>3</v>
      </c>
      <c r="J184" s="119">
        <f t="shared" si="16"/>
        <v>3</v>
      </c>
      <c r="K184" s="119">
        <v>95238095</v>
      </c>
      <c r="L184" s="119">
        <v>31746031.666666668</v>
      </c>
      <c r="M184" s="119">
        <f t="shared" si="17"/>
        <v>1</v>
      </c>
      <c r="N184" s="119">
        <f t="shared" si="18"/>
        <v>31746031.666666672</v>
      </c>
      <c r="O184" s="120">
        <v>45597</v>
      </c>
      <c r="P184" s="120">
        <v>46691</v>
      </c>
      <c r="Q184" s="119">
        <v>2</v>
      </c>
      <c r="R184" s="121">
        <v>63492063.333333328</v>
      </c>
      <c r="S184" s="119">
        <v>0</v>
      </c>
      <c r="T184" s="121">
        <v>0</v>
      </c>
      <c r="U184" s="119">
        <v>1</v>
      </c>
      <c r="V184" s="121">
        <f t="shared" si="19"/>
        <v>31746031.666666668</v>
      </c>
      <c r="W184" s="119">
        <f t="shared" si="20"/>
        <v>1</v>
      </c>
      <c r="X184" s="121">
        <f t="shared" si="21"/>
        <v>31746031.66666666</v>
      </c>
      <c r="Y184" s="122" t="s">
        <v>2416</v>
      </c>
      <c r="Z184" s="123" t="s">
        <v>2407</v>
      </c>
      <c r="AA184" s="123" t="s">
        <v>2406</v>
      </c>
      <c r="AB184" s="123" t="s">
        <v>2372</v>
      </c>
      <c r="AC184" s="124" t="s">
        <v>12</v>
      </c>
      <c r="AD184" s="110">
        <f>COUNTIF('KK1. Movies'!AI:AI,'TK 15661.Bản quyền phim '!F184)</f>
        <v>1</v>
      </c>
      <c r="AE184" s="110">
        <f>COUNTIF('KK2. Series'!AM:AM,'TK 15661.Bản quyền phim '!F184)</f>
        <v>0</v>
      </c>
      <c r="AF184" s="110">
        <f>COUNTIF('KK3. Kids'!AF:AF,'TK 15661.Bản quyền phim '!F184)</f>
        <v>0</v>
      </c>
      <c r="AG184" s="110"/>
      <c r="AH184" s="110" t="str">
        <f t="shared" si="22"/>
        <v>OK</v>
      </c>
    </row>
    <row r="185" spans="1:34" ht="15.6" hidden="1" x14ac:dyDescent="0.3">
      <c r="A185" s="43"/>
      <c r="B185" s="108" t="s">
        <v>2851</v>
      </c>
      <c r="C185" s="94" t="s">
        <v>2493</v>
      </c>
      <c r="D185" s="94" t="s">
        <v>2590</v>
      </c>
      <c r="E185" s="94" t="s">
        <v>2589</v>
      </c>
      <c r="F185" s="94" t="s">
        <v>1643</v>
      </c>
      <c r="G185" s="94" t="s">
        <v>2417</v>
      </c>
      <c r="H185" s="119">
        <v>1</v>
      </c>
      <c r="I185" s="119">
        <v>3</v>
      </c>
      <c r="J185" s="119">
        <f t="shared" si="16"/>
        <v>3</v>
      </c>
      <c r="K185" s="119">
        <v>85714286</v>
      </c>
      <c r="L185" s="119">
        <v>28571428.666666668</v>
      </c>
      <c r="M185" s="119">
        <f t="shared" si="17"/>
        <v>1</v>
      </c>
      <c r="N185" s="119">
        <f t="shared" si="18"/>
        <v>28571428.666666672</v>
      </c>
      <c r="O185" s="120">
        <v>45566</v>
      </c>
      <c r="P185" s="120">
        <v>46660</v>
      </c>
      <c r="Q185" s="119">
        <v>2</v>
      </c>
      <c r="R185" s="121">
        <v>57142857.333333328</v>
      </c>
      <c r="S185" s="119">
        <v>0</v>
      </c>
      <c r="T185" s="121">
        <v>0</v>
      </c>
      <c r="U185" s="119">
        <v>1</v>
      </c>
      <c r="V185" s="121">
        <f t="shared" si="19"/>
        <v>28571428.666666668</v>
      </c>
      <c r="W185" s="119">
        <f t="shared" si="20"/>
        <v>1</v>
      </c>
      <c r="X185" s="121">
        <f t="shared" si="21"/>
        <v>28571428.66666666</v>
      </c>
      <c r="Y185" s="122" t="s">
        <v>2416</v>
      </c>
      <c r="Z185" s="123" t="s">
        <v>2407</v>
      </c>
      <c r="AA185" s="123" t="s">
        <v>2406</v>
      </c>
      <c r="AB185" s="123" t="s">
        <v>2372</v>
      </c>
      <c r="AC185" s="124" t="s">
        <v>12</v>
      </c>
      <c r="AD185" s="110">
        <f>COUNTIF('KK1. Movies'!AI:AI,'TK 15661.Bản quyền phim '!F185)</f>
        <v>1</v>
      </c>
      <c r="AE185" s="110">
        <f>COUNTIF('KK2. Series'!AM:AM,'TK 15661.Bản quyền phim '!F185)</f>
        <v>0</v>
      </c>
      <c r="AF185" s="110">
        <f>COUNTIF('KK3. Kids'!AF:AF,'TK 15661.Bản quyền phim '!F185)</f>
        <v>0</v>
      </c>
      <c r="AG185" s="110"/>
      <c r="AH185" s="110" t="str">
        <f t="shared" si="22"/>
        <v>OK</v>
      </c>
    </row>
    <row r="186" spans="1:34" ht="15.6" hidden="1" x14ac:dyDescent="0.3">
      <c r="A186" s="47">
        <f>(U186-H186)*L186</f>
        <v>0</v>
      </c>
      <c r="B186" s="108" t="s">
        <v>2850</v>
      </c>
      <c r="C186" s="94" t="s">
        <v>2493</v>
      </c>
      <c r="D186" s="94" t="s">
        <v>2849</v>
      </c>
      <c r="E186" s="94" t="s">
        <v>2848</v>
      </c>
      <c r="F186" s="94" t="s">
        <v>877</v>
      </c>
      <c r="G186" s="94" t="s">
        <v>2428</v>
      </c>
      <c r="H186" s="119">
        <v>31</v>
      </c>
      <c r="I186" s="119">
        <v>3</v>
      </c>
      <c r="J186" s="119">
        <f t="shared" si="16"/>
        <v>93</v>
      </c>
      <c r="K186" s="119">
        <v>757330000</v>
      </c>
      <c r="L186" s="119">
        <v>8143333.333333333</v>
      </c>
      <c r="M186" s="119">
        <f t="shared" si="17"/>
        <v>31</v>
      </c>
      <c r="N186" s="119">
        <f t="shared" si="18"/>
        <v>252443333.33333331</v>
      </c>
      <c r="O186" s="120">
        <v>45322</v>
      </c>
      <c r="P186" s="120">
        <v>46418</v>
      </c>
      <c r="Q186" s="119">
        <v>62</v>
      </c>
      <c r="R186" s="121">
        <v>504886666.66666669</v>
      </c>
      <c r="S186" s="119">
        <v>0</v>
      </c>
      <c r="T186" s="121">
        <v>0</v>
      </c>
      <c r="U186" s="119">
        <v>31</v>
      </c>
      <c r="V186" s="121">
        <f t="shared" si="19"/>
        <v>252443333.33333331</v>
      </c>
      <c r="W186" s="119">
        <f t="shared" si="20"/>
        <v>31</v>
      </c>
      <c r="X186" s="121">
        <f t="shared" si="21"/>
        <v>252443333.33333337</v>
      </c>
      <c r="Y186" s="122" t="s">
        <v>2427</v>
      </c>
      <c r="Z186" s="123" t="s">
        <v>2407</v>
      </c>
      <c r="AA186" s="123" t="s">
        <v>2406</v>
      </c>
      <c r="AB186" s="123" t="s">
        <v>2372</v>
      </c>
      <c r="AC186" s="124" t="s">
        <v>10</v>
      </c>
      <c r="AD186" s="110">
        <f>COUNTIF('KK1. Movies'!AI:AI,'TK 15661.Bản quyền phim '!F186)</f>
        <v>0</v>
      </c>
      <c r="AE186" s="110">
        <f>COUNTIF('KK2. Series'!AM:AM,'TK 15661.Bản quyền phim '!F186)</f>
        <v>1</v>
      </c>
      <c r="AF186" s="110">
        <f>COUNTIF('KK3. Kids'!AF:AF,'TK 15661.Bản quyền phim '!F186)</f>
        <v>0</v>
      </c>
      <c r="AG186" s="110"/>
      <c r="AH186" s="110" t="str">
        <f t="shared" si="22"/>
        <v>OK</v>
      </c>
    </row>
    <row r="187" spans="1:34" ht="15.6" hidden="1" x14ac:dyDescent="0.3">
      <c r="A187" s="43"/>
      <c r="B187" s="108" t="s">
        <v>2847</v>
      </c>
      <c r="C187" s="94" t="s">
        <v>2493</v>
      </c>
      <c r="D187" s="94" t="s">
        <v>2649</v>
      </c>
      <c r="E187" s="94" t="s">
        <v>2648</v>
      </c>
      <c r="F187" s="94" t="s">
        <v>1677</v>
      </c>
      <c r="G187" s="94" t="s">
        <v>2417</v>
      </c>
      <c r="H187" s="119">
        <v>1</v>
      </c>
      <c r="I187" s="119">
        <v>3</v>
      </c>
      <c r="J187" s="119">
        <f t="shared" si="16"/>
        <v>3</v>
      </c>
      <c r="K187" s="119">
        <v>95238095</v>
      </c>
      <c r="L187" s="119">
        <v>31746031.666666668</v>
      </c>
      <c r="M187" s="119">
        <f t="shared" si="17"/>
        <v>1</v>
      </c>
      <c r="N187" s="119">
        <f t="shared" si="18"/>
        <v>31746031.666666672</v>
      </c>
      <c r="O187" s="120">
        <v>45309</v>
      </c>
      <c r="P187" s="120">
        <v>46404</v>
      </c>
      <c r="Q187" s="119">
        <v>2</v>
      </c>
      <c r="R187" s="121">
        <v>63492063.333333328</v>
      </c>
      <c r="S187" s="119">
        <v>0</v>
      </c>
      <c r="T187" s="121">
        <v>0</v>
      </c>
      <c r="U187" s="119">
        <v>1</v>
      </c>
      <c r="V187" s="121">
        <f t="shared" si="19"/>
        <v>31746031.666666668</v>
      </c>
      <c r="W187" s="119">
        <f t="shared" si="20"/>
        <v>1</v>
      </c>
      <c r="X187" s="121">
        <f t="shared" si="21"/>
        <v>31746031.66666666</v>
      </c>
      <c r="Y187" s="122" t="s">
        <v>2416</v>
      </c>
      <c r="Z187" s="123" t="s">
        <v>2407</v>
      </c>
      <c r="AA187" s="123" t="s">
        <v>2406</v>
      </c>
      <c r="AB187" s="123" t="s">
        <v>2372</v>
      </c>
      <c r="AC187" s="124" t="s">
        <v>12</v>
      </c>
      <c r="AD187" s="110">
        <f>COUNTIF('KK1. Movies'!AI:AI,'TK 15661.Bản quyền phim '!F187)</f>
        <v>1</v>
      </c>
      <c r="AE187" s="110">
        <f>COUNTIF('KK2. Series'!AM:AM,'TK 15661.Bản quyền phim '!F187)</f>
        <v>0</v>
      </c>
      <c r="AF187" s="110">
        <f>COUNTIF('KK3. Kids'!AF:AF,'TK 15661.Bản quyền phim '!F187)</f>
        <v>0</v>
      </c>
      <c r="AG187" s="110"/>
      <c r="AH187" s="110" t="str">
        <f t="shared" si="22"/>
        <v>OK</v>
      </c>
    </row>
    <row r="188" spans="1:34" ht="15.6" hidden="1" x14ac:dyDescent="0.3">
      <c r="A188" s="43"/>
      <c r="B188" s="108" t="s">
        <v>2846</v>
      </c>
      <c r="C188" s="94" t="s">
        <v>2493</v>
      </c>
      <c r="D188" s="94" t="s">
        <v>2649</v>
      </c>
      <c r="E188" s="94" t="s">
        <v>2648</v>
      </c>
      <c r="F188" s="94" t="s">
        <v>2004</v>
      </c>
      <c r="G188" s="94" t="s">
        <v>2417</v>
      </c>
      <c r="H188" s="119">
        <v>1</v>
      </c>
      <c r="I188" s="119">
        <v>3</v>
      </c>
      <c r="J188" s="119">
        <f t="shared" si="16"/>
        <v>3</v>
      </c>
      <c r="K188" s="119">
        <v>90738095</v>
      </c>
      <c r="L188" s="119">
        <v>30246031.666666668</v>
      </c>
      <c r="M188" s="119">
        <f t="shared" si="17"/>
        <v>1</v>
      </c>
      <c r="N188" s="119">
        <f t="shared" si="18"/>
        <v>30246031.666666672</v>
      </c>
      <c r="O188" s="120">
        <v>45310</v>
      </c>
      <c r="P188" s="120">
        <v>46405</v>
      </c>
      <c r="Q188" s="119">
        <v>2</v>
      </c>
      <c r="R188" s="121">
        <v>60492063.333333328</v>
      </c>
      <c r="S188" s="119">
        <v>0</v>
      </c>
      <c r="T188" s="121">
        <v>0</v>
      </c>
      <c r="U188" s="119">
        <v>1</v>
      </c>
      <c r="V188" s="121">
        <f t="shared" si="19"/>
        <v>30246031.666666668</v>
      </c>
      <c r="W188" s="119">
        <f t="shared" si="20"/>
        <v>1</v>
      </c>
      <c r="X188" s="121">
        <f t="shared" si="21"/>
        <v>30246031.66666666</v>
      </c>
      <c r="Y188" s="122" t="s">
        <v>2416</v>
      </c>
      <c r="Z188" s="123" t="s">
        <v>2407</v>
      </c>
      <c r="AA188" s="123" t="s">
        <v>2406</v>
      </c>
      <c r="AB188" s="123" t="s">
        <v>2372</v>
      </c>
      <c r="AC188" s="124" t="s">
        <v>12</v>
      </c>
      <c r="AD188" s="110">
        <f>COUNTIF('KK1. Movies'!AI:AI,'TK 15661.Bản quyền phim '!F188)</f>
        <v>1</v>
      </c>
      <c r="AE188" s="110">
        <f>COUNTIF('KK2. Series'!AM:AM,'TK 15661.Bản quyền phim '!F188)</f>
        <v>0</v>
      </c>
      <c r="AF188" s="110">
        <f>COUNTIF('KK3. Kids'!AF:AF,'TK 15661.Bản quyền phim '!F188)</f>
        <v>0</v>
      </c>
      <c r="AG188" s="110"/>
      <c r="AH188" s="110" t="str">
        <f t="shared" si="22"/>
        <v>OK</v>
      </c>
    </row>
    <row r="189" spans="1:34" ht="15.6" hidden="1" x14ac:dyDescent="0.3">
      <c r="A189" s="43"/>
      <c r="B189" s="108" t="s">
        <v>2845</v>
      </c>
      <c r="C189" s="94" t="s">
        <v>2493</v>
      </c>
      <c r="D189" s="94" t="s">
        <v>2649</v>
      </c>
      <c r="E189" s="94" t="s">
        <v>2648</v>
      </c>
      <c r="F189" s="94" t="s">
        <v>1647</v>
      </c>
      <c r="G189" s="94" t="s">
        <v>2417</v>
      </c>
      <c r="H189" s="119">
        <v>1</v>
      </c>
      <c r="I189" s="119">
        <v>3</v>
      </c>
      <c r="J189" s="119">
        <f t="shared" si="16"/>
        <v>3</v>
      </c>
      <c r="K189" s="119">
        <v>89761905</v>
      </c>
      <c r="L189" s="119">
        <v>29920635</v>
      </c>
      <c r="M189" s="119">
        <f t="shared" si="17"/>
        <v>1</v>
      </c>
      <c r="N189" s="119">
        <f t="shared" si="18"/>
        <v>29920635</v>
      </c>
      <c r="O189" s="120">
        <v>45316</v>
      </c>
      <c r="P189" s="120">
        <v>46411</v>
      </c>
      <c r="Q189" s="119">
        <v>2</v>
      </c>
      <c r="R189" s="121">
        <v>59841270</v>
      </c>
      <c r="S189" s="119">
        <v>0</v>
      </c>
      <c r="T189" s="121">
        <v>0</v>
      </c>
      <c r="U189" s="119">
        <v>1</v>
      </c>
      <c r="V189" s="121">
        <f t="shared" si="19"/>
        <v>29920635</v>
      </c>
      <c r="W189" s="119">
        <f t="shared" si="20"/>
        <v>1</v>
      </c>
      <c r="X189" s="121">
        <f t="shared" si="21"/>
        <v>29920635</v>
      </c>
      <c r="Y189" s="122" t="s">
        <v>2416</v>
      </c>
      <c r="Z189" s="123" t="s">
        <v>2407</v>
      </c>
      <c r="AA189" s="123" t="s">
        <v>2406</v>
      </c>
      <c r="AB189" s="123" t="s">
        <v>2372</v>
      </c>
      <c r="AC189" s="124" t="s">
        <v>12</v>
      </c>
      <c r="AD189" s="110">
        <f>COUNTIF('KK1. Movies'!AI:AI,'TK 15661.Bản quyền phim '!F189)</f>
        <v>1</v>
      </c>
      <c r="AE189" s="110">
        <f>COUNTIF('KK2. Series'!AM:AM,'TK 15661.Bản quyền phim '!F189)</f>
        <v>0</v>
      </c>
      <c r="AF189" s="110">
        <f>COUNTIF('KK3. Kids'!AF:AF,'TK 15661.Bản quyền phim '!F189)</f>
        <v>0</v>
      </c>
      <c r="AG189" s="110"/>
      <c r="AH189" s="110" t="str">
        <f t="shared" si="22"/>
        <v>OK</v>
      </c>
    </row>
    <row r="190" spans="1:34" ht="15.6" hidden="1" x14ac:dyDescent="0.3">
      <c r="A190" s="43"/>
      <c r="B190" s="108" t="s">
        <v>2844</v>
      </c>
      <c r="C190" s="94" t="s">
        <v>2493</v>
      </c>
      <c r="D190" s="94" t="s">
        <v>2649</v>
      </c>
      <c r="E190" s="94" t="s">
        <v>2648</v>
      </c>
      <c r="F190" s="94" t="s">
        <v>1816</v>
      </c>
      <c r="G190" s="94" t="s">
        <v>2417</v>
      </c>
      <c r="H190" s="119">
        <v>1</v>
      </c>
      <c r="I190" s="119">
        <v>3</v>
      </c>
      <c r="J190" s="119">
        <f t="shared" si="16"/>
        <v>3</v>
      </c>
      <c r="K190" s="119">
        <v>117142857</v>
      </c>
      <c r="L190" s="119">
        <v>39047619</v>
      </c>
      <c r="M190" s="119">
        <f t="shared" si="17"/>
        <v>1</v>
      </c>
      <c r="N190" s="119">
        <f t="shared" si="18"/>
        <v>39047619</v>
      </c>
      <c r="O190" s="120">
        <v>45317</v>
      </c>
      <c r="P190" s="120">
        <v>46402</v>
      </c>
      <c r="Q190" s="119">
        <v>2</v>
      </c>
      <c r="R190" s="121">
        <v>78095238</v>
      </c>
      <c r="S190" s="119">
        <v>0</v>
      </c>
      <c r="T190" s="121">
        <v>0</v>
      </c>
      <c r="U190" s="119">
        <v>1</v>
      </c>
      <c r="V190" s="121">
        <f t="shared" si="19"/>
        <v>39047619</v>
      </c>
      <c r="W190" s="119">
        <f t="shared" si="20"/>
        <v>1</v>
      </c>
      <c r="X190" s="121">
        <f t="shared" si="21"/>
        <v>39047619</v>
      </c>
      <c r="Y190" s="122" t="s">
        <v>2416</v>
      </c>
      <c r="Z190" s="123" t="s">
        <v>2407</v>
      </c>
      <c r="AA190" s="123" t="s">
        <v>2406</v>
      </c>
      <c r="AB190" s="123" t="s">
        <v>2372</v>
      </c>
      <c r="AC190" s="124" t="s">
        <v>12</v>
      </c>
      <c r="AD190" s="110">
        <f>COUNTIF('KK1. Movies'!AI:AI,'TK 15661.Bản quyền phim '!F190)</f>
        <v>1</v>
      </c>
      <c r="AE190" s="110">
        <f>COUNTIF('KK2. Series'!AM:AM,'TK 15661.Bản quyền phim '!F190)</f>
        <v>0</v>
      </c>
      <c r="AF190" s="110">
        <f>COUNTIF('KK3. Kids'!AF:AF,'TK 15661.Bản quyền phim '!F190)</f>
        <v>0</v>
      </c>
      <c r="AG190" s="110"/>
      <c r="AH190" s="110" t="str">
        <f t="shared" si="22"/>
        <v>OK</v>
      </c>
    </row>
    <row r="191" spans="1:34" ht="15.6" hidden="1" x14ac:dyDescent="0.3">
      <c r="A191" s="43"/>
      <c r="B191" s="108" t="s">
        <v>2843</v>
      </c>
      <c r="C191" s="94" t="s">
        <v>2493</v>
      </c>
      <c r="D191" s="94" t="s">
        <v>2649</v>
      </c>
      <c r="E191" s="94" t="s">
        <v>2648</v>
      </c>
      <c r="F191" s="94" t="s">
        <v>2304</v>
      </c>
      <c r="G191" s="94" t="s">
        <v>2417</v>
      </c>
      <c r="H191" s="119">
        <v>1</v>
      </c>
      <c r="I191" s="119">
        <v>3</v>
      </c>
      <c r="J191" s="119">
        <f t="shared" si="16"/>
        <v>3</v>
      </c>
      <c r="K191" s="119">
        <v>88388095</v>
      </c>
      <c r="L191" s="119">
        <v>29462698.333333332</v>
      </c>
      <c r="M191" s="119">
        <f t="shared" si="17"/>
        <v>1</v>
      </c>
      <c r="N191" s="119">
        <f t="shared" si="18"/>
        <v>29462698.333333328</v>
      </c>
      <c r="O191" s="120">
        <v>45338</v>
      </c>
      <c r="P191" s="120">
        <v>46433</v>
      </c>
      <c r="Q191" s="119">
        <v>2</v>
      </c>
      <c r="R191" s="121">
        <v>58925396.666666672</v>
      </c>
      <c r="S191" s="119">
        <v>0</v>
      </c>
      <c r="T191" s="121">
        <v>0</v>
      </c>
      <c r="U191" s="119">
        <v>1</v>
      </c>
      <c r="V191" s="121">
        <f t="shared" si="19"/>
        <v>29462698.333333332</v>
      </c>
      <c r="W191" s="119">
        <f t="shared" si="20"/>
        <v>1</v>
      </c>
      <c r="X191" s="121">
        <f t="shared" si="21"/>
        <v>29462698.33333334</v>
      </c>
      <c r="Y191" s="122" t="s">
        <v>2416</v>
      </c>
      <c r="Z191" s="123" t="s">
        <v>2407</v>
      </c>
      <c r="AA191" s="123" t="s">
        <v>2406</v>
      </c>
      <c r="AB191" s="123" t="s">
        <v>2372</v>
      </c>
      <c r="AC191" s="124" t="s">
        <v>12</v>
      </c>
      <c r="AD191" s="110">
        <f>COUNTIF('KK1. Movies'!AI:AI,'TK 15661.Bản quyền phim '!F191)</f>
        <v>1</v>
      </c>
      <c r="AE191" s="110">
        <f>COUNTIF('KK2. Series'!AM:AM,'TK 15661.Bản quyền phim '!F191)</f>
        <v>0</v>
      </c>
      <c r="AF191" s="110">
        <f>COUNTIF('KK3. Kids'!AF:AF,'TK 15661.Bản quyền phim '!F191)</f>
        <v>0</v>
      </c>
      <c r="AG191" s="110"/>
      <c r="AH191" s="110" t="str">
        <f t="shared" si="22"/>
        <v>OK</v>
      </c>
    </row>
    <row r="192" spans="1:34" ht="15.6" hidden="1" x14ac:dyDescent="0.3">
      <c r="A192" s="43"/>
      <c r="B192" s="108" t="s">
        <v>2842</v>
      </c>
      <c r="C192" s="94" t="s">
        <v>2493</v>
      </c>
      <c r="D192" s="94" t="s">
        <v>2649</v>
      </c>
      <c r="E192" s="94" t="s">
        <v>2648</v>
      </c>
      <c r="F192" s="94" t="s">
        <v>2035</v>
      </c>
      <c r="G192" s="94" t="s">
        <v>2417</v>
      </c>
      <c r="H192" s="119">
        <v>1</v>
      </c>
      <c r="I192" s="119">
        <v>3</v>
      </c>
      <c r="J192" s="119">
        <f t="shared" si="16"/>
        <v>3</v>
      </c>
      <c r="K192" s="119">
        <v>95988095</v>
      </c>
      <c r="L192" s="119">
        <v>31996031.666666668</v>
      </c>
      <c r="M192" s="119">
        <f t="shared" si="17"/>
        <v>1</v>
      </c>
      <c r="N192" s="119">
        <f t="shared" si="18"/>
        <v>31996031.666666672</v>
      </c>
      <c r="O192" s="120">
        <v>45554</v>
      </c>
      <c r="P192" s="120">
        <v>46648</v>
      </c>
      <c r="Q192" s="119">
        <v>2</v>
      </c>
      <c r="R192" s="121">
        <v>63992063.333333328</v>
      </c>
      <c r="S192" s="119">
        <v>0</v>
      </c>
      <c r="T192" s="121">
        <v>0</v>
      </c>
      <c r="U192" s="119">
        <v>1</v>
      </c>
      <c r="V192" s="121">
        <f t="shared" si="19"/>
        <v>31996031.666666668</v>
      </c>
      <c r="W192" s="119">
        <f t="shared" si="20"/>
        <v>1</v>
      </c>
      <c r="X192" s="121">
        <f t="shared" si="21"/>
        <v>31996031.66666666</v>
      </c>
      <c r="Y192" s="122" t="s">
        <v>2416</v>
      </c>
      <c r="Z192" s="123" t="s">
        <v>2407</v>
      </c>
      <c r="AA192" s="123" t="s">
        <v>2406</v>
      </c>
      <c r="AB192" s="123" t="s">
        <v>2372</v>
      </c>
      <c r="AC192" s="124" t="s">
        <v>12</v>
      </c>
      <c r="AD192" s="110">
        <f>COUNTIF('KK1. Movies'!AI:AI,'TK 15661.Bản quyền phim '!F192)</f>
        <v>1</v>
      </c>
      <c r="AE192" s="110">
        <f>COUNTIF('KK2. Series'!AM:AM,'TK 15661.Bản quyền phim '!F192)</f>
        <v>0</v>
      </c>
      <c r="AF192" s="110">
        <f>COUNTIF('KK3. Kids'!AF:AF,'TK 15661.Bản quyền phim '!F192)</f>
        <v>0</v>
      </c>
      <c r="AG192" s="110"/>
      <c r="AH192" s="110" t="str">
        <f t="shared" si="22"/>
        <v>OK</v>
      </c>
    </row>
    <row r="193" spans="1:34" ht="15.6" hidden="1" x14ac:dyDescent="0.3">
      <c r="A193" s="43"/>
      <c r="B193" s="108" t="s">
        <v>2841</v>
      </c>
      <c r="C193" s="94" t="s">
        <v>2493</v>
      </c>
      <c r="D193" s="94" t="s">
        <v>2649</v>
      </c>
      <c r="E193" s="94" t="s">
        <v>2648</v>
      </c>
      <c r="F193" s="94" t="s">
        <v>2246</v>
      </c>
      <c r="G193" s="94" t="s">
        <v>2417</v>
      </c>
      <c r="H193" s="119">
        <v>1</v>
      </c>
      <c r="I193" s="119">
        <v>3</v>
      </c>
      <c r="J193" s="119">
        <f t="shared" si="16"/>
        <v>3</v>
      </c>
      <c r="K193" s="119">
        <v>103142857</v>
      </c>
      <c r="L193" s="119">
        <v>34380952.333333336</v>
      </c>
      <c r="M193" s="119">
        <f t="shared" si="17"/>
        <v>1</v>
      </c>
      <c r="N193" s="119">
        <f t="shared" si="18"/>
        <v>34380952.333333343</v>
      </c>
      <c r="O193" s="120">
        <v>45575</v>
      </c>
      <c r="P193" s="120">
        <v>46669</v>
      </c>
      <c r="Q193" s="119">
        <v>2</v>
      </c>
      <c r="R193" s="121">
        <v>68761904.666666657</v>
      </c>
      <c r="S193" s="119">
        <v>0</v>
      </c>
      <c r="T193" s="121">
        <v>0</v>
      </c>
      <c r="U193" s="119">
        <v>1</v>
      </c>
      <c r="V193" s="121">
        <f t="shared" si="19"/>
        <v>34380952.333333336</v>
      </c>
      <c r="W193" s="119">
        <f t="shared" si="20"/>
        <v>1</v>
      </c>
      <c r="X193" s="121">
        <f t="shared" si="21"/>
        <v>34380952.333333321</v>
      </c>
      <c r="Y193" s="122" t="s">
        <v>2416</v>
      </c>
      <c r="Z193" s="123" t="s">
        <v>2407</v>
      </c>
      <c r="AA193" s="123" t="s">
        <v>2406</v>
      </c>
      <c r="AB193" s="123" t="s">
        <v>2372</v>
      </c>
      <c r="AC193" s="124" t="s">
        <v>12</v>
      </c>
      <c r="AD193" s="110">
        <f>COUNTIF('KK1. Movies'!AI:AI,'TK 15661.Bản quyền phim '!F193)</f>
        <v>1</v>
      </c>
      <c r="AE193" s="110">
        <f>COUNTIF('KK2. Series'!AM:AM,'TK 15661.Bản quyền phim '!F193)</f>
        <v>0</v>
      </c>
      <c r="AF193" s="110">
        <f>COUNTIF('KK3. Kids'!AF:AF,'TK 15661.Bản quyền phim '!F193)</f>
        <v>0</v>
      </c>
      <c r="AG193" s="110"/>
      <c r="AH193" s="110" t="str">
        <f t="shared" si="22"/>
        <v>OK</v>
      </c>
    </row>
    <row r="194" spans="1:34" ht="15.6" hidden="1" x14ac:dyDescent="0.3">
      <c r="A194" s="43"/>
      <c r="B194" s="108" t="s">
        <v>2840</v>
      </c>
      <c r="C194" s="94" t="s">
        <v>2493</v>
      </c>
      <c r="D194" s="94" t="s">
        <v>2604</v>
      </c>
      <c r="E194" s="94" t="s">
        <v>2603</v>
      </c>
      <c r="F194" s="94" t="s">
        <v>1786</v>
      </c>
      <c r="G194" s="94" t="s">
        <v>2417</v>
      </c>
      <c r="H194" s="119">
        <v>1</v>
      </c>
      <c r="I194" s="119">
        <v>3</v>
      </c>
      <c r="J194" s="119">
        <f t="shared" si="16"/>
        <v>3</v>
      </c>
      <c r="K194" s="119">
        <v>100000476</v>
      </c>
      <c r="L194" s="119">
        <v>33333492</v>
      </c>
      <c r="M194" s="119">
        <f t="shared" si="17"/>
        <v>1</v>
      </c>
      <c r="N194" s="119">
        <f t="shared" si="18"/>
        <v>33333492</v>
      </c>
      <c r="O194" s="120">
        <v>45323</v>
      </c>
      <c r="P194" s="120">
        <v>46418</v>
      </c>
      <c r="Q194" s="119">
        <v>2</v>
      </c>
      <c r="R194" s="121">
        <v>66666984</v>
      </c>
      <c r="S194" s="119">
        <v>0</v>
      </c>
      <c r="T194" s="121">
        <v>0</v>
      </c>
      <c r="U194" s="119">
        <v>1</v>
      </c>
      <c r="V194" s="121">
        <f t="shared" si="19"/>
        <v>33333492</v>
      </c>
      <c r="W194" s="119">
        <f t="shared" si="20"/>
        <v>1</v>
      </c>
      <c r="X194" s="121">
        <f t="shared" si="21"/>
        <v>33333492</v>
      </c>
      <c r="Y194" s="122" t="s">
        <v>2416</v>
      </c>
      <c r="Z194" s="123" t="s">
        <v>2407</v>
      </c>
      <c r="AA194" s="123" t="s">
        <v>2406</v>
      </c>
      <c r="AB194" s="123" t="s">
        <v>2372</v>
      </c>
      <c r="AC194" s="124" t="s">
        <v>12</v>
      </c>
      <c r="AD194" s="110">
        <f>COUNTIF('KK1. Movies'!AI:AI,'TK 15661.Bản quyền phim '!F194)</f>
        <v>1</v>
      </c>
      <c r="AE194" s="110">
        <f>COUNTIF('KK2. Series'!AM:AM,'TK 15661.Bản quyền phim '!F194)</f>
        <v>0</v>
      </c>
      <c r="AF194" s="110">
        <f>COUNTIF('KK3. Kids'!AF:AF,'TK 15661.Bản quyền phim '!F194)</f>
        <v>0</v>
      </c>
      <c r="AG194" s="110"/>
      <c r="AH194" s="110" t="str">
        <f t="shared" si="22"/>
        <v>OK</v>
      </c>
    </row>
    <row r="195" spans="1:34" ht="15.6" hidden="1" x14ac:dyDescent="0.3">
      <c r="A195" s="43"/>
      <c r="B195" s="108" t="s">
        <v>2839</v>
      </c>
      <c r="C195" s="94" t="s">
        <v>2493</v>
      </c>
      <c r="D195" s="94" t="s">
        <v>2604</v>
      </c>
      <c r="E195" s="94" t="s">
        <v>2603</v>
      </c>
      <c r="F195" s="94" t="s">
        <v>2158</v>
      </c>
      <c r="G195" s="94" t="s">
        <v>2417</v>
      </c>
      <c r="H195" s="119">
        <v>1</v>
      </c>
      <c r="I195" s="119">
        <v>3</v>
      </c>
      <c r="J195" s="119">
        <f t="shared" si="16"/>
        <v>3</v>
      </c>
      <c r="K195" s="119">
        <v>100000476</v>
      </c>
      <c r="L195" s="119">
        <v>33333492</v>
      </c>
      <c r="M195" s="119">
        <f t="shared" si="17"/>
        <v>1</v>
      </c>
      <c r="N195" s="119">
        <f t="shared" si="18"/>
        <v>33333492</v>
      </c>
      <c r="O195" s="120">
        <v>45323</v>
      </c>
      <c r="P195" s="120">
        <v>46418</v>
      </c>
      <c r="Q195" s="119">
        <v>2</v>
      </c>
      <c r="R195" s="121">
        <v>66666984</v>
      </c>
      <c r="S195" s="119">
        <v>0</v>
      </c>
      <c r="T195" s="121">
        <v>0</v>
      </c>
      <c r="U195" s="119">
        <v>1</v>
      </c>
      <c r="V195" s="121">
        <f t="shared" si="19"/>
        <v>33333492</v>
      </c>
      <c r="W195" s="119">
        <f t="shared" si="20"/>
        <v>1</v>
      </c>
      <c r="X195" s="121">
        <f t="shared" si="21"/>
        <v>33333492</v>
      </c>
      <c r="Y195" s="122" t="s">
        <v>2416</v>
      </c>
      <c r="Z195" s="123" t="s">
        <v>2407</v>
      </c>
      <c r="AA195" s="123" t="s">
        <v>2406</v>
      </c>
      <c r="AB195" s="123" t="s">
        <v>2372</v>
      </c>
      <c r="AC195" s="124" t="s">
        <v>12</v>
      </c>
      <c r="AD195" s="110">
        <f>COUNTIF('KK1. Movies'!AI:AI,'TK 15661.Bản quyền phim '!F195)</f>
        <v>1</v>
      </c>
      <c r="AE195" s="110">
        <f>COUNTIF('KK2. Series'!AM:AM,'TK 15661.Bản quyền phim '!F195)</f>
        <v>0</v>
      </c>
      <c r="AF195" s="110">
        <f>COUNTIF('KK3. Kids'!AF:AF,'TK 15661.Bản quyền phim '!F195)</f>
        <v>0</v>
      </c>
      <c r="AG195" s="110"/>
      <c r="AH195" s="110" t="str">
        <f t="shared" si="22"/>
        <v>OK</v>
      </c>
    </row>
    <row r="196" spans="1:34" ht="15.6" hidden="1" x14ac:dyDescent="0.3">
      <c r="A196" s="43"/>
      <c r="B196" s="108" t="s">
        <v>2838</v>
      </c>
      <c r="C196" s="94" t="s">
        <v>2493</v>
      </c>
      <c r="D196" s="94" t="s">
        <v>2604</v>
      </c>
      <c r="E196" s="94" t="s">
        <v>2603</v>
      </c>
      <c r="F196" s="94" t="s">
        <v>1953</v>
      </c>
      <c r="G196" s="94" t="s">
        <v>2417</v>
      </c>
      <c r="H196" s="119">
        <v>1</v>
      </c>
      <c r="I196" s="119">
        <v>3</v>
      </c>
      <c r="J196" s="119">
        <f t="shared" si="16"/>
        <v>3</v>
      </c>
      <c r="K196" s="119">
        <v>100000476</v>
      </c>
      <c r="L196" s="119">
        <v>33333492</v>
      </c>
      <c r="M196" s="119">
        <f t="shared" si="17"/>
        <v>1</v>
      </c>
      <c r="N196" s="119">
        <f t="shared" si="18"/>
        <v>33333492</v>
      </c>
      <c r="O196" s="120">
        <v>45324</v>
      </c>
      <c r="P196" s="120">
        <v>46419</v>
      </c>
      <c r="Q196" s="119">
        <v>2</v>
      </c>
      <c r="R196" s="121">
        <v>66666984</v>
      </c>
      <c r="S196" s="119">
        <v>0</v>
      </c>
      <c r="T196" s="121">
        <v>0</v>
      </c>
      <c r="U196" s="119">
        <v>1</v>
      </c>
      <c r="V196" s="121">
        <f t="shared" si="19"/>
        <v>33333492</v>
      </c>
      <c r="W196" s="119">
        <f t="shared" si="20"/>
        <v>1</v>
      </c>
      <c r="X196" s="121">
        <f t="shared" si="21"/>
        <v>33333492</v>
      </c>
      <c r="Y196" s="122" t="s">
        <v>2416</v>
      </c>
      <c r="Z196" s="123" t="s">
        <v>2407</v>
      </c>
      <c r="AA196" s="123" t="s">
        <v>2406</v>
      </c>
      <c r="AB196" s="123" t="s">
        <v>2372</v>
      </c>
      <c r="AC196" s="124" t="s">
        <v>12</v>
      </c>
      <c r="AD196" s="110">
        <f>COUNTIF('KK1. Movies'!AI:AI,'TK 15661.Bản quyền phim '!F196)</f>
        <v>1</v>
      </c>
      <c r="AE196" s="110">
        <f>COUNTIF('KK2. Series'!AM:AM,'TK 15661.Bản quyền phim '!F196)</f>
        <v>0</v>
      </c>
      <c r="AF196" s="110">
        <f>COUNTIF('KK3. Kids'!AF:AF,'TK 15661.Bản quyền phim '!F196)</f>
        <v>0</v>
      </c>
      <c r="AG196" s="110"/>
      <c r="AH196" s="110" t="str">
        <f t="shared" si="22"/>
        <v>OK</v>
      </c>
    </row>
    <row r="197" spans="1:34" ht="15.6" hidden="1" x14ac:dyDescent="0.3">
      <c r="A197" s="43"/>
      <c r="B197" s="108" t="s">
        <v>2837</v>
      </c>
      <c r="C197" s="94" t="s">
        <v>2493</v>
      </c>
      <c r="D197" s="94" t="s">
        <v>2604</v>
      </c>
      <c r="E197" s="94" t="s">
        <v>2603</v>
      </c>
      <c r="F197" s="94" t="s">
        <v>2068</v>
      </c>
      <c r="G197" s="94" t="s">
        <v>2417</v>
      </c>
      <c r="H197" s="119">
        <v>1</v>
      </c>
      <c r="I197" s="119">
        <v>3</v>
      </c>
      <c r="J197" s="119">
        <f t="shared" si="16"/>
        <v>3</v>
      </c>
      <c r="K197" s="119">
        <v>100000476</v>
      </c>
      <c r="L197" s="119">
        <v>33333492</v>
      </c>
      <c r="M197" s="119">
        <f t="shared" si="17"/>
        <v>1</v>
      </c>
      <c r="N197" s="119">
        <f t="shared" si="18"/>
        <v>33333492</v>
      </c>
      <c r="O197" s="120">
        <v>45337</v>
      </c>
      <c r="P197" s="120">
        <v>46432</v>
      </c>
      <c r="Q197" s="119">
        <v>2</v>
      </c>
      <c r="R197" s="121">
        <v>66666984</v>
      </c>
      <c r="S197" s="119">
        <v>0</v>
      </c>
      <c r="T197" s="121">
        <v>0</v>
      </c>
      <c r="U197" s="119">
        <v>1</v>
      </c>
      <c r="V197" s="121">
        <f t="shared" si="19"/>
        <v>33333492</v>
      </c>
      <c r="W197" s="119">
        <f t="shared" si="20"/>
        <v>1</v>
      </c>
      <c r="X197" s="121">
        <f t="shared" si="21"/>
        <v>33333492</v>
      </c>
      <c r="Y197" s="122" t="s">
        <v>2416</v>
      </c>
      <c r="Z197" s="123" t="s">
        <v>2407</v>
      </c>
      <c r="AA197" s="123" t="s">
        <v>2406</v>
      </c>
      <c r="AB197" s="123" t="s">
        <v>2372</v>
      </c>
      <c r="AC197" s="124" t="s">
        <v>12</v>
      </c>
      <c r="AD197" s="110">
        <f>COUNTIF('KK1. Movies'!AI:AI,'TK 15661.Bản quyền phim '!F197)</f>
        <v>1</v>
      </c>
      <c r="AE197" s="110">
        <f>COUNTIF('KK2. Series'!AM:AM,'TK 15661.Bản quyền phim '!F197)</f>
        <v>0</v>
      </c>
      <c r="AF197" s="110">
        <f>COUNTIF('KK3. Kids'!AF:AF,'TK 15661.Bản quyền phim '!F197)</f>
        <v>0</v>
      </c>
      <c r="AG197" s="110"/>
      <c r="AH197" s="110" t="str">
        <f t="shared" si="22"/>
        <v>OK</v>
      </c>
    </row>
    <row r="198" spans="1:34" ht="15.6" hidden="1" x14ac:dyDescent="0.3">
      <c r="A198" s="43"/>
      <c r="B198" s="108" t="s">
        <v>2836</v>
      </c>
      <c r="C198" s="94" t="s">
        <v>2493</v>
      </c>
      <c r="D198" s="94" t="s">
        <v>2604</v>
      </c>
      <c r="E198" s="94" t="s">
        <v>2603</v>
      </c>
      <c r="F198" s="94" t="s">
        <v>1652</v>
      </c>
      <c r="G198" s="94" t="s">
        <v>2417</v>
      </c>
      <c r="H198" s="119">
        <v>1</v>
      </c>
      <c r="I198" s="119">
        <v>3</v>
      </c>
      <c r="J198" s="119">
        <f t="shared" ref="J198:J261" si="24">H198*I198</f>
        <v>3</v>
      </c>
      <c r="K198" s="119">
        <v>100000476</v>
      </c>
      <c r="L198" s="119">
        <v>33333492</v>
      </c>
      <c r="M198" s="119">
        <f t="shared" ref="M198:M261" si="25">J198-Q198</f>
        <v>1</v>
      </c>
      <c r="N198" s="119">
        <f t="shared" ref="N198:N261" si="26">K198-R198</f>
        <v>33333492</v>
      </c>
      <c r="O198" s="120">
        <v>45345</v>
      </c>
      <c r="P198" s="120">
        <v>46440</v>
      </c>
      <c r="Q198" s="119">
        <v>2</v>
      </c>
      <c r="R198" s="121">
        <v>66666984</v>
      </c>
      <c r="S198" s="119">
        <v>0</v>
      </c>
      <c r="T198" s="121">
        <v>0</v>
      </c>
      <c r="U198" s="119">
        <v>1</v>
      </c>
      <c r="V198" s="121">
        <f t="shared" ref="V198:V261" si="27">U198*L198</f>
        <v>33333492</v>
      </c>
      <c r="W198" s="119">
        <f t="shared" ref="W198:W261" si="28">Q198+S198-U198</f>
        <v>1</v>
      </c>
      <c r="X198" s="121">
        <f t="shared" ref="X198:X261" si="29">R198+T198-V198</f>
        <v>33333492</v>
      </c>
      <c r="Y198" s="122" t="s">
        <v>2416</v>
      </c>
      <c r="Z198" s="123" t="s">
        <v>2407</v>
      </c>
      <c r="AA198" s="123" t="s">
        <v>2406</v>
      </c>
      <c r="AB198" s="123" t="s">
        <v>2372</v>
      </c>
      <c r="AC198" s="124" t="s">
        <v>12</v>
      </c>
      <c r="AD198" s="110">
        <f>COUNTIF('KK1. Movies'!AI:AI,'TK 15661.Bản quyền phim '!F198)</f>
        <v>1</v>
      </c>
      <c r="AE198" s="110">
        <f>COUNTIF('KK2. Series'!AM:AM,'TK 15661.Bản quyền phim '!F198)</f>
        <v>0</v>
      </c>
      <c r="AF198" s="110">
        <f>COUNTIF('KK3. Kids'!AF:AF,'TK 15661.Bản quyền phim '!F198)</f>
        <v>0</v>
      </c>
      <c r="AG198" s="110"/>
      <c r="AH198" s="110" t="str">
        <f t="shared" si="22"/>
        <v>OK</v>
      </c>
    </row>
    <row r="199" spans="1:34" ht="15.6" hidden="1" x14ac:dyDescent="0.3">
      <c r="A199" s="43"/>
      <c r="B199" s="108" t="s">
        <v>2835</v>
      </c>
      <c r="C199" s="94" t="s">
        <v>2493</v>
      </c>
      <c r="D199" s="94" t="s">
        <v>2604</v>
      </c>
      <c r="E199" s="94" t="s">
        <v>2603</v>
      </c>
      <c r="F199" s="94" t="s">
        <v>2014</v>
      </c>
      <c r="G199" s="94" t="s">
        <v>2417</v>
      </c>
      <c r="H199" s="119">
        <v>1</v>
      </c>
      <c r="I199" s="119">
        <v>3</v>
      </c>
      <c r="J199" s="119">
        <f t="shared" si="24"/>
        <v>3</v>
      </c>
      <c r="K199" s="119">
        <v>100000476</v>
      </c>
      <c r="L199" s="119">
        <v>33333492</v>
      </c>
      <c r="M199" s="119">
        <f t="shared" si="25"/>
        <v>1</v>
      </c>
      <c r="N199" s="119">
        <f t="shared" si="26"/>
        <v>33333492</v>
      </c>
      <c r="O199" s="120">
        <v>45351</v>
      </c>
      <c r="P199" s="120">
        <v>46446</v>
      </c>
      <c r="Q199" s="119">
        <v>2</v>
      </c>
      <c r="R199" s="121">
        <v>66666984</v>
      </c>
      <c r="S199" s="119">
        <v>0</v>
      </c>
      <c r="T199" s="121">
        <v>0</v>
      </c>
      <c r="U199" s="119">
        <v>1</v>
      </c>
      <c r="V199" s="121">
        <f t="shared" si="27"/>
        <v>33333492</v>
      </c>
      <c r="W199" s="119">
        <f t="shared" si="28"/>
        <v>1</v>
      </c>
      <c r="X199" s="121">
        <f t="shared" si="29"/>
        <v>33333492</v>
      </c>
      <c r="Y199" s="122" t="s">
        <v>2416</v>
      </c>
      <c r="Z199" s="123" t="s">
        <v>2407</v>
      </c>
      <c r="AA199" s="123" t="s">
        <v>2406</v>
      </c>
      <c r="AB199" s="123" t="s">
        <v>2372</v>
      </c>
      <c r="AC199" s="124" t="s">
        <v>12</v>
      </c>
      <c r="AD199" s="110">
        <f>COUNTIF('KK1. Movies'!AI:AI,'TK 15661.Bản quyền phim '!F199)</f>
        <v>1</v>
      </c>
      <c r="AE199" s="110">
        <f>COUNTIF('KK2. Series'!AM:AM,'TK 15661.Bản quyền phim '!F199)</f>
        <v>0</v>
      </c>
      <c r="AF199" s="110">
        <f>COUNTIF('KK3. Kids'!AF:AF,'TK 15661.Bản quyền phim '!F199)</f>
        <v>0</v>
      </c>
      <c r="AG199" s="110"/>
      <c r="AH199" s="110" t="str">
        <f t="shared" ref="AH199:AH262" si="30">IF(SUM(AD199:AG199)&gt;0,"OK",0)</f>
        <v>OK</v>
      </c>
    </row>
    <row r="200" spans="1:34" ht="15.6" hidden="1" x14ac:dyDescent="0.3">
      <c r="A200" s="43"/>
      <c r="B200" s="108" t="s">
        <v>2834</v>
      </c>
      <c r="C200" s="94" t="s">
        <v>2493</v>
      </c>
      <c r="D200" s="94" t="s">
        <v>2604</v>
      </c>
      <c r="E200" s="94" t="s">
        <v>2603</v>
      </c>
      <c r="F200" s="94" t="s">
        <v>2172</v>
      </c>
      <c r="G200" s="94" t="s">
        <v>2417</v>
      </c>
      <c r="H200" s="119">
        <v>1</v>
      </c>
      <c r="I200" s="119">
        <v>3</v>
      </c>
      <c r="J200" s="119">
        <f t="shared" si="24"/>
        <v>3</v>
      </c>
      <c r="K200" s="119">
        <v>100000476</v>
      </c>
      <c r="L200" s="119">
        <v>33333492</v>
      </c>
      <c r="M200" s="119">
        <f t="shared" si="25"/>
        <v>1</v>
      </c>
      <c r="N200" s="119">
        <f t="shared" si="26"/>
        <v>33333492</v>
      </c>
      <c r="O200" s="120">
        <v>45352</v>
      </c>
      <c r="P200" s="120">
        <v>46446</v>
      </c>
      <c r="Q200" s="119">
        <v>2</v>
      </c>
      <c r="R200" s="121">
        <v>66666984</v>
      </c>
      <c r="S200" s="119">
        <v>0</v>
      </c>
      <c r="T200" s="121">
        <v>0</v>
      </c>
      <c r="U200" s="119">
        <v>1</v>
      </c>
      <c r="V200" s="121">
        <f t="shared" si="27"/>
        <v>33333492</v>
      </c>
      <c r="W200" s="119">
        <f t="shared" si="28"/>
        <v>1</v>
      </c>
      <c r="X200" s="121">
        <f t="shared" si="29"/>
        <v>33333492</v>
      </c>
      <c r="Y200" s="122" t="s">
        <v>2416</v>
      </c>
      <c r="Z200" s="123" t="s">
        <v>2407</v>
      </c>
      <c r="AA200" s="123" t="s">
        <v>2406</v>
      </c>
      <c r="AB200" s="123" t="s">
        <v>2372</v>
      </c>
      <c r="AC200" s="124" t="s">
        <v>12</v>
      </c>
      <c r="AD200" s="110">
        <f>COUNTIF('KK1. Movies'!AI:AI,'TK 15661.Bản quyền phim '!F200)</f>
        <v>1</v>
      </c>
      <c r="AE200" s="110">
        <f>COUNTIF('KK2. Series'!AM:AM,'TK 15661.Bản quyền phim '!F200)</f>
        <v>0</v>
      </c>
      <c r="AF200" s="110">
        <f>COUNTIF('KK3. Kids'!AF:AF,'TK 15661.Bản quyền phim '!F200)</f>
        <v>0</v>
      </c>
      <c r="AG200" s="110"/>
      <c r="AH200" s="110" t="str">
        <f t="shared" si="30"/>
        <v>OK</v>
      </c>
    </row>
    <row r="201" spans="1:34" ht="15.6" hidden="1" x14ac:dyDescent="0.3">
      <c r="A201" s="43"/>
      <c r="B201" s="108" t="s">
        <v>2833</v>
      </c>
      <c r="C201" s="94" t="s">
        <v>2493</v>
      </c>
      <c r="D201" s="94" t="s">
        <v>2604</v>
      </c>
      <c r="E201" s="94" t="s">
        <v>2603</v>
      </c>
      <c r="F201" s="94" t="s">
        <v>2214</v>
      </c>
      <c r="G201" s="94" t="s">
        <v>2417</v>
      </c>
      <c r="H201" s="119">
        <v>1</v>
      </c>
      <c r="I201" s="119">
        <v>3</v>
      </c>
      <c r="J201" s="119">
        <f t="shared" si="24"/>
        <v>3</v>
      </c>
      <c r="K201" s="119">
        <v>100000476</v>
      </c>
      <c r="L201" s="119">
        <v>33333492</v>
      </c>
      <c r="M201" s="119">
        <f t="shared" si="25"/>
        <v>1</v>
      </c>
      <c r="N201" s="119">
        <f t="shared" si="26"/>
        <v>33333492</v>
      </c>
      <c r="O201" s="120">
        <v>45365</v>
      </c>
      <c r="P201" s="120">
        <v>46459</v>
      </c>
      <c r="Q201" s="119">
        <v>2</v>
      </c>
      <c r="R201" s="121">
        <v>66666984</v>
      </c>
      <c r="S201" s="119">
        <v>0</v>
      </c>
      <c r="T201" s="121">
        <v>0</v>
      </c>
      <c r="U201" s="119">
        <v>1</v>
      </c>
      <c r="V201" s="121">
        <f t="shared" si="27"/>
        <v>33333492</v>
      </c>
      <c r="W201" s="119">
        <f t="shared" si="28"/>
        <v>1</v>
      </c>
      <c r="X201" s="121">
        <f t="shared" si="29"/>
        <v>33333492</v>
      </c>
      <c r="Y201" s="122" t="s">
        <v>2416</v>
      </c>
      <c r="Z201" s="123" t="s">
        <v>2407</v>
      </c>
      <c r="AA201" s="123" t="s">
        <v>2406</v>
      </c>
      <c r="AB201" s="123" t="s">
        <v>2372</v>
      </c>
      <c r="AC201" s="124" t="s">
        <v>12</v>
      </c>
      <c r="AD201" s="110">
        <f>COUNTIF('KK1. Movies'!AI:AI,'TK 15661.Bản quyền phim '!F201)</f>
        <v>1</v>
      </c>
      <c r="AE201" s="110">
        <f>COUNTIF('KK2. Series'!AM:AM,'TK 15661.Bản quyền phim '!F201)</f>
        <v>0</v>
      </c>
      <c r="AF201" s="110">
        <f>COUNTIF('KK3. Kids'!AF:AF,'TK 15661.Bản quyền phim '!F201)</f>
        <v>0</v>
      </c>
      <c r="AG201" s="110"/>
      <c r="AH201" s="110" t="str">
        <f t="shared" si="30"/>
        <v>OK</v>
      </c>
    </row>
    <row r="202" spans="1:34" ht="15.6" hidden="1" x14ac:dyDescent="0.3">
      <c r="A202" s="43"/>
      <c r="B202" s="108" t="s">
        <v>2832</v>
      </c>
      <c r="C202" s="94" t="s">
        <v>2493</v>
      </c>
      <c r="D202" s="94" t="s">
        <v>2604</v>
      </c>
      <c r="E202" s="94" t="s">
        <v>2603</v>
      </c>
      <c r="F202" s="94" t="s">
        <v>1683</v>
      </c>
      <c r="G202" s="94" t="s">
        <v>2417</v>
      </c>
      <c r="H202" s="119">
        <v>1</v>
      </c>
      <c r="I202" s="119">
        <v>3</v>
      </c>
      <c r="J202" s="119">
        <f t="shared" si="24"/>
        <v>3</v>
      </c>
      <c r="K202" s="119">
        <v>100000476</v>
      </c>
      <c r="L202" s="119">
        <v>33333492</v>
      </c>
      <c r="M202" s="119">
        <f t="shared" si="25"/>
        <v>1</v>
      </c>
      <c r="N202" s="119">
        <f t="shared" si="26"/>
        <v>33333492</v>
      </c>
      <c r="O202" s="120">
        <v>45366</v>
      </c>
      <c r="P202" s="120">
        <v>46460</v>
      </c>
      <c r="Q202" s="119">
        <v>2</v>
      </c>
      <c r="R202" s="121">
        <v>66666984</v>
      </c>
      <c r="S202" s="119">
        <v>0</v>
      </c>
      <c r="T202" s="121">
        <v>0</v>
      </c>
      <c r="U202" s="119">
        <v>1</v>
      </c>
      <c r="V202" s="121">
        <f t="shared" si="27"/>
        <v>33333492</v>
      </c>
      <c r="W202" s="119">
        <f t="shared" si="28"/>
        <v>1</v>
      </c>
      <c r="X202" s="121">
        <f t="shared" si="29"/>
        <v>33333492</v>
      </c>
      <c r="Y202" s="122" t="s">
        <v>2416</v>
      </c>
      <c r="Z202" s="123" t="s">
        <v>2407</v>
      </c>
      <c r="AA202" s="123" t="s">
        <v>2406</v>
      </c>
      <c r="AB202" s="123" t="s">
        <v>2372</v>
      </c>
      <c r="AC202" s="124" t="s">
        <v>12</v>
      </c>
      <c r="AD202" s="110">
        <f>COUNTIF('KK1. Movies'!AI:AI,'TK 15661.Bản quyền phim '!F202)</f>
        <v>1</v>
      </c>
      <c r="AE202" s="110">
        <f>COUNTIF('KK2. Series'!AM:AM,'TK 15661.Bản quyền phim '!F202)</f>
        <v>0</v>
      </c>
      <c r="AF202" s="110">
        <f>COUNTIF('KK3. Kids'!AF:AF,'TK 15661.Bản quyền phim '!F202)</f>
        <v>0</v>
      </c>
      <c r="AG202" s="110"/>
      <c r="AH202" s="110" t="str">
        <f t="shared" si="30"/>
        <v>OK</v>
      </c>
    </row>
    <row r="203" spans="1:34" ht="15.6" hidden="1" x14ac:dyDescent="0.3">
      <c r="A203" s="43"/>
      <c r="B203" s="108" t="s">
        <v>2831</v>
      </c>
      <c r="C203" s="94" t="s">
        <v>2493</v>
      </c>
      <c r="D203" s="94" t="s">
        <v>2604</v>
      </c>
      <c r="E203" s="94" t="s">
        <v>2603</v>
      </c>
      <c r="F203" s="94" t="s">
        <v>1528</v>
      </c>
      <c r="G203" s="94" t="s">
        <v>2417</v>
      </c>
      <c r="H203" s="119">
        <v>1</v>
      </c>
      <c r="I203" s="119">
        <v>3</v>
      </c>
      <c r="J203" s="119">
        <f t="shared" si="24"/>
        <v>3</v>
      </c>
      <c r="K203" s="119">
        <v>100000476</v>
      </c>
      <c r="L203" s="119">
        <v>33333492</v>
      </c>
      <c r="M203" s="119">
        <f t="shared" si="25"/>
        <v>1</v>
      </c>
      <c r="N203" s="119">
        <f t="shared" si="26"/>
        <v>33333492</v>
      </c>
      <c r="O203" s="120">
        <v>45372</v>
      </c>
      <c r="P203" s="120">
        <v>46466</v>
      </c>
      <c r="Q203" s="119">
        <v>2</v>
      </c>
      <c r="R203" s="121">
        <v>66666984</v>
      </c>
      <c r="S203" s="119">
        <v>0</v>
      </c>
      <c r="T203" s="121">
        <v>0</v>
      </c>
      <c r="U203" s="119">
        <v>1</v>
      </c>
      <c r="V203" s="121">
        <f t="shared" si="27"/>
        <v>33333492</v>
      </c>
      <c r="W203" s="119">
        <f t="shared" si="28"/>
        <v>1</v>
      </c>
      <c r="X203" s="121">
        <f t="shared" si="29"/>
        <v>33333492</v>
      </c>
      <c r="Y203" s="122" t="s">
        <v>2416</v>
      </c>
      <c r="Z203" s="123" t="s">
        <v>2407</v>
      </c>
      <c r="AA203" s="123" t="s">
        <v>2406</v>
      </c>
      <c r="AB203" s="123" t="s">
        <v>2372</v>
      </c>
      <c r="AC203" s="124" t="s">
        <v>12</v>
      </c>
      <c r="AD203" s="110">
        <f>COUNTIF('KK1. Movies'!AI:AI,'TK 15661.Bản quyền phim '!F203)</f>
        <v>1</v>
      </c>
      <c r="AE203" s="110">
        <f>COUNTIF('KK2. Series'!AM:AM,'TK 15661.Bản quyền phim '!F203)</f>
        <v>0</v>
      </c>
      <c r="AF203" s="110">
        <f>COUNTIF('KK3. Kids'!AF:AF,'TK 15661.Bản quyền phim '!F203)</f>
        <v>0</v>
      </c>
      <c r="AG203" s="110"/>
      <c r="AH203" s="110" t="str">
        <f t="shared" si="30"/>
        <v>OK</v>
      </c>
    </row>
    <row r="204" spans="1:34" ht="15.6" hidden="1" x14ac:dyDescent="0.3">
      <c r="A204" s="43"/>
      <c r="B204" s="108" t="s">
        <v>2830</v>
      </c>
      <c r="C204" s="94" t="s">
        <v>2493</v>
      </c>
      <c r="D204" s="94" t="s">
        <v>2604</v>
      </c>
      <c r="E204" s="94" t="s">
        <v>2603</v>
      </c>
      <c r="F204" s="94" t="s">
        <v>1605</v>
      </c>
      <c r="G204" s="94" t="s">
        <v>2417</v>
      </c>
      <c r="H204" s="119">
        <v>1</v>
      </c>
      <c r="I204" s="119">
        <v>3</v>
      </c>
      <c r="J204" s="119">
        <f t="shared" si="24"/>
        <v>3</v>
      </c>
      <c r="K204" s="119">
        <v>100000476</v>
      </c>
      <c r="L204" s="119">
        <v>33333492</v>
      </c>
      <c r="M204" s="119">
        <f t="shared" si="25"/>
        <v>1</v>
      </c>
      <c r="N204" s="119">
        <f t="shared" si="26"/>
        <v>33333492</v>
      </c>
      <c r="O204" s="120">
        <v>45373</v>
      </c>
      <c r="P204" s="120">
        <v>46467</v>
      </c>
      <c r="Q204" s="119">
        <v>2</v>
      </c>
      <c r="R204" s="121">
        <v>66666984</v>
      </c>
      <c r="S204" s="119">
        <v>0</v>
      </c>
      <c r="T204" s="121">
        <v>0</v>
      </c>
      <c r="U204" s="119">
        <v>1</v>
      </c>
      <c r="V204" s="121">
        <f t="shared" si="27"/>
        <v>33333492</v>
      </c>
      <c r="W204" s="119">
        <f t="shared" si="28"/>
        <v>1</v>
      </c>
      <c r="X204" s="121">
        <f t="shared" si="29"/>
        <v>33333492</v>
      </c>
      <c r="Y204" s="122" t="s">
        <v>2416</v>
      </c>
      <c r="Z204" s="123" t="s">
        <v>2407</v>
      </c>
      <c r="AA204" s="123" t="s">
        <v>2406</v>
      </c>
      <c r="AB204" s="123" t="s">
        <v>2372</v>
      </c>
      <c r="AC204" s="124" t="s">
        <v>12</v>
      </c>
      <c r="AD204" s="110">
        <f>COUNTIF('KK1. Movies'!AI:AI,'TK 15661.Bản quyền phim '!F204)</f>
        <v>1</v>
      </c>
      <c r="AE204" s="110">
        <f>COUNTIF('KK2. Series'!AM:AM,'TK 15661.Bản quyền phim '!F204)</f>
        <v>0</v>
      </c>
      <c r="AF204" s="110">
        <f>COUNTIF('KK3. Kids'!AF:AF,'TK 15661.Bản quyền phim '!F204)</f>
        <v>0</v>
      </c>
      <c r="AG204" s="110"/>
      <c r="AH204" s="110" t="str">
        <f t="shared" si="30"/>
        <v>OK</v>
      </c>
    </row>
    <row r="205" spans="1:34" ht="15.6" hidden="1" x14ac:dyDescent="0.3">
      <c r="A205" s="43"/>
      <c r="B205" s="108" t="s">
        <v>2829</v>
      </c>
      <c r="C205" s="94" t="s">
        <v>2493</v>
      </c>
      <c r="D205" s="94" t="s">
        <v>2604</v>
      </c>
      <c r="E205" s="94" t="s">
        <v>2603</v>
      </c>
      <c r="F205" s="94" t="s">
        <v>1934</v>
      </c>
      <c r="G205" s="94" t="s">
        <v>2417</v>
      </c>
      <c r="H205" s="119">
        <v>1</v>
      </c>
      <c r="I205" s="119">
        <v>3</v>
      </c>
      <c r="J205" s="119">
        <f t="shared" si="24"/>
        <v>3</v>
      </c>
      <c r="K205" s="119">
        <v>100000476</v>
      </c>
      <c r="L205" s="119">
        <v>33333492</v>
      </c>
      <c r="M205" s="119">
        <f t="shared" si="25"/>
        <v>1</v>
      </c>
      <c r="N205" s="119">
        <f t="shared" si="26"/>
        <v>33333492</v>
      </c>
      <c r="O205" s="120">
        <v>45380</v>
      </c>
      <c r="P205" s="120">
        <v>46474</v>
      </c>
      <c r="Q205" s="119">
        <v>2</v>
      </c>
      <c r="R205" s="121">
        <v>66666984</v>
      </c>
      <c r="S205" s="119">
        <v>0</v>
      </c>
      <c r="T205" s="121">
        <v>0</v>
      </c>
      <c r="U205" s="119">
        <v>1</v>
      </c>
      <c r="V205" s="121">
        <f t="shared" si="27"/>
        <v>33333492</v>
      </c>
      <c r="W205" s="119">
        <f t="shared" si="28"/>
        <v>1</v>
      </c>
      <c r="X205" s="121">
        <f t="shared" si="29"/>
        <v>33333492</v>
      </c>
      <c r="Y205" s="122" t="s">
        <v>2416</v>
      </c>
      <c r="Z205" s="123" t="s">
        <v>2407</v>
      </c>
      <c r="AA205" s="123" t="s">
        <v>2406</v>
      </c>
      <c r="AB205" s="123" t="s">
        <v>2372</v>
      </c>
      <c r="AC205" s="124" t="s">
        <v>12</v>
      </c>
      <c r="AD205" s="110">
        <f>COUNTIF('KK1. Movies'!AI:AI,'TK 15661.Bản quyền phim '!F205)</f>
        <v>1</v>
      </c>
      <c r="AE205" s="110">
        <f>COUNTIF('KK2. Series'!AM:AM,'TK 15661.Bản quyền phim '!F205)</f>
        <v>0</v>
      </c>
      <c r="AF205" s="110">
        <f>COUNTIF('KK3. Kids'!AF:AF,'TK 15661.Bản quyền phim '!F205)</f>
        <v>0</v>
      </c>
      <c r="AG205" s="110"/>
      <c r="AH205" s="110" t="str">
        <f t="shared" si="30"/>
        <v>OK</v>
      </c>
    </row>
    <row r="206" spans="1:34" ht="15.6" hidden="1" x14ac:dyDescent="0.3">
      <c r="A206" s="43"/>
      <c r="B206" s="108" t="s">
        <v>2828</v>
      </c>
      <c r="C206" s="94" t="s">
        <v>2493</v>
      </c>
      <c r="D206" s="94" t="s">
        <v>2604</v>
      </c>
      <c r="E206" s="94" t="s">
        <v>2603</v>
      </c>
      <c r="F206" s="94" t="s">
        <v>1865</v>
      </c>
      <c r="G206" s="94" t="s">
        <v>2417</v>
      </c>
      <c r="H206" s="119">
        <v>1</v>
      </c>
      <c r="I206" s="119">
        <v>3</v>
      </c>
      <c r="J206" s="119">
        <f t="shared" si="24"/>
        <v>3</v>
      </c>
      <c r="K206" s="119">
        <v>100000476</v>
      </c>
      <c r="L206" s="119">
        <v>33333492</v>
      </c>
      <c r="M206" s="119">
        <f t="shared" si="25"/>
        <v>1</v>
      </c>
      <c r="N206" s="119">
        <f t="shared" si="26"/>
        <v>33333492</v>
      </c>
      <c r="O206" s="120">
        <v>45383</v>
      </c>
      <c r="P206" s="120">
        <v>46477</v>
      </c>
      <c r="Q206" s="119">
        <v>2</v>
      </c>
      <c r="R206" s="121">
        <v>66666984</v>
      </c>
      <c r="S206" s="119">
        <v>0</v>
      </c>
      <c r="T206" s="121">
        <v>0</v>
      </c>
      <c r="U206" s="119">
        <v>1</v>
      </c>
      <c r="V206" s="121">
        <f t="shared" si="27"/>
        <v>33333492</v>
      </c>
      <c r="W206" s="119">
        <f t="shared" si="28"/>
        <v>1</v>
      </c>
      <c r="X206" s="121">
        <f t="shared" si="29"/>
        <v>33333492</v>
      </c>
      <c r="Y206" s="122" t="s">
        <v>2416</v>
      </c>
      <c r="Z206" s="123" t="s">
        <v>2407</v>
      </c>
      <c r="AA206" s="123" t="s">
        <v>2406</v>
      </c>
      <c r="AB206" s="123" t="s">
        <v>2372</v>
      </c>
      <c r="AC206" s="124" t="s">
        <v>12</v>
      </c>
      <c r="AD206" s="110">
        <f>COUNTIF('KK1. Movies'!AI:AI,'TK 15661.Bản quyền phim '!F206)</f>
        <v>1</v>
      </c>
      <c r="AE206" s="110">
        <f>COUNTIF('KK2. Series'!AM:AM,'TK 15661.Bản quyền phim '!F206)</f>
        <v>0</v>
      </c>
      <c r="AF206" s="110">
        <f>COUNTIF('KK3. Kids'!AF:AF,'TK 15661.Bản quyền phim '!F206)</f>
        <v>0</v>
      </c>
      <c r="AG206" s="110"/>
      <c r="AH206" s="110" t="str">
        <f t="shared" si="30"/>
        <v>OK</v>
      </c>
    </row>
    <row r="207" spans="1:34" ht="15.6" hidden="1" x14ac:dyDescent="0.3">
      <c r="A207" s="43"/>
      <c r="B207" s="108" t="s">
        <v>2827</v>
      </c>
      <c r="C207" s="94" t="s">
        <v>2493</v>
      </c>
      <c r="D207" s="94" t="s">
        <v>2604</v>
      </c>
      <c r="E207" s="94" t="s">
        <v>2603</v>
      </c>
      <c r="F207" s="94" t="s">
        <v>2273</v>
      </c>
      <c r="G207" s="94" t="s">
        <v>2417</v>
      </c>
      <c r="H207" s="119">
        <v>1</v>
      </c>
      <c r="I207" s="119">
        <v>3</v>
      </c>
      <c r="J207" s="119">
        <f t="shared" si="24"/>
        <v>3</v>
      </c>
      <c r="K207" s="119">
        <v>100000476</v>
      </c>
      <c r="L207" s="119">
        <v>33333492</v>
      </c>
      <c r="M207" s="119">
        <f t="shared" si="25"/>
        <v>1</v>
      </c>
      <c r="N207" s="119">
        <f t="shared" si="26"/>
        <v>33333492</v>
      </c>
      <c r="O207" s="120">
        <v>45385</v>
      </c>
      <c r="P207" s="120">
        <v>46479</v>
      </c>
      <c r="Q207" s="119">
        <v>2</v>
      </c>
      <c r="R207" s="121">
        <v>66666984</v>
      </c>
      <c r="S207" s="119">
        <v>0</v>
      </c>
      <c r="T207" s="121">
        <v>0</v>
      </c>
      <c r="U207" s="119">
        <v>1</v>
      </c>
      <c r="V207" s="121">
        <f t="shared" si="27"/>
        <v>33333492</v>
      </c>
      <c r="W207" s="119">
        <f t="shared" si="28"/>
        <v>1</v>
      </c>
      <c r="X207" s="121">
        <f t="shared" si="29"/>
        <v>33333492</v>
      </c>
      <c r="Y207" s="122" t="s">
        <v>2416</v>
      </c>
      <c r="Z207" s="123" t="s">
        <v>2407</v>
      </c>
      <c r="AA207" s="123" t="s">
        <v>2406</v>
      </c>
      <c r="AB207" s="123" t="s">
        <v>2372</v>
      </c>
      <c r="AC207" s="124" t="s">
        <v>12</v>
      </c>
      <c r="AD207" s="110">
        <f>COUNTIF('KK1. Movies'!AI:AI,'TK 15661.Bản quyền phim '!F207)</f>
        <v>1</v>
      </c>
      <c r="AE207" s="110">
        <f>COUNTIF('KK2. Series'!AM:AM,'TK 15661.Bản quyền phim '!F207)</f>
        <v>0</v>
      </c>
      <c r="AF207" s="110">
        <f>COUNTIF('KK3. Kids'!AF:AF,'TK 15661.Bản quyền phim '!F207)</f>
        <v>0</v>
      </c>
      <c r="AG207" s="110"/>
      <c r="AH207" s="110" t="str">
        <f t="shared" si="30"/>
        <v>OK</v>
      </c>
    </row>
    <row r="208" spans="1:34" ht="15.6" hidden="1" x14ac:dyDescent="0.3">
      <c r="A208" s="43"/>
      <c r="B208" s="108" t="s">
        <v>2826</v>
      </c>
      <c r="C208" s="94" t="s">
        <v>2493</v>
      </c>
      <c r="D208" s="94" t="s">
        <v>2604</v>
      </c>
      <c r="E208" s="94" t="s">
        <v>2603</v>
      </c>
      <c r="F208" s="94" t="s">
        <v>2221</v>
      </c>
      <c r="G208" s="94" t="s">
        <v>2417</v>
      </c>
      <c r="H208" s="119">
        <v>1</v>
      </c>
      <c r="I208" s="119">
        <v>3</v>
      </c>
      <c r="J208" s="119">
        <f t="shared" si="24"/>
        <v>3</v>
      </c>
      <c r="K208" s="119">
        <v>100000476</v>
      </c>
      <c r="L208" s="119">
        <v>33333492</v>
      </c>
      <c r="M208" s="119">
        <f t="shared" si="25"/>
        <v>1</v>
      </c>
      <c r="N208" s="119">
        <f t="shared" si="26"/>
        <v>33333492</v>
      </c>
      <c r="O208" s="120">
        <v>45567</v>
      </c>
      <c r="P208" s="120">
        <v>46661</v>
      </c>
      <c r="Q208" s="119">
        <v>2</v>
      </c>
      <c r="R208" s="121">
        <v>66666984</v>
      </c>
      <c r="S208" s="119">
        <v>0</v>
      </c>
      <c r="T208" s="121">
        <v>0</v>
      </c>
      <c r="U208" s="119">
        <v>1</v>
      </c>
      <c r="V208" s="121">
        <f t="shared" si="27"/>
        <v>33333492</v>
      </c>
      <c r="W208" s="119">
        <f t="shared" si="28"/>
        <v>1</v>
      </c>
      <c r="X208" s="121">
        <f t="shared" si="29"/>
        <v>33333492</v>
      </c>
      <c r="Y208" s="122" t="s">
        <v>2416</v>
      </c>
      <c r="Z208" s="123" t="s">
        <v>2407</v>
      </c>
      <c r="AA208" s="123" t="s">
        <v>2406</v>
      </c>
      <c r="AB208" s="123" t="s">
        <v>2372</v>
      </c>
      <c r="AC208" s="124" t="s">
        <v>12</v>
      </c>
      <c r="AD208" s="110">
        <f>COUNTIF('KK1. Movies'!AI:AI,'TK 15661.Bản quyền phim '!F208)</f>
        <v>1</v>
      </c>
      <c r="AE208" s="110">
        <f>COUNTIF('KK2. Series'!AM:AM,'TK 15661.Bản quyền phim '!F208)</f>
        <v>0</v>
      </c>
      <c r="AF208" s="110">
        <f>COUNTIF('KK3. Kids'!AF:AF,'TK 15661.Bản quyền phim '!F208)</f>
        <v>0</v>
      </c>
      <c r="AG208" s="110"/>
      <c r="AH208" s="110" t="str">
        <f t="shared" si="30"/>
        <v>OK</v>
      </c>
    </row>
    <row r="209" spans="1:34" ht="15.6" hidden="1" x14ac:dyDescent="0.3">
      <c r="A209" s="43"/>
      <c r="B209" s="108" t="s">
        <v>2825</v>
      </c>
      <c r="C209" s="94" t="s">
        <v>2493</v>
      </c>
      <c r="D209" s="94" t="s">
        <v>2604</v>
      </c>
      <c r="E209" s="94" t="s">
        <v>2603</v>
      </c>
      <c r="F209" s="94" t="s">
        <v>1845</v>
      </c>
      <c r="G209" s="94" t="s">
        <v>2417</v>
      </c>
      <c r="H209" s="119">
        <v>1</v>
      </c>
      <c r="I209" s="119">
        <v>3</v>
      </c>
      <c r="J209" s="119">
        <f t="shared" si="24"/>
        <v>3</v>
      </c>
      <c r="K209" s="119">
        <v>100000476</v>
      </c>
      <c r="L209" s="119">
        <v>33333492</v>
      </c>
      <c r="M209" s="119">
        <f t="shared" si="25"/>
        <v>1</v>
      </c>
      <c r="N209" s="119">
        <f t="shared" si="26"/>
        <v>33333492</v>
      </c>
      <c r="O209" s="120">
        <v>45602</v>
      </c>
      <c r="P209" s="120">
        <v>46696</v>
      </c>
      <c r="Q209" s="119">
        <v>2</v>
      </c>
      <c r="R209" s="121">
        <v>66666984</v>
      </c>
      <c r="S209" s="119">
        <v>0</v>
      </c>
      <c r="T209" s="121">
        <v>0</v>
      </c>
      <c r="U209" s="119">
        <v>1</v>
      </c>
      <c r="V209" s="121">
        <f t="shared" si="27"/>
        <v>33333492</v>
      </c>
      <c r="W209" s="119">
        <f t="shared" si="28"/>
        <v>1</v>
      </c>
      <c r="X209" s="121">
        <f t="shared" si="29"/>
        <v>33333492</v>
      </c>
      <c r="Y209" s="122" t="s">
        <v>2416</v>
      </c>
      <c r="Z209" s="123" t="s">
        <v>2407</v>
      </c>
      <c r="AA209" s="123" t="s">
        <v>2406</v>
      </c>
      <c r="AB209" s="123" t="s">
        <v>2372</v>
      </c>
      <c r="AC209" s="124" t="s">
        <v>12</v>
      </c>
      <c r="AD209" s="110">
        <f>COUNTIF('KK1. Movies'!AI:AI,'TK 15661.Bản quyền phim '!F209)</f>
        <v>1</v>
      </c>
      <c r="AE209" s="110">
        <f>COUNTIF('KK2. Series'!AM:AM,'TK 15661.Bản quyền phim '!F209)</f>
        <v>0</v>
      </c>
      <c r="AF209" s="110">
        <f>COUNTIF('KK3. Kids'!AF:AF,'TK 15661.Bản quyền phim '!F209)</f>
        <v>0</v>
      </c>
      <c r="AG209" s="110"/>
      <c r="AH209" s="110" t="str">
        <f t="shared" si="30"/>
        <v>OK</v>
      </c>
    </row>
    <row r="210" spans="1:34" ht="15.6" hidden="1" x14ac:dyDescent="0.3">
      <c r="A210" s="43"/>
      <c r="B210" s="108" t="s">
        <v>2824</v>
      </c>
      <c r="C210" s="94" t="s">
        <v>2493</v>
      </c>
      <c r="D210" s="94" t="s">
        <v>2604</v>
      </c>
      <c r="E210" s="94" t="s">
        <v>2603</v>
      </c>
      <c r="F210" s="94" t="s">
        <v>1828</v>
      </c>
      <c r="G210" s="94" t="s">
        <v>2417</v>
      </c>
      <c r="H210" s="119">
        <v>1</v>
      </c>
      <c r="I210" s="119">
        <v>3</v>
      </c>
      <c r="J210" s="119">
        <f t="shared" si="24"/>
        <v>3</v>
      </c>
      <c r="K210" s="119">
        <v>100000476</v>
      </c>
      <c r="L210" s="119">
        <v>33333492</v>
      </c>
      <c r="M210" s="119">
        <f t="shared" si="25"/>
        <v>1</v>
      </c>
      <c r="N210" s="119">
        <f t="shared" si="26"/>
        <v>33333492</v>
      </c>
      <c r="O210" s="120">
        <v>45644</v>
      </c>
      <c r="P210" s="120">
        <v>46738</v>
      </c>
      <c r="Q210" s="119">
        <v>2</v>
      </c>
      <c r="R210" s="121">
        <v>66666984</v>
      </c>
      <c r="S210" s="119">
        <v>0</v>
      </c>
      <c r="T210" s="121">
        <v>0</v>
      </c>
      <c r="U210" s="119">
        <v>1</v>
      </c>
      <c r="V210" s="121">
        <f t="shared" si="27"/>
        <v>33333492</v>
      </c>
      <c r="W210" s="119">
        <f t="shared" si="28"/>
        <v>1</v>
      </c>
      <c r="X210" s="121">
        <f t="shared" si="29"/>
        <v>33333492</v>
      </c>
      <c r="Y210" s="122" t="s">
        <v>2416</v>
      </c>
      <c r="Z210" s="123" t="s">
        <v>2407</v>
      </c>
      <c r="AA210" s="123" t="s">
        <v>2406</v>
      </c>
      <c r="AB210" s="123" t="s">
        <v>2372</v>
      </c>
      <c r="AC210" s="124" t="s">
        <v>12</v>
      </c>
      <c r="AD210" s="110">
        <f>COUNTIF('KK1. Movies'!AI:AI,'TK 15661.Bản quyền phim '!F210)</f>
        <v>1</v>
      </c>
      <c r="AE210" s="110">
        <f>COUNTIF('KK2. Series'!AM:AM,'TK 15661.Bản quyền phim '!F210)</f>
        <v>0</v>
      </c>
      <c r="AF210" s="110">
        <f>COUNTIF('KK3. Kids'!AF:AF,'TK 15661.Bản quyền phim '!F210)</f>
        <v>0</v>
      </c>
      <c r="AG210" s="110"/>
      <c r="AH210" s="110" t="str">
        <f t="shared" si="30"/>
        <v>OK</v>
      </c>
    </row>
    <row r="211" spans="1:34" ht="15.6" hidden="1" x14ac:dyDescent="0.3">
      <c r="A211" s="47">
        <f t="shared" ref="A211:A217" si="31">(U211-H211)*L211</f>
        <v>0</v>
      </c>
      <c r="B211" s="108" t="s">
        <v>2823</v>
      </c>
      <c r="C211" s="94" t="s">
        <v>2686</v>
      </c>
      <c r="D211" s="94" t="s">
        <v>2685</v>
      </c>
      <c r="E211" s="94" t="s">
        <v>2684</v>
      </c>
      <c r="F211" s="94" t="s">
        <v>930</v>
      </c>
      <c r="G211" s="94" t="s">
        <v>2581</v>
      </c>
      <c r="H211" s="119">
        <v>12</v>
      </c>
      <c r="I211" s="119">
        <v>7</v>
      </c>
      <c r="J211" s="119">
        <f t="shared" si="24"/>
        <v>84</v>
      </c>
      <c r="K211" s="119">
        <v>1071200000</v>
      </c>
      <c r="L211" s="119">
        <v>12752380.952380953</v>
      </c>
      <c r="M211" s="119">
        <f t="shared" si="25"/>
        <v>12</v>
      </c>
      <c r="N211" s="119">
        <f t="shared" si="26"/>
        <v>153028571.42857146</v>
      </c>
      <c r="O211" s="120">
        <v>45291</v>
      </c>
      <c r="P211" s="120">
        <v>47847</v>
      </c>
      <c r="Q211" s="119">
        <v>72</v>
      </c>
      <c r="R211" s="121">
        <v>918171428.57142854</v>
      </c>
      <c r="S211" s="119">
        <v>0</v>
      </c>
      <c r="T211" s="121">
        <v>0</v>
      </c>
      <c r="U211" s="119">
        <v>12</v>
      </c>
      <c r="V211" s="121">
        <f t="shared" si="27"/>
        <v>153028571.42857143</v>
      </c>
      <c r="W211" s="119">
        <f t="shared" si="28"/>
        <v>60</v>
      </c>
      <c r="X211" s="121">
        <f t="shared" si="29"/>
        <v>765142857.14285707</v>
      </c>
      <c r="Y211" s="122" t="s">
        <v>2427</v>
      </c>
      <c r="Z211" s="123" t="s">
        <v>2407</v>
      </c>
      <c r="AA211" s="123" t="s">
        <v>2406</v>
      </c>
      <c r="AB211" s="123" t="s">
        <v>2372</v>
      </c>
      <c r="AC211" s="124" t="s">
        <v>10</v>
      </c>
      <c r="AD211" s="110">
        <f>COUNTIF('KK1. Movies'!AI:AI,'TK 15661.Bản quyền phim '!F211)</f>
        <v>0</v>
      </c>
      <c r="AE211" s="110">
        <f>COUNTIF('KK2. Series'!AM:AM,'TK 15661.Bản quyền phim '!F211)</f>
        <v>1</v>
      </c>
      <c r="AF211" s="110">
        <f>COUNTIF('KK3. Kids'!AF:AF,'TK 15661.Bản quyền phim '!F211)</f>
        <v>0</v>
      </c>
      <c r="AG211" s="110"/>
      <c r="AH211" s="110" t="str">
        <f t="shared" si="30"/>
        <v>OK</v>
      </c>
    </row>
    <row r="212" spans="1:34" hidden="1" x14ac:dyDescent="0.2">
      <c r="A212" s="47">
        <f t="shared" si="31"/>
        <v>0</v>
      </c>
      <c r="B212" s="108" t="s">
        <v>2822</v>
      </c>
      <c r="C212" s="94" t="s">
        <v>2412</v>
      </c>
      <c r="D212" s="94" t="s">
        <v>2486</v>
      </c>
      <c r="E212" s="94" t="s">
        <v>2485</v>
      </c>
      <c r="F212" s="94" t="s">
        <v>217</v>
      </c>
      <c r="G212" s="94" t="s">
        <v>2409</v>
      </c>
      <c r="H212" s="119">
        <v>52</v>
      </c>
      <c r="I212" s="119">
        <v>3</v>
      </c>
      <c r="J212" s="119">
        <f t="shared" si="24"/>
        <v>156</v>
      </c>
      <c r="K212" s="119">
        <v>714255360</v>
      </c>
      <c r="L212" s="119">
        <v>4578560</v>
      </c>
      <c r="M212" s="119">
        <f t="shared" si="25"/>
        <v>52</v>
      </c>
      <c r="N212" s="119">
        <f t="shared" si="26"/>
        <v>238085120</v>
      </c>
      <c r="O212" s="120">
        <v>45345</v>
      </c>
      <c r="P212" s="120">
        <v>46440</v>
      </c>
      <c r="Q212" s="119">
        <v>104</v>
      </c>
      <c r="R212" s="121">
        <v>476170240</v>
      </c>
      <c r="S212" s="119">
        <v>0</v>
      </c>
      <c r="T212" s="121">
        <v>0</v>
      </c>
      <c r="U212" s="119">
        <v>52</v>
      </c>
      <c r="V212" s="121">
        <f t="shared" si="27"/>
        <v>238085120</v>
      </c>
      <c r="W212" s="119">
        <f t="shared" si="28"/>
        <v>52</v>
      </c>
      <c r="X212" s="121">
        <f t="shared" si="29"/>
        <v>238085120</v>
      </c>
      <c r="Y212" s="122" t="s">
        <v>2408</v>
      </c>
      <c r="Z212" s="123" t="s">
        <v>2407</v>
      </c>
      <c r="AA212" s="123" t="s">
        <v>2406</v>
      </c>
      <c r="AB212" s="123" t="s">
        <v>2372</v>
      </c>
      <c r="AC212" s="123" t="s">
        <v>8</v>
      </c>
      <c r="AD212" s="110">
        <f>COUNTIF('KK1. Movies'!AI:AI,'TK 15661.Bản quyền phim '!F212)</f>
        <v>0</v>
      </c>
      <c r="AE212" s="110">
        <f>COUNTIF('KK2. Series'!AM:AM,'TK 15661.Bản quyền phim '!F212)</f>
        <v>0</v>
      </c>
      <c r="AF212" s="110">
        <f>COUNTIF('KK3. Kids'!AF:AF,'TK 15661.Bản quyền phim '!F212)</f>
        <v>1</v>
      </c>
      <c r="AG212" s="110"/>
      <c r="AH212" s="110" t="str">
        <f t="shared" si="30"/>
        <v>OK</v>
      </c>
    </row>
    <row r="213" spans="1:34" ht="15.6" hidden="1" x14ac:dyDescent="0.3">
      <c r="A213" s="47">
        <f t="shared" si="31"/>
        <v>0</v>
      </c>
      <c r="B213" s="108" t="s">
        <v>2821</v>
      </c>
      <c r="C213" s="94" t="s">
        <v>2412</v>
      </c>
      <c r="D213" s="94" t="s">
        <v>2431</v>
      </c>
      <c r="E213" s="94" t="s">
        <v>2430</v>
      </c>
      <c r="F213" s="94" t="s">
        <v>738</v>
      </c>
      <c r="G213" s="94" t="s">
        <v>2428</v>
      </c>
      <c r="H213" s="119">
        <v>12</v>
      </c>
      <c r="I213" s="119">
        <v>4</v>
      </c>
      <c r="J213" s="119">
        <f t="shared" si="24"/>
        <v>48</v>
      </c>
      <c r="K213" s="119">
        <v>981120000</v>
      </c>
      <c r="L213" s="119">
        <v>20440000</v>
      </c>
      <c r="M213" s="119">
        <f t="shared" si="25"/>
        <v>12</v>
      </c>
      <c r="N213" s="119">
        <f t="shared" si="26"/>
        <v>245280000</v>
      </c>
      <c r="O213" s="120">
        <v>45322</v>
      </c>
      <c r="P213" s="120">
        <v>46782</v>
      </c>
      <c r="Q213" s="119">
        <v>36</v>
      </c>
      <c r="R213" s="121">
        <v>735840000</v>
      </c>
      <c r="S213" s="119">
        <v>0</v>
      </c>
      <c r="T213" s="121">
        <v>0</v>
      </c>
      <c r="U213" s="119">
        <v>12</v>
      </c>
      <c r="V213" s="121">
        <f t="shared" si="27"/>
        <v>245280000</v>
      </c>
      <c r="W213" s="119">
        <f t="shared" si="28"/>
        <v>24</v>
      </c>
      <c r="X213" s="121">
        <f t="shared" si="29"/>
        <v>490560000</v>
      </c>
      <c r="Y213" s="122" t="s">
        <v>2427</v>
      </c>
      <c r="Z213" s="123" t="s">
        <v>2407</v>
      </c>
      <c r="AA213" s="123" t="s">
        <v>2406</v>
      </c>
      <c r="AB213" s="123" t="s">
        <v>2372</v>
      </c>
      <c r="AC213" s="124" t="s">
        <v>10</v>
      </c>
      <c r="AD213" s="110">
        <f>COUNTIF('KK1. Movies'!AI:AI,'TK 15661.Bản quyền phim '!F213)</f>
        <v>0</v>
      </c>
      <c r="AE213" s="110">
        <f>COUNTIF('KK2. Series'!AM:AM,'TK 15661.Bản quyền phim '!F213)</f>
        <v>1</v>
      </c>
      <c r="AF213" s="110">
        <f>COUNTIF('KK3. Kids'!AF:AF,'TK 15661.Bản quyền phim '!F213)</f>
        <v>0</v>
      </c>
      <c r="AG213" s="110"/>
      <c r="AH213" s="110" t="str">
        <f t="shared" si="30"/>
        <v>OK</v>
      </c>
    </row>
    <row r="214" spans="1:34" hidden="1" x14ac:dyDescent="0.2">
      <c r="A214" s="47">
        <f t="shared" si="31"/>
        <v>0</v>
      </c>
      <c r="B214" s="108" t="s">
        <v>2820</v>
      </c>
      <c r="C214" s="94" t="s">
        <v>2412</v>
      </c>
      <c r="D214" s="94" t="s">
        <v>2817</v>
      </c>
      <c r="E214" s="94" t="s">
        <v>163</v>
      </c>
      <c r="F214" s="94" t="s">
        <v>169</v>
      </c>
      <c r="G214" s="94" t="s">
        <v>2409</v>
      </c>
      <c r="H214" s="119">
        <v>78</v>
      </c>
      <c r="I214" s="119">
        <v>3</v>
      </c>
      <c r="J214" s="119">
        <f t="shared" si="24"/>
        <v>234</v>
      </c>
      <c r="K214" s="119">
        <v>228380208</v>
      </c>
      <c r="L214" s="119">
        <v>975983.79487179487</v>
      </c>
      <c r="M214" s="119">
        <f t="shared" si="25"/>
        <v>78</v>
      </c>
      <c r="N214" s="119">
        <f t="shared" si="26"/>
        <v>76126736</v>
      </c>
      <c r="O214" s="120">
        <v>45481</v>
      </c>
      <c r="P214" s="120">
        <v>46575</v>
      </c>
      <c r="Q214" s="119">
        <v>156</v>
      </c>
      <c r="R214" s="121">
        <v>152253472</v>
      </c>
      <c r="S214" s="119">
        <v>0</v>
      </c>
      <c r="T214" s="121">
        <v>0</v>
      </c>
      <c r="U214" s="119">
        <v>78</v>
      </c>
      <c r="V214" s="121">
        <f t="shared" si="27"/>
        <v>76126736</v>
      </c>
      <c r="W214" s="119">
        <f t="shared" si="28"/>
        <v>78</v>
      </c>
      <c r="X214" s="121">
        <f t="shared" si="29"/>
        <v>76126736</v>
      </c>
      <c r="Y214" s="122" t="s">
        <v>2408</v>
      </c>
      <c r="Z214" s="123" t="s">
        <v>2407</v>
      </c>
      <c r="AA214" s="123" t="s">
        <v>2406</v>
      </c>
      <c r="AB214" s="123" t="s">
        <v>2372</v>
      </c>
      <c r="AC214" s="123" t="s">
        <v>8</v>
      </c>
      <c r="AD214" s="110">
        <f>COUNTIF('KK1. Movies'!AI:AI,'TK 15661.Bản quyền phim '!F214)</f>
        <v>0</v>
      </c>
      <c r="AE214" s="110">
        <f>COUNTIF('KK2. Series'!AM:AM,'TK 15661.Bản quyền phim '!F214)</f>
        <v>0</v>
      </c>
      <c r="AF214" s="110">
        <f>COUNTIF('KK3. Kids'!AF:AF,'TK 15661.Bản quyền phim '!F214)</f>
        <v>1</v>
      </c>
      <c r="AG214" s="110"/>
      <c r="AH214" s="110" t="str">
        <f t="shared" si="30"/>
        <v>OK</v>
      </c>
    </row>
    <row r="215" spans="1:34" hidden="1" x14ac:dyDescent="0.2">
      <c r="A215" s="47">
        <f t="shared" si="31"/>
        <v>0</v>
      </c>
      <c r="B215" s="108" t="s">
        <v>2819</v>
      </c>
      <c r="C215" s="94" t="s">
        <v>2412</v>
      </c>
      <c r="D215" s="94" t="s">
        <v>2817</v>
      </c>
      <c r="E215" s="94" t="s">
        <v>163</v>
      </c>
      <c r="F215" s="94" t="s">
        <v>166</v>
      </c>
      <c r="G215" s="94" t="s">
        <v>2409</v>
      </c>
      <c r="H215" s="119">
        <v>78</v>
      </c>
      <c r="I215" s="119">
        <v>3</v>
      </c>
      <c r="J215" s="119">
        <f t="shared" si="24"/>
        <v>234</v>
      </c>
      <c r="K215" s="119">
        <v>228380208</v>
      </c>
      <c r="L215" s="119">
        <v>975983.79487179487</v>
      </c>
      <c r="M215" s="119">
        <f t="shared" si="25"/>
        <v>78</v>
      </c>
      <c r="N215" s="119">
        <f t="shared" si="26"/>
        <v>76126736</v>
      </c>
      <c r="O215" s="120">
        <v>45536</v>
      </c>
      <c r="P215" s="120">
        <v>46630</v>
      </c>
      <c r="Q215" s="119">
        <v>156</v>
      </c>
      <c r="R215" s="121">
        <v>152253472</v>
      </c>
      <c r="S215" s="119">
        <v>0</v>
      </c>
      <c r="T215" s="121">
        <v>0</v>
      </c>
      <c r="U215" s="119">
        <v>78</v>
      </c>
      <c r="V215" s="121">
        <f t="shared" si="27"/>
        <v>76126736</v>
      </c>
      <c r="W215" s="119">
        <f t="shared" si="28"/>
        <v>78</v>
      </c>
      <c r="X215" s="121">
        <f t="shared" si="29"/>
        <v>76126736</v>
      </c>
      <c r="Y215" s="122" t="s">
        <v>2408</v>
      </c>
      <c r="Z215" s="123" t="s">
        <v>2407</v>
      </c>
      <c r="AA215" s="123" t="s">
        <v>2406</v>
      </c>
      <c r="AB215" s="123" t="s">
        <v>2372</v>
      </c>
      <c r="AC215" s="123" t="s">
        <v>8</v>
      </c>
      <c r="AD215" s="110">
        <f>COUNTIF('KK1. Movies'!AI:AI,'TK 15661.Bản quyền phim '!F215)</f>
        <v>0</v>
      </c>
      <c r="AE215" s="110">
        <f>COUNTIF('KK2. Series'!AM:AM,'TK 15661.Bản quyền phim '!F215)</f>
        <v>0</v>
      </c>
      <c r="AF215" s="110">
        <f>COUNTIF('KK3. Kids'!AF:AF,'TK 15661.Bản quyền phim '!F215)</f>
        <v>1</v>
      </c>
      <c r="AG215" s="110"/>
      <c r="AH215" s="110" t="str">
        <f t="shared" si="30"/>
        <v>OK</v>
      </c>
    </row>
    <row r="216" spans="1:34" hidden="1" x14ac:dyDescent="0.2">
      <c r="A216" s="47">
        <f t="shared" si="31"/>
        <v>0</v>
      </c>
      <c r="B216" s="108" t="s">
        <v>2818</v>
      </c>
      <c r="C216" s="94" t="s">
        <v>2412</v>
      </c>
      <c r="D216" s="94" t="s">
        <v>2817</v>
      </c>
      <c r="E216" s="94" t="s">
        <v>163</v>
      </c>
      <c r="F216" s="94" t="s">
        <v>160</v>
      </c>
      <c r="G216" s="94" t="s">
        <v>2409</v>
      </c>
      <c r="H216" s="119">
        <v>78</v>
      </c>
      <c r="I216" s="119">
        <v>3</v>
      </c>
      <c r="J216" s="119">
        <f t="shared" si="24"/>
        <v>234</v>
      </c>
      <c r="K216" s="119">
        <v>228380208</v>
      </c>
      <c r="L216" s="119">
        <v>975983.79487179487</v>
      </c>
      <c r="M216" s="119">
        <f t="shared" si="25"/>
        <v>78</v>
      </c>
      <c r="N216" s="119">
        <f t="shared" si="26"/>
        <v>76126736</v>
      </c>
      <c r="O216" s="120">
        <v>45453</v>
      </c>
      <c r="P216" s="120">
        <v>46547</v>
      </c>
      <c r="Q216" s="119">
        <v>156</v>
      </c>
      <c r="R216" s="121">
        <v>152253472</v>
      </c>
      <c r="S216" s="119">
        <v>0</v>
      </c>
      <c r="T216" s="121">
        <v>0</v>
      </c>
      <c r="U216" s="119">
        <v>78</v>
      </c>
      <c r="V216" s="121">
        <f t="shared" si="27"/>
        <v>76126736</v>
      </c>
      <c r="W216" s="119">
        <f t="shared" si="28"/>
        <v>78</v>
      </c>
      <c r="X216" s="121">
        <f t="shared" si="29"/>
        <v>76126736</v>
      </c>
      <c r="Y216" s="122" t="s">
        <v>2408</v>
      </c>
      <c r="Z216" s="123" t="s">
        <v>2407</v>
      </c>
      <c r="AA216" s="123" t="s">
        <v>2406</v>
      </c>
      <c r="AB216" s="123" t="s">
        <v>2372</v>
      </c>
      <c r="AC216" s="123" t="s">
        <v>8</v>
      </c>
      <c r="AD216" s="110">
        <f>COUNTIF('KK1. Movies'!AI:AI,'TK 15661.Bản quyền phim '!F216)</f>
        <v>0</v>
      </c>
      <c r="AE216" s="110">
        <f>COUNTIF('KK2. Series'!AM:AM,'TK 15661.Bản quyền phim '!F216)</f>
        <v>0</v>
      </c>
      <c r="AF216" s="110">
        <f>COUNTIF('KK3. Kids'!AF:AF,'TK 15661.Bản quyền phim '!F216)</f>
        <v>1</v>
      </c>
      <c r="AG216" s="110"/>
      <c r="AH216" s="110" t="str">
        <f t="shared" si="30"/>
        <v>OK</v>
      </c>
    </row>
    <row r="217" spans="1:34" x14ac:dyDescent="0.2">
      <c r="A217" s="47">
        <f t="shared" si="31"/>
        <v>0</v>
      </c>
      <c r="B217" s="108" t="s">
        <v>2816</v>
      </c>
      <c r="C217" s="94" t="s">
        <v>2412</v>
      </c>
      <c r="D217" s="94" t="s">
        <v>2815</v>
      </c>
      <c r="E217" s="94" t="s">
        <v>2814</v>
      </c>
      <c r="F217" s="94" t="s">
        <v>184</v>
      </c>
      <c r="G217" s="94" t="s">
        <v>2409</v>
      </c>
      <c r="H217" s="119">
        <v>53</v>
      </c>
      <c r="I217" s="119">
        <v>3</v>
      </c>
      <c r="J217" s="119">
        <f t="shared" si="24"/>
        <v>159</v>
      </c>
      <c r="K217" s="119">
        <v>422494800</v>
      </c>
      <c r="L217" s="119">
        <v>2657200</v>
      </c>
      <c r="M217" s="119">
        <f t="shared" si="25"/>
        <v>53</v>
      </c>
      <c r="N217" s="119">
        <f t="shared" si="26"/>
        <v>140831600</v>
      </c>
      <c r="O217" s="120">
        <v>45323</v>
      </c>
      <c r="P217" s="120">
        <v>46418</v>
      </c>
      <c r="Q217" s="119">
        <v>106</v>
      </c>
      <c r="R217" s="121">
        <v>281663200</v>
      </c>
      <c r="S217" s="119">
        <v>0</v>
      </c>
      <c r="T217" s="121">
        <v>0</v>
      </c>
      <c r="U217" s="119">
        <v>53</v>
      </c>
      <c r="V217" s="121">
        <f t="shared" si="27"/>
        <v>140831600</v>
      </c>
      <c r="W217" s="119">
        <f t="shared" si="28"/>
        <v>53</v>
      </c>
      <c r="X217" s="121">
        <f t="shared" si="29"/>
        <v>140831600</v>
      </c>
      <c r="Y217" s="122" t="s">
        <v>2408</v>
      </c>
      <c r="Z217" s="123" t="s">
        <v>2407</v>
      </c>
      <c r="AA217" s="123" t="s">
        <v>2406</v>
      </c>
      <c r="AB217" s="123" t="s">
        <v>2372</v>
      </c>
      <c r="AC217" s="123" t="s">
        <v>8</v>
      </c>
      <c r="AD217" s="110">
        <f>COUNTIF('KK1. Movies'!AI:AI,'TK 15661.Bản quyền phim '!F217)</f>
        <v>0</v>
      </c>
      <c r="AE217" s="110">
        <f>COUNTIF('KK2. Series'!AM:AM,'TK 15661.Bản quyền phim '!F217)</f>
        <v>0</v>
      </c>
      <c r="AF217" s="110">
        <f>COUNTIF('KK3. Kids'!AF:AF,'TK 15661.Bản quyền phim '!F217)</f>
        <v>2</v>
      </c>
      <c r="AG217" s="110"/>
      <c r="AH217" s="110" t="str">
        <f t="shared" si="30"/>
        <v>OK</v>
      </c>
    </row>
    <row r="218" spans="1:34" ht="15.6" hidden="1" x14ac:dyDescent="0.3">
      <c r="A218" s="43"/>
      <c r="B218" s="108" t="s">
        <v>2813</v>
      </c>
      <c r="C218" s="94" t="s">
        <v>2412</v>
      </c>
      <c r="D218" s="94" t="s">
        <v>2422</v>
      </c>
      <c r="E218" s="94" t="s">
        <v>2421</v>
      </c>
      <c r="F218" s="94" t="s">
        <v>2282</v>
      </c>
      <c r="G218" s="94" t="s">
        <v>2417</v>
      </c>
      <c r="H218" s="119">
        <v>1</v>
      </c>
      <c r="I218" s="119">
        <v>2</v>
      </c>
      <c r="J218" s="119">
        <f t="shared" si="24"/>
        <v>2</v>
      </c>
      <c r="K218" s="119">
        <v>79716000</v>
      </c>
      <c r="L218" s="119">
        <v>39858000</v>
      </c>
      <c r="M218" s="119">
        <f t="shared" si="25"/>
        <v>1</v>
      </c>
      <c r="N218" s="119">
        <f t="shared" si="26"/>
        <v>39858000</v>
      </c>
      <c r="O218" s="120">
        <v>45505</v>
      </c>
      <c r="P218" s="120">
        <v>46053</v>
      </c>
      <c r="Q218" s="119">
        <v>1</v>
      </c>
      <c r="R218" s="121">
        <v>39858000</v>
      </c>
      <c r="S218" s="119">
        <v>0</v>
      </c>
      <c r="T218" s="121">
        <v>0</v>
      </c>
      <c r="U218" s="119">
        <v>1</v>
      </c>
      <c r="V218" s="121">
        <f t="shared" si="27"/>
        <v>39858000</v>
      </c>
      <c r="W218" s="119">
        <f t="shared" si="28"/>
        <v>0</v>
      </c>
      <c r="X218" s="121">
        <f t="shared" si="29"/>
        <v>0</v>
      </c>
      <c r="Y218" s="122" t="s">
        <v>2416</v>
      </c>
      <c r="Z218" s="123" t="s">
        <v>2407</v>
      </c>
      <c r="AA218" s="123" t="s">
        <v>2406</v>
      </c>
      <c r="AB218" s="123" t="s">
        <v>2372</v>
      </c>
      <c r="AC218" s="124" t="s">
        <v>12</v>
      </c>
      <c r="AD218" s="110">
        <f>COUNTIF('KK1. Movies'!AI:AI,'TK 15661.Bản quyền phim '!F218)</f>
        <v>1</v>
      </c>
      <c r="AE218" s="110">
        <f>COUNTIF('KK2. Series'!AM:AM,'TK 15661.Bản quyền phim '!F218)</f>
        <v>0</v>
      </c>
      <c r="AF218" s="110">
        <f>COUNTIF('KK3. Kids'!AF:AF,'TK 15661.Bản quyền phim '!F218)</f>
        <v>0</v>
      </c>
      <c r="AG218" s="110"/>
      <c r="AH218" s="110" t="str">
        <f t="shared" si="30"/>
        <v>OK</v>
      </c>
    </row>
    <row r="219" spans="1:34" ht="15.6" hidden="1" x14ac:dyDescent="0.3">
      <c r="A219" s="43"/>
      <c r="B219" s="108" t="s">
        <v>2812</v>
      </c>
      <c r="C219" s="94" t="s">
        <v>2412</v>
      </c>
      <c r="D219" s="94" t="s">
        <v>2422</v>
      </c>
      <c r="E219" s="94" t="s">
        <v>2421</v>
      </c>
      <c r="F219" s="94" t="s">
        <v>1590</v>
      </c>
      <c r="G219" s="94" t="s">
        <v>2417</v>
      </c>
      <c r="H219" s="119">
        <v>1</v>
      </c>
      <c r="I219" s="119">
        <v>2</v>
      </c>
      <c r="J219" s="119">
        <f t="shared" si="24"/>
        <v>2</v>
      </c>
      <c r="K219" s="119">
        <v>79716000</v>
      </c>
      <c r="L219" s="119">
        <v>39858000</v>
      </c>
      <c r="M219" s="119">
        <f t="shared" si="25"/>
        <v>1</v>
      </c>
      <c r="N219" s="119">
        <f t="shared" si="26"/>
        <v>39858000</v>
      </c>
      <c r="O219" s="120">
        <v>45505</v>
      </c>
      <c r="P219" s="120">
        <v>46053</v>
      </c>
      <c r="Q219" s="119">
        <v>1</v>
      </c>
      <c r="R219" s="121">
        <v>39858000</v>
      </c>
      <c r="S219" s="119">
        <v>0</v>
      </c>
      <c r="T219" s="121">
        <v>0</v>
      </c>
      <c r="U219" s="119">
        <v>1</v>
      </c>
      <c r="V219" s="121">
        <f t="shared" si="27"/>
        <v>39858000</v>
      </c>
      <c r="W219" s="119">
        <f t="shared" si="28"/>
        <v>0</v>
      </c>
      <c r="X219" s="121">
        <f t="shared" si="29"/>
        <v>0</v>
      </c>
      <c r="Y219" s="122" t="s">
        <v>2416</v>
      </c>
      <c r="Z219" s="123" t="s">
        <v>2407</v>
      </c>
      <c r="AA219" s="123" t="s">
        <v>2406</v>
      </c>
      <c r="AB219" s="123" t="s">
        <v>2372</v>
      </c>
      <c r="AC219" s="124" t="s">
        <v>12</v>
      </c>
      <c r="AD219" s="110">
        <f>COUNTIF('KK1. Movies'!AI:AI,'TK 15661.Bản quyền phim '!F219)</f>
        <v>1</v>
      </c>
      <c r="AE219" s="110">
        <f>COUNTIF('KK2. Series'!AM:AM,'TK 15661.Bản quyền phim '!F219)</f>
        <v>0</v>
      </c>
      <c r="AF219" s="110">
        <f>COUNTIF('KK3. Kids'!AF:AF,'TK 15661.Bản quyền phim '!F219)</f>
        <v>0</v>
      </c>
      <c r="AG219" s="110"/>
      <c r="AH219" s="110" t="str">
        <f t="shared" si="30"/>
        <v>OK</v>
      </c>
    </row>
    <row r="220" spans="1:34" ht="15.6" hidden="1" x14ac:dyDescent="0.3">
      <c r="A220" s="43"/>
      <c r="B220" s="108" t="s">
        <v>2811</v>
      </c>
      <c r="C220" s="94" t="s">
        <v>2412</v>
      </c>
      <c r="D220" s="94" t="s">
        <v>2422</v>
      </c>
      <c r="E220" s="94" t="s">
        <v>2421</v>
      </c>
      <c r="F220" s="94" t="s">
        <v>1916</v>
      </c>
      <c r="G220" s="94" t="s">
        <v>2417</v>
      </c>
      <c r="H220" s="119">
        <v>1</v>
      </c>
      <c r="I220" s="119">
        <v>2</v>
      </c>
      <c r="J220" s="119">
        <f t="shared" si="24"/>
        <v>2</v>
      </c>
      <c r="K220" s="119">
        <v>79716000</v>
      </c>
      <c r="L220" s="119">
        <v>39858000</v>
      </c>
      <c r="M220" s="119">
        <f t="shared" si="25"/>
        <v>1</v>
      </c>
      <c r="N220" s="119">
        <f t="shared" si="26"/>
        <v>39858000</v>
      </c>
      <c r="O220" s="120">
        <v>45505</v>
      </c>
      <c r="P220" s="120">
        <v>46053</v>
      </c>
      <c r="Q220" s="119">
        <v>1</v>
      </c>
      <c r="R220" s="121">
        <v>39858000</v>
      </c>
      <c r="S220" s="119">
        <v>0</v>
      </c>
      <c r="T220" s="121">
        <v>0</v>
      </c>
      <c r="U220" s="119">
        <v>1</v>
      </c>
      <c r="V220" s="121">
        <f t="shared" si="27"/>
        <v>39858000</v>
      </c>
      <c r="W220" s="119">
        <f t="shared" si="28"/>
        <v>0</v>
      </c>
      <c r="X220" s="121">
        <f t="shared" si="29"/>
        <v>0</v>
      </c>
      <c r="Y220" s="122" t="s">
        <v>2416</v>
      </c>
      <c r="Z220" s="123" t="s">
        <v>2407</v>
      </c>
      <c r="AA220" s="123" t="s">
        <v>2406</v>
      </c>
      <c r="AB220" s="123" t="s">
        <v>2372</v>
      </c>
      <c r="AC220" s="124" t="s">
        <v>12</v>
      </c>
      <c r="AD220" s="110">
        <f>COUNTIF('KK1. Movies'!AI:AI,'TK 15661.Bản quyền phim '!F220)</f>
        <v>1</v>
      </c>
      <c r="AE220" s="110">
        <f>COUNTIF('KK2. Series'!AM:AM,'TK 15661.Bản quyền phim '!F220)</f>
        <v>0</v>
      </c>
      <c r="AF220" s="110">
        <f>COUNTIF('KK3. Kids'!AF:AF,'TK 15661.Bản quyền phim '!F220)</f>
        <v>0</v>
      </c>
      <c r="AG220" s="110"/>
      <c r="AH220" s="110" t="str">
        <f t="shared" si="30"/>
        <v>OK</v>
      </c>
    </row>
    <row r="221" spans="1:34" ht="15.6" hidden="1" x14ac:dyDescent="0.3">
      <c r="A221" s="43"/>
      <c r="B221" s="108" t="s">
        <v>2810</v>
      </c>
      <c r="C221" s="94" t="s">
        <v>2412</v>
      </c>
      <c r="D221" s="94" t="s">
        <v>2422</v>
      </c>
      <c r="E221" s="94" t="s">
        <v>2421</v>
      </c>
      <c r="F221" s="94" t="s">
        <v>1888</v>
      </c>
      <c r="G221" s="94" t="s">
        <v>2417</v>
      </c>
      <c r="H221" s="119">
        <v>1</v>
      </c>
      <c r="I221" s="119">
        <v>2</v>
      </c>
      <c r="J221" s="119">
        <f t="shared" si="24"/>
        <v>2</v>
      </c>
      <c r="K221" s="119">
        <v>79716000</v>
      </c>
      <c r="L221" s="119">
        <v>39858000</v>
      </c>
      <c r="M221" s="119">
        <f t="shared" si="25"/>
        <v>1</v>
      </c>
      <c r="N221" s="119">
        <f t="shared" si="26"/>
        <v>39858000</v>
      </c>
      <c r="O221" s="120">
        <v>45505</v>
      </c>
      <c r="P221" s="120">
        <v>46053</v>
      </c>
      <c r="Q221" s="119">
        <v>1</v>
      </c>
      <c r="R221" s="121">
        <v>39858000</v>
      </c>
      <c r="S221" s="119">
        <v>0</v>
      </c>
      <c r="T221" s="121">
        <v>0</v>
      </c>
      <c r="U221" s="119">
        <v>1</v>
      </c>
      <c r="V221" s="121">
        <f t="shared" si="27"/>
        <v>39858000</v>
      </c>
      <c r="W221" s="119">
        <f t="shared" si="28"/>
        <v>0</v>
      </c>
      <c r="X221" s="121">
        <f t="shared" si="29"/>
        <v>0</v>
      </c>
      <c r="Y221" s="122" t="s">
        <v>2416</v>
      </c>
      <c r="Z221" s="123" t="s">
        <v>2407</v>
      </c>
      <c r="AA221" s="123" t="s">
        <v>2406</v>
      </c>
      <c r="AB221" s="123" t="s">
        <v>2372</v>
      </c>
      <c r="AC221" s="124" t="s">
        <v>12</v>
      </c>
      <c r="AD221" s="110">
        <f>COUNTIF('KK1. Movies'!AI:AI,'TK 15661.Bản quyền phim '!F221)</f>
        <v>1</v>
      </c>
      <c r="AE221" s="110">
        <f>COUNTIF('KK2. Series'!AM:AM,'TK 15661.Bản quyền phim '!F221)</f>
        <v>0</v>
      </c>
      <c r="AF221" s="110">
        <f>COUNTIF('KK3. Kids'!AF:AF,'TK 15661.Bản quyền phim '!F221)</f>
        <v>0</v>
      </c>
      <c r="AG221" s="110"/>
      <c r="AH221" s="110" t="str">
        <f t="shared" si="30"/>
        <v>OK</v>
      </c>
    </row>
    <row r="222" spans="1:34" ht="15.6" hidden="1" x14ac:dyDescent="0.3">
      <c r="A222" s="43"/>
      <c r="B222" s="108" t="s">
        <v>2809</v>
      </c>
      <c r="C222" s="94" t="s">
        <v>2412</v>
      </c>
      <c r="D222" s="94" t="s">
        <v>2422</v>
      </c>
      <c r="E222" s="94" t="s">
        <v>2421</v>
      </c>
      <c r="F222" s="94" t="s">
        <v>2104</v>
      </c>
      <c r="G222" s="94" t="s">
        <v>2417</v>
      </c>
      <c r="H222" s="119">
        <v>1</v>
      </c>
      <c r="I222" s="119">
        <v>2</v>
      </c>
      <c r="J222" s="119">
        <f t="shared" si="24"/>
        <v>2</v>
      </c>
      <c r="K222" s="119">
        <v>79716000</v>
      </c>
      <c r="L222" s="119">
        <v>39858000</v>
      </c>
      <c r="M222" s="119">
        <f t="shared" si="25"/>
        <v>1</v>
      </c>
      <c r="N222" s="119">
        <f t="shared" si="26"/>
        <v>39858000</v>
      </c>
      <c r="O222" s="120">
        <v>45505</v>
      </c>
      <c r="P222" s="120">
        <v>46053</v>
      </c>
      <c r="Q222" s="119">
        <v>1</v>
      </c>
      <c r="R222" s="121">
        <v>39858000</v>
      </c>
      <c r="S222" s="119">
        <v>0</v>
      </c>
      <c r="T222" s="121">
        <v>0</v>
      </c>
      <c r="U222" s="119">
        <v>1</v>
      </c>
      <c r="V222" s="121">
        <f t="shared" si="27"/>
        <v>39858000</v>
      </c>
      <c r="W222" s="119">
        <f t="shared" si="28"/>
        <v>0</v>
      </c>
      <c r="X222" s="121">
        <f t="shared" si="29"/>
        <v>0</v>
      </c>
      <c r="Y222" s="122" t="s">
        <v>2416</v>
      </c>
      <c r="Z222" s="123" t="s">
        <v>2407</v>
      </c>
      <c r="AA222" s="123" t="s">
        <v>2406</v>
      </c>
      <c r="AB222" s="123" t="s">
        <v>2372</v>
      </c>
      <c r="AC222" s="124" t="s">
        <v>12</v>
      </c>
      <c r="AD222" s="110">
        <f>COUNTIF('KK1. Movies'!AI:AI,'TK 15661.Bản quyền phim '!F222)</f>
        <v>1</v>
      </c>
      <c r="AE222" s="110">
        <f>COUNTIF('KK2. Series'!AM:AM,'TK 15661.Bản quyền phim '!F222)</f>
        <v>0</v>
      </c>
      <c r="AF222" s="110">
        <f>COUNTIF('KK3. Kids'!AF:AF,'TK 15661.Bản quyền phim '!F222)</f>
        <v>0</v>
      </c>
      <c r="AG222" s="110"/>
      <c r="AH222" s="110" t="str">
        <f t="shared" si="30"/>
        <v>OK</v>
      </c>
    </row>
    <row r="223" spans="1:34" ht="15.6" hidden="1" x14ac:dyDescent="0.3">
      <c r="A223" s="43"/>
      <c r="B223" s="108" t="s">
        <v>2808</v>
      </c>
      <c r="C223" s="94" t="s">
        <v>2412</v>
      </c>
      <c r="D223" s="94" t="s">
        <v>2422</v>
      </c>
      <c r="E223" s="94" t="s">
        <v>2421</v>
      </c>
      <c r="F223" s="94" t="s">
        <v>1680</v>
      </c>
      <c r="G223" s="94" t="s">
        <v>2417</v>
      </c>
      <c r="H223" s="119">
        <v>1</v>
      </c>
      <c r="I223" s="119">
        <v>2</v>
      </c>
      <c r="J223" s="119">
        <f t="shared" si="24"/>
        <v>2</v>
      </c>
      <c r="K223" s="119">
        <v>79716000</v>
      </c>
      <c r="L223" s="119">
        <v>39858000</v>
      </c>
      <c r="M223" s="119">
        <f t="shared" si="25"/>
        <v>1</v>
      </c>
      <c r="N223" s="119">
        <f t="shared" si="26"/>
        <v>39858000</v>
      </c>
      <c r="O223" s="120">
        <v>45505</v>
      </c>
      <c r="P223" s="120">
        <v>46053</v>
      </c>
      <c r="Q223" s="119">
        <v>1</v>
      </c>
      <c r="R223" s="121">
        <v>39858000</v>
      </c>
      <c r="S223" s="119">
        <v>0</v>
      </c>
      <c r="T223" s="121">
        <v>0</v>
      </c>
      <c r="U223" s="119">
        <v>1</v>
      </c>
      <c r="V223" s="121">
        <f t="shared" si="27"/>
        <v>39858000</v>
      </c>
      <c r="W223" s="119">
        <f t="shared" si="28"/>
        <v>0</v>
      </c>
      <c r="X223" s="121">
        <f t="shared" si="29"/>
        <v>0</v>
      </c>
      <c r="Y223" s="122" t="s">
        <v>2416</v>
      </c>
      <c r="Z223" s="123" t="s">
        <v>2407</v>
      </c>
      <c r="AA223" s="123" t="s">
        <v>2406</v>
      </c>
      <c r="AB223" s="123" t="s">
        <v>2372</v>
      </c>
      <c r="AC223" s="124" t="s">
        <v>12</v>
      </c>
      <c r="AD223" s="110">
        <f>COUNTIF('KK1. Movies'!AI:AI,'TK 15661.Bản quyền phim '!F223)</f>
        <v>1</v>
      </c>
      <c r="AE223" s="110">
        <f>COUNTIF('KK2. Series'!AM:AM,'TK 15661.Bản quyền phim '!F223)</f>
        <v>0</v>
      </c>
      <c r="AF223" s="110">
        <f>COUNTIF('KK3. Kids'!AF:AF,'TK 15661.Bản quyền phim '!F223)</f>
        <v>0</v>
      </c>
      <c r="AG223" s="110"/>
      <c r="AH223" s="110" t="str">
        <f t="shared" si="30"/>
        <v>OK</v>
      </c>
    </row>
    <row r="224" spans="1:34" ht="15.6" hidden="1" x14ac:dyDescent="0.3">
      <c r="A224" s="43"/>
      <c r="B224" s="108" t="s">
        <v>2807</v>
      </c>
      <c r="C224" s="94" t="s">
        <v>2412</v>
      </c>
      <c r="D224" s="94" t="s">
        <v>2422</v>
      </c>
      <c r="E224" s="94" t="s">
        <v>2421</v>
      </c>
      <c r="F224" s="94" t="s">
        <v>1599</v>
      </c>
      <c r="G224" s="94" t="s">
        <v>2417</v>
      </c>
      <c r="H224" s="119">
        <v>1</v>
      </c>
      <c r="I224" s="119">
        <v>2</v>
      </c>
      <c r="J224" s="119">
        <f t="shared" si="24"/>
        <v>2</v>
      </c>
      <c r="K224" s="119">
        <v>79716000</v>
      </c>
      <c r="L224" s="119">
        <v>39858000</v>
      </c>
      <c r="M224" s="119">
        <f t="shared" si="25"/>
        <v>1</v>
      </c>
      <c r="N224" s="119">
        <f t="shared" si="26"/>
        <v>39858000</v>
      </c>
      <c r="O224" s="120">
        <v>45505</v>
      </c>
      <c r="P224" s="120">
        <v>46053</v>
      </c>
      <c r="Q224" s="119">
        <v>1</v>
      </c>
      <c r="R224" s="121">
        <v>39858000</v>
      </c>
      <c r="S224" s="119">
        <v>0</v>
      </c>
      <c r="T224" s="121">
        <v>0</v>
      </c>
      <c r="U224" s="119">
        <v>1</v>
      </c>
      <c r="V224" s="121">
        <f t="shared" si="27"/>
        <v>39858000</v>
      </c>
      <c r="W224" s="119">
        <f t="shared" si="28"/>
        <v>0</v>
      </c>
      <c r="X224" s="121">
        <f t="shared" si="29"/>
        <v>0</v>
      </c>
      <c r="Y224" s="122" t="s">
        <v>2416</v>
      </c>
      <c r="Z224" s="123" t="s">
        <v>2407</v>
      </c>
      <c r="AA224" s="123" t="s">
        <v>2406</v>
      </c>
      <c r="AB224" s="123" t="s">
        <v>2372</v>
      </c>
      <c r="AC224" s="124" t="s">
        <v>12</v>
      </c>
      <c r="AD224" s="110">
        <f>COUNTIF('KK1. Movies'!AI:AI,'TK 15661.Bản quyền phim '!F224)</f>
        <v>1</v>
      </c>
      <c r="AE224" s="110">
        <f>COUNTIF('KK2. Series'!AM:AM,'TK 15661.Bản quyền phim '!F224)</f>
        <v>0</v>
      </c>
      <c r="AF224" s="110">
        <f>COUNTIF('KK3. Kids'!AF:AF,'TK 15661.Bản quyền phim '!F224)</f>
        <v>0</v>
      </c>
      <c r="AG224" s="110"/>
      <c r="AH224" s="110" t="str">
        <f t="shared" si="30"/>
        <v>OK</v>
      </c>
    </row>
    <row r="225" spans="1:34" ht="15.6" hidden="1" x14ac:dyDescent="0.3">
      <c r="A225" s="43"/>
      <c r="B225" s="108" t="s">
        <v>2806</v>
      </c>
      <c r="C225" s="94" t="s">
        <v>2412</v>
      </c>
      <c r="D225" s="94" t="s">
        <v>2422</v>
      </c>
      <c r="E225" s="94" t="s">
        <v>2421</v>
      </c>
      <c r="F225" s="94" t="s">
        <v>1618</v>
      </c>
      <c r="G225" s="94" t="s">
        <v>2417</v>
      </c>
      <c r="H225" s="119">
        <v>1</v>
      </c>
      <c r="I225" s="119">
        <v>2</v>
      </c>
      <c r="J225" s="119">
        <f t="shared" si="24"/>
        <v>2</v>
      </c>
      <c r="K225" s="119">
        <v>79716000</v>
      </c>
      <c r="L225" s="119">
        <v>39858000</v>
      </c>
      <c r="M225" s="119">
        <f t="shared" si="25"/>
        <v>1</v>
      </c>
      <c r="N225" s="119">
        <f t="shared" si="26"/>
        <v>39858000</v>
      </c>
      <c r="O225" s="120">
        <v>45505</v>
      </c>
      <c r="P225" s="120">
        <v>46053</v>
      </c>
      <c r="Q225" s="119">
        <v>1</v>
      </c>
      <c r="R225" s="121">
        <v>39858000</v>
      </c>
      <c r="S225" s="119">
        <v>0</v>
      </c>
      <c r="T225" s="121">
        <v>0</v>
      </c>
      <c r="U225" s="119">
        <v>1</v>
      </c>
      <c r="V225" s="121">
        <f t="shared" si="27"/>
        <v>39858000</v>
      </c>
      <c r="W225" s="119">
        <f t="shared" si="28"/>
        <v>0</v>
      </c>
      <c r="X225" s="121">
        <f t="shared" si="29"/>
        <v>0</v>
      </c>
      <c r="Y225" s="122" t="s">
        <v>2416</v>
      </c>
      <c r="Z225" s="123" t="s">
        <v>2407</v>
      </c>
      <c r="AA225" s="123" t="s">
        <v>2406</v>
      </c>
      <c r="AB225" s="123" t="s">
        <v>2372</v>
      </c>
      <c r="AC225" s="124" t="s">
        <v>12</v>
      </c>
      <c r="AD225" s="110">
        <f>COUNTIF('KK1. Movies'!AI:AI,'TK 15661.Bản quyền phim '!F225)</f>
        <v>1</v>
      </c>
      <c r="AE225" s="110">
        <f>COUNTIF('KK2. Series'!AM:AM,'TK 15661.Bản quyền phim '!F225)</f>
        <v>0</v>
      </c>
      <c r="AF225" s="110">
        <f>COUNTIF('KK3. Kids'!AF:AF,'TK 15661.Bản quyền phim '!F225)</f>
        <v>0</v>
      </c>
      <c r="AG225" s="110"/>
      <c r="AH225" s="110" t="str">
        <f t="shared" si="30"/>
        <v>OK</v>
      </c>
    </row>
    <row r="226" spans="1:34" ht="15.6" hidden="1" x14ac:dyDescent="0.3">
      <c r="A226" s="43"/>
      <c r="B226" s="108" t="s">
        <v>2805</v>
      </c>
      <c r="C226" s="94" t="s">
        <v>2412</v>
      </c>
      <c r="D226" s="94" t="s">
        <v>2422</v>
      </c>
      <c r="E226" s="94" t="s">
        <v>2421</v>
      </c>
      <c r="F226" s="94" t="s">
        <v>2132</v>
      </c>
      <c r="G226" s="94" t="s">
        <v>2417</v>
      </c>
      <c r="H226" s="119">
        <v>1</v>
      </c>
      <c r="I226" s="119">
        <v>2</v>
      </c>
      <c r="J226" s="119">
        <f t="shared" si="24"/>
        <v>2</v>
      </c>
      <c r="K226" s="119">
        <v>79716000</v>
      </c>
      <c r="L226" s="119">
        <v>39858000</v>
      </c>
      <c r="M226" s="119">
        <f t="shared" si="25"/>
        <v>1</v>
      </c>
      <c r="N226" s="119">
        <f t="shared" si="26"/>
        <v>39858000</v>
      </c>
      <c r="O226" s="120">
        <v>45747</v>
      </c>
      <c r="P226" s="120">
        <v>46294</v>
      </c>
      <c r="Q226" s="119">
        <v>1</v>
      </c>
      <c r="R226" s="121">
        <v>39858000</v>
      </c>
      <c r="S226" s="119">
        <v>0</v>
      </c>
      <c r="T226" s="121">
        <v>0</v>
      </c>
      <c r="U226" s="119">
        <v>1</v>
      </c>
      <c r="V226" s="121">
        <f t="shared" si="27"/>
        <v>39858000</v>
      </c>
      <c r="W226" s="119">
        <f t="shared" si="28"/>
        <v>0</v>
      </c>
      <c r="X226" s="121">
        <f t="shared" si="29"/>
        <v>0</v>
      </c>
      <c r="Y226" s="122" t="s">
        <v>2416</v>
      </c>
      <c r="Z226" s="123" t="s">
        <v>2407</v>
      </c>
      <c r="AA226" s="123" t="s">
        <v>2406</v>
      </c>
      <c r="AB226" s="123" t="s">
        <v>2372</v>
      </c>
      <c r="AC226" s="124" t="s">
        <v>12</v>
      </c>
      <c r="AD226" s="110">
        <f>COUNTIF('KK1. Movies'!AI:AI,'TK 15661.Bản quyền phim '!F226)</f>
        <v>1</v>
      </c>
      <c r="AE226" s="110">
        <f>COUNTIF('KK2. Series'!AM:AM,'TK 15661.Bản quyền phim '!F226)</f>
        <v>0</v>
      </c>
      <c r="AF226" s="110">
        <f>COUNTIF('KK3. Kids'!AF:AF,'TK 15661.Bản quyền phim '!F226)</f>
        <v>0</v>
      </c>
      <c r="AG226" s="110"/>
      <c r="AH226" s="110" t="str">
        <f t="shared" si="30"/>
        <v>OK</v>
      </c>
    </row>
    <row r="227" spans="1:34" ht="15.6" hidden="1" x14ac:dyDescent="0.3">
      <c r="A227" s="43"/>
      <c r="B227" s="108" t="s">
        <v>2804</v>
      </c>
      <c r="C227" s="94" t="s">
        <v>2412</v>
      </c>
      <c r="D227" s="94" t="s">
        <v>2419</v>
      </c>
      <c r="E227" s="94" t="s">
        <v>2418</v>
      </c>
      <c r="F227" s="94" t="s">
        <v>2267</v>
      </c>
      <c r="G227" s="94" t="s">
        <v>2417</v>
      </c>
      <c r="H227" s="119">
        <v>1</v>
      </c>
      <c r="I227" s="119">
        <v>2</v>
      </c>
      <c r="J227" s="119">
        <f t="shared" si="24"/>
        <v>2</v>
      </c>
      <c r="K227" s="119">
        <v>97130880</v>
      </c>
      <c r="L227" s="119">
        <v>48565440</v>
      </c>
      <c r="M227" s="119">
        <f t="shared" si="25"/>
        <v>1</v>
      </c>
      <c r="N227" s="119">
        <f t="shared" si="26"/>
        <v>48565440</v>
      </c>
      <c r="O227" s="120">
        <v>45513</v>
      </c>
      <c r="P227" s="120">
        <v>46242</v>
      </c>
      <c r="Q227" s="119">
        <v>1</v>
      </c>
      <c r="R227" s="121">
        <v>48565440</v>
      </c>
      <c r="S227" s="119">
        <v>0</v>
      </c>
      <c r="T227" s="121">
        <v>0</v>
      </c>
      <c r="U227" s="119">
        <v>1</v>
      </c>
      <c r="V227" s="121">
        <f t="shared" si="27"/>
        <v>48565440</v>
      </c>
      <c r="W227" s="119">
        <f t="shared" si="28"/>
        <v>0</v>
      </c>
      <c r="X227" s="121">
        <f t="shared" si="29"/>
        <v>0</v>
      </c>
      <c r="Y227" s="122" t="s">
        <v>2416</v>
      </c>
      <c r="Z227" s="123" t="s">
        <v>2407</v>
      </c>
      <c r="AA227" s="123" t="s">
        <v>2406</v>
      </c>
      <c r="AB227" s="123" t="s">
        <v>2372</v>
      </c>
      <c r="AC227" s="124" t="s">
        <v>12</v>
      </c>
      <c r="AD227" s="110">
        <f>COUNTIF('KK1. Movies'!AI:AI,'TK 15661.Bản quyền phim '!F227)</f>
        <v>1</v>
      </c>
      <c r="AE227" s="110">
        <f>COUNTIF('KK2. Series'!AM:AM,'TK 15661.Bản quyền phim '!F227)</f>
        <v>0</v>
      </c>
      <c r="AF227" s="110">
        <f>COUNTIF('KK3. Kids'!AF:AF,'TK 15661.Bản quyền phim '!F227)</f>
        <v>0</v>
      </c>
      <c r="AG227" s="110"/>
      <c r="AH227" s="110" t="str">
        <f t="shared" si="30"/>
        <v>OK</v>
      </c>
    </row>
    <row r="228" spans="1:34" ht="15.6" hidden="1" x14ac:dyDescent="0.3">
      <c r="A228" s="43"/>
      <c r="B228" s="108" t="s">
        <v>2803</v>
      </c>
      <c r="C228" s="94" t="s">
        <v>2412</v>
      </c>
      <c r="D228" s="94" t="s">
        <v>2419</v>
      </c>
      <c r="E228" s="94" t="s">
        <v>2418</v>
      </c>
      <c r="F228" s="94" t="s">
        <v>1519</v>
      </c>
      <c r="G228" s="94" t="s">
        <v>2417</v>
      </c>
      <c r="H228" s="119">
        <v>1</v>
      </c>
      <c r="I228" s="119">
        <v>2</v>
      </c>
      <c r="J228" s="119">
        <f t="shared" si="24"/>
        <v>2</v>
      </c>
      <c r="K228" s="119">
        <v>125828640</v>
      </c>
      <c r="L228" s="119">
        <v>62914320</v>
      </c>
      <c r="M228" s="119">
        <f t="shared" si="25"/>
        <v>1</v>
      </c>
      <c r="N228" s="119">
        <f t="shared" si="26"/>
        <v>62914320</v>
      </c>
      <c r="O228" s="120">
        <v>45646</v>
      </c>
      <c r="P228" s="120">
        <v>46375</v>
      </c>
      <c r="Q228" s="119">
        <v>1</v>
      </c>
      <c r="R228" s="121">
        <v>62914320</v>
      </c>
      <c r="S228" s="119">
        <v>0</v>
      </c>
      <c r="T228" s="121">
        <v>0</v>
      </c>
      <c r="U228" s="119">
        <v>1</v>
      </c>
      <c r="V228" s="121">
        <f t="shared" si="27"/>
        <v>62914320</v>
      </c>
      <c r="W228" s="119">
        <f t="shared" si="28"/>
        <v>0</v>
      </c>
      <c r="X228" s="121">
        <f t="shared" si="29"/>
        <v>0</v>
      </c>
      <c r="Y228" s="122" t="s">
        <v>2416</v>
      </c>
      <c r="Z228" s="123" t="s">
        <v>2407</v>
      </c>
      <c r="AA228" s="123" t="s">
        <v>2406</v>
      </c>
      <c r="AB228" s="123" t="s">
        <v>2372</v>
      </c>
      <c r="AC228" s="124" t="s">
        <v>12</v>
      </c>
      <c r="AD228" s="110">
        <f>COUNTIF('KK1. Movies'!AI:AI,'TK 15661.Bản quyền phim '!F228)</f>
        <v>1</v>
      </c>
      <c r="AE228" s="110">
        <f>COUNTIF('KK2. Series'!AM:AM,'TK 15661.Bản quyền phim '!F228)</f>
        <v>0</v>
      </c>
      <c r="AF228" s="110">
        <f>COUNTIF('KK3. Kids'!AF:AF,'TK 15661.Bản quyền phim '!F228)</f>
        <v>0</v>
      </c>
      <c r="AG228" s="110"/>
      <c r="AH228" s="110" t="str">
        <f t="shared" si="30"/>
        <v>OK</v>
      </c>
    </row>
    <row r="229" spans="1:34" ht="15.6" hidden="1" x14ac:dyDescent="0.3">
      <c r="A229" s="43"/>
      <c r="B229" s="108" t="s">
        <v>2802</v>
      </c>
      <c r="C229" s="94" t="s">
        <v>2412</v>
      </c>
      <c r="D229" s="94" t="s">
        <v>2419</v>
      </c>
      <c r="E229" s="94" t="s">
        <v>2418</v>
      </c>
      <c r="F229" s="94" t="s">
        <v>1482</v>
      </c>
      <c r="G229" s="94" t="s">
        <v>2417</v>
      </c>
      <c r="H229" s="119">
        <v>1</v>
      </c>
      <c r="I229" s="119">
        <v>2</v>
      </c>
      <c r="J229" s="119">
        <f t="shared" si="24"/>
        <v>2</v>
      </c>
      <c r="K229" s="119">
        <v>94923360</v>
      </c>
      <c r="L229" s="119">
        <v>47461680</v>
      </c>
      <c r="M229" s="119">
        <f t="shared" si="25"/>
        <v>1</v>
      </c>
      <c r="N229" s="119">
        <f t="shared" si="26"/>
        <v>47461680</v>
      </c>
      <c r="O229" s="120">
        <v>45616</v>
      </c>
      <c r="P229" s="120">
        <v>46345</v>
      </c>
      <c r="Q229" s="119">
        <v>1</v>
      </c>
      <c r="R229" s="121">
        <v>47461680</v>
      </c>
      <c r="S229" s="119">
        <v>0</v>
      </c>
      <c r="T229" s="121">
        <v>0</v>
      </c>
      <c r="U229" s="119">
        <v>1</v>
      </c>
      <c r="V229" s="121">
        <f t="shared" si="27"/>
        <v>47461680</v>
      </c>
      <c r="W229" s="119">
        <f t="shared" si="28"/>
        <v>0</v>
      </c>
      <c r="X229" s="121">
        <f t="shared" si="29"/>
        <v>0</v>
      </c>
      <c r="Y229" s="122" t="s">
        <v>2416</v>
      </c>
      <c r="Z229" s="123" t="s">
        <v>2407</v>
      </c>
      <c r="AA229" s="123" t="s">
        <v>2406</v>
      </c>
      <c r="AB229" s="123" t="s">
        <v>2372</v>
      </c>
      <c r="AC229" s="124" t="s">
        <v>12</v>
      </c>
      <c r="AD229" s="110">
        <f>COUNTIF('KK1. Movies'!AI:AI,'TK 15661.Bản quyền phim '!F229)</f>
        <v>1</v>
      </c>
      <c r="AE229" s="110">
        <f>COUNTIF('KK2. Series'!AM:AM,'TK 15661.Bản quyền phim '!F229)</f>
        <v>0</v>
      </c>
      <c r="AF229" s="110">
        <f>COUNTIF('KK3. Kids'!AF:AF,'TK 15661.Bản quyền phim '!F229)</f>
        <v>0</v>
      </c>
      <c r="AG229" s="110"/>
      <c r="AH229" s="110" t="str">
        <f t="shared" si="30"/>
        <v>OK</v>
      </c>
    </row>
    <row r="230" spans="1:34" ht="15.6" hidden="1" x14ac:dyDescent="0.3">
      <c r="A230" s="43"/>
      <c r="B230" s="108" t="s">
        <v>2801</v>
      </c>
      <c r="C230" s="94" t="s">
        <v>2412</v>
      </c>
      <c r="D230" s="94" t="s">
        <v>2419</v>
      </c>
      <c r="E230" s="94" t="s">
        <v>2418</v>
      </c>
      <c r="F230" s="94" t="s">
        <v>2179</v>
      </c>
      <c r="G230" s="94" t="s">
        <v>2417</v>
      </c>
      <c r="H230" s="119">
        <v>1</v>
      </c>
      <c r="I230" s="119">
        <v>2</v>
      </c>
      <c r="J230" s="119">
        <f t="shared" si="24"/>
        <v>2</v>
      </c>
      <c r="K230" s="119">
        <v>75791520</v>
      </c>
      <c r="L230" s="119">
        <v>37895760</v>
      </c>
      <c r="M230" s="119">
        <f t="shared" si="25"/>
        <v>1</v>
      </c>
      <c r="N230" s="119">
        <f t="shared" si="26"/>
        <v>37895760</v>
      </c>
      <c r="O230" s="120">
        <v>45623</v>
      </c>
      <c r="P230" s="120">
        <v>46352</v>
      </c>
      <c r="Q230" s="119">
        <v>1</v>
      </c>
      <c r="R230" s="121">
        <v>37895760</v>
      </c>
      <c r="S230" s="119">
        <v>0</v>
      </c>
      <c r="T230" s="121">
        <v>0</v>
      </c>
      <c r="U230" s="119">
        <v>1</v>
      </c>
      <c r="V230" s="121">
        <f t="shared" si="27"/>
        <v>37895760</v>
      </c>
      <c r="W230" s="119">
        <f t="shared" si="28"/>
        <v>0</v>
      </c>
      <c r="X230" s="121">
        <f t="shared" si="29"/>
        <v>0</v>
      </c>
      <c r="Y230" s="122" t="s">
        <v>2416</v>
      </c>
      <c r="Z230" s="123" t="s">
        <v>2407</v>
      </c>
      <c r="AA230" s="123" t="s">
        <v>2406</v>
      </c>
      <c r="AB230" s="123" t="s">
        <v>2372</v>
      </c>
      <c r="AC230" s="124" t="s">
        <v>12</v>
      </c>
      <c r="AD230" s="110">
        <f>COUNTIF('KK1. Movies'!AI:AI,'TK 15661.Bản quyền phim '!F230)</f>
        <v>1</v>
      </c>
      <c r="AE230" s="110">
        <f>COUNTIF('KK2. Series'!AM:AM,'TK 15661.Bản quyền phim '!F230)</f>
        <v>0</v>
      </c>
      <c r="AF230" s="110">
        <f>COUNTIF('KK3. Kids'!AF:AF,'TK 15661.Bản quyền phim '!F230)</f>
        <v>0</v>
      </c>
      <c r="AG230" s="110"/>
      <c r="AH230" s="110" t="str">
        <f t="shared" si="30"/>
        <v>OK</v>
      </c>
    </row>
    <row r="231" spans="1:34" ht="15.6" hidden="1" x14ac:dyDescent="0.3">
      <c r="A231" s="43"/>
      <c r="B231" s="108" t="s">
        <v>2800</v>
      </c>
      <c r="C231" s="94" t="s">
        <v>2412</v>
      </c>
      <c r="D231" s="94" t="s">
        <v>2419</v>
      </c>
      <c r="E231" s="94" t="s">
        <v>2418</v>
      </c>
      <c r="F231" s="94" t="s">
        <v>1609</v>
      </c>
      <c r="G231" s="94" t="s">
        <v>2417</v>
      </c>
      <c r="H231" s="119">
        <v>1</v>
      </c>
      <c r="I231" s="119">
        <v>2</v>
      </c>
      <c r="J231" s="119">
        <f t="shared" si="24"/>
        <v>2</v>
      </c>
      <c r="K231" s="119">
        <v>97130880</v>
      </c>
      <c r="L231" s="119">
        <v>48565440</v>
      </c>
      <c r="M231" s="119">
        <f t="shared" si="25"/>
        <v>1</v>
      </c>
      <c r="N231" s="119">
        <f t="shared" si="26"/>
        <v>48565440</v>
      </c>
      <c r="O231" s="120">
        <v>45653</v>
      </c>
      <c r="P231" s="120">
        <v>46382</v>
      </c>
      <c r="Q231" s="119">
        <v>1</v>
      </c>
      <c r="R231" s="121">
        <v>48565440</v>
      </c>
      <c r="S231" s="119">
        <v>0</v>
      </c>
      <c r="T231" s="121">
        <v>0</v>
      </c>
      <c r="U231" s="119">
        <v>1</v>
      </c>
      <c r="V231" s="121">
        <f t="shared" si="27"/>
        <v>48565440</v>
      </c>
      <c r="W231" s="119">
        <f t="shared" si="28"/>
        <v>0</v>
      </c>
      <c r="X231" s="121">
        <f t="shared" si="29"/>
        <v>0</v>
      </c>
      <c r="Y231" s="122" t="s">
        <v>2416</v>
      </c>
      <c r="Z231" s="123" t="s">
        <v>2407</v>
      </c>
      <c r="AA231" s="123" t="s">
        <v>2406</v>
      </c>
      <c r="AB231" s="123" t="s">
        <v>2372</v>
      </c>
      <c r="AC231" s="124" t="s">
        <v>12</v>
      </c>
      <c r="AD231" s="110">
        <f>COUNTIF('KK1. Movies'!AI:AI,'TK 15661.Bản quyền phim '!F231)</f>
        <v>1</v>
      </c>
      <c r="AE231" s="110">
        <f>COUNTIF('KK2. Series'!AM:AM,'TK 15661.Bản quyền phim '!F231)</f>
        <v>0</v>
      </c>
      <c r="AF231" s="110">
        <f>COUNTIF('KK3. Kids'!AF:AF,'TK 15661.Bản quyền phim '!F231)</f>
        <v>0</v>
      </c>
      <c r="AG231" s="110"/>
      <c r="AH231" s="110" t="str">
        <f t="shared" si="30"/>
        <v>OK</v>
      </c>
    </row>
    <row r="232" spans="1:34" ht="15.6" hidden="1" x14ac:dyDescent="0.3">
      <c r="A232" s="43"/>
      <c r="B232" s="108" t="s">
        <v>2799</v>
      </c>
      <c r="C232" s="94" t="s">
        <v>2412</v>
      </c>
      <c r="D232" s="94" t="s">
        <v>2419</v>
      </c>
      <c r="E232" s="94" t="s">
        <v>2418</v>
      </c>
      <c r="F232" s="94" t="s">
        <v>1825</v>
      </c>
      <c r="G232" s="94" t="s">
        <v>2417</v>
      </c>
      <c r="H232" s="119">
        <v>1</v>
      </c>
      <c r="I232" s="119">
        <v>2</v>
      </c>
      <c r="J232" s="119">
        <f t="shared" si="24"/>
        <v>2</v>
      </c>
      <c r="K232" s="119">
        <v>97130880</v>
      </c>
      <c r="L232" s="119">
        <v>48565440</v>
      </c>
      <c r="M232" s="119">
        <f t="shared" si="25"/>
        <v>1</v>
      </c>
      <c r="N232" s="119">
        <f t="shared" si="26"/>
        <v>48565440</v>
      </c>
      <c r="O232" s="120">
        <v>45617</v>
      </c>
      <c r="P232" s="120">
        <v>46346</v>
      </c>
      <c r="Q232" s="119">
        <v>1</v>
      </c>
      <c r="R232" s="121">
        <v>48565440</v>
      </c>
      <c r="S232" s="119">
        <v>0</v>
      </c>
      <c r="T232" s="121">
        <v>0</v>
      </c>
      <c r="U232" s="119">
        <v>1</v>
      </c>
      <c r="V232" s="121">
        <f t="shared" si="27"/>
        <v>48565440</v>
      </c>
      <c r="W232" s="119">
        <f t="shared" si="28"/>
        <v>0</v>
      </c>
      <c r="X232" s="121">
        <f t="shared" si="29"/>
        <v>0</v>
      </c>
      <c r="Y232" s="122" t="s">
        <v>2416</v>
      </c>
      <c r="Z232" s="123" t="s">
        <v>2407</v>
      </c>
      <c r="AA232" s="123" t="s">
        <v>2406</v>
      </c>
      <c r="AB232" s="123" t="s">
        <v>2372</v>
      </c>
      <c r="AC232" s="124" t="s">
        <v>12</v>
      </c>
      <c r="AD232" s="110">
        <f>COUNTIF('KK1. Movies'!AI:AI,'TK 15661.Bản quyền phim '!F232)</f>
        <v>1</v>
      </c>
      <c r="AE232" s="110">
        <f>COUNTIF('KK2. Series'!AM:AM,'TK 15661.Bản quyền phim '!F232)</f>
        <v>0</v>
      </c>
      <c r="AF232" s="110">
        <f>COUNTIF('KK3. Kids'!AF:AF,'TK 15661.Bản quyền phim '!F232)</f>
        <v>0</v>
      </c>
      <c r="AG232" s="110"/>
      <c r="AH232" s="110" t="str">
        <f t="shared" si="30"/>
        <v>OK</v>
      </c>
    </row>
    <row r="233" spans="1:34" ht="15.6" hidden="1" x14ac:dyDescent="0.3">
      <c r="A233" s="43"/>
      <c r="B233" s="108" t="s">
        <v>2798</v>
      </c>
      <c r="C233" s="94" t="s">
        <v>2412</v>
      </c>
      <c r="D233" s="94" t="s">
        <v>2419</v>
      </c>
      <c r="E233" s="94" t="s">
        <v>2418</v>
      </c>
      <c r="F233" s="94" t="s">
        <v>2324</v>
      </c>
      <c r="G233" s="94" t="s">
        <v>2417</v>
      </c>
      <c r="H233" s="119">
        <v>1</v>
      </c>
      <c r="I233" s="119">
        <v>2</v>
      </c>
      <c r="J233" s="119">
        <f t="shared" si="24"/>
        <v>2</v>
      </c>
      <c r="K233" s="119">
        <v>94923360</v>
      </c>
      <c r="L233" s="119">
        <v>47461680</v>
      </c>
      <c r="M233" s="119">
        <f t="shared" si="25"/>
        <v>1</v>
      </c>
      <c r="N233" s="119">
        <f t="shared" si="26"/>
        <v>47461680</v>
      </c>
      <c r="O233" s="120">
        <v>45414</v>
      </c>
      <c r="P233" s="120">
        <v>46143</v>
      </c>
      <c r="Q233" s="119">
        <v>1</v>
      </c>
      <c r="R233" s="121">
        <v>47461680</v>
      </c>
      <c r="S233" s="119">
        <v>0</v>
      </c>
      <c r="T233" s="121">
        <v>0</v>
      </c>
      <c r="U233" s="119">
        <v>1</v>
      </c>
      <c r="V233" s="121">
        <f t="shared" si="27"/>
        <v>47461680</v>
      </c>
      <c r="W233" s="119">
        <f t="shared" si="28"/>
        <v>0</v>
      </c>
      <c r="X233" s="121">
        <f t="shared" si="29"/>
        <v>0</v>
      </c>
      <c r="Y233" s="122" t="s">
        <v>2416</v>
      </c>
      <c r="Z233" s="123" t="s">
        <v>2407</v>
      </c>
      <c r="AA233" s="123" t="s">
        <v>2406</v>
      </c>
      <c r="AB233" s="123" t="s">
        <v>2372</v>
      </c>
      <c r="AC233" s="124" t="s">
        <v>12</v>
      </c>
      <c r="AD233" s="110">
        <f>COUNTIF('KK1. Movies'!AI:AI,'TK 15661.Bản quyền phim '!F233)</f>
        <v>1</v>
      </c>
      <c r="AE233" s="110">
        <f>COUNTIF('KK2. Series'!AM:AM,'TK 15661.Bản quyền phim '!F233)</f>
        <v>0</v>
      </c>
      <c r="AF233" s="110">
        <f>COUNTIF('KK3. Kids'!AF:AF,'TK 15661.Bản quyền phim '!F233)</f>
        <v>0</v>
      </c>
      <c r="AG233" s="110"/>
      <c r="AH233" s="110" t="str">
        <f t="shared" si="30"/>
        <v>OK</v>
      </c>
    </row>
    <row r="234" spans="1:34" ht="15.6" hidden="1" x14ac:dyDescent="0.3">
      <c r="A234" s="43"/>
      <c r="B234" s="108" t="s">
        <v>2797</v>
      </c>
      <c r="C234" s="94" t="s">
        <v>2412</v>
      </c>
      <c r="D234" s="94" t="s">
        <v>2419</v>
      </c>
      <c r="E234" s="94" t="s">
        <v>2418</v>
      </c>
      <c r="F234" s="94" t="s">
        <v>2052</v>
      </c>
      <c r="G234" s="94" t="s">
        <v>2417</v>
      </c>
      <c r="H234" s="119">
        <v>1</v>
      </c>
      <c r="I234" s="119">
        <v>2</v>
      </c>
      <c r="J234" s="119">
        <f t="shared" si="24"/>
        <v>2</v>
      </c>
      <c r="K234" s="119">
        <v>181016640</v>
      </c>
      <c r="L234" s="119">
        <v>90508320</v>
      </c>
      <c r="M234" s="119">
        <f t="shared" si="25"/>
        <v>1</v>
      </c>
      <c r="N234" s="119">
        <f t="shared" si="26"/>
        <v>90508320</v>
      </c>
      <c r="O234" s="120">
        <v>45639</v>
      </c>
      <c r="P234" s="120">
        <v>46368</v>
      </c>
      <c r="Q234" s="119">
        <v>1</v>
      </c>
      <c r="R234" s="121">
        <v>90508320</v>
      </c>
      <c r="S234" s="119">
        <v>0</v>
      </c>
      <c r="T234" s="121">
        <v>0</v>
      </c>
      <c r="U234" s="119">
        <v>1</v>
      </c>
      <c r="V234" s="121">
        <f t="shared" si="27"/>
        <v>90508320</v>
      </c>
      <c r="W234" s="119">
        <f t="shared" si="28"/>
        <v>0</v>
      </c>
      <c r="X234" s="121">
        <f t="shared" si="29"/>
        <v>0</v>
      </c>
      <c r="Y234" s="122" t="s">
        <v>2416</v>
      </c>
      <c r="Z234" s="123" t="s">
        <v>2407</v>
      </c>
      <c r="AA234" s="123" t="s">
        <v>2406</v>
      </c>
      <c r="AB234" s="123" t="s">
        <v>2372</v>
      </c>
      <c r="AC234" s="124" t="s">
        <v>12</v>
      </c>
      <c r="AD234" s="110">
        <f>COUNTIF('KK1. Movies'!AI:AI,'TK 15661.Bản quyền phim '!F234)</f>
        <v>1</v>
      </c>
      <c r="AE234" s="110">
        <f>COUNTIF('KK2. Series'!AM:AM,'TK 15661.Bản quyền phim '!F234)</f>
        <v>0</v>
      </c>
      <c r="AF234" s="110">
        <f>COUNTIF('KK3. Kids'!AF:AF,'TK 15661.Bản quyền phim '!F234)</f>
        <v>0</v>
      </c>
      <c r="AG234" s="110"/>
      <c r="AH234" s="110" t="str">
        <f t="shared" si="30"/>
        <v>OK</v>
      </c>
    </row>
    <row r="235" spans="1:34" ht="15.6" hidden="1" x14ac:dyDescent="0.3">
      <c r="A235" s="43"/>
      <c r="B235" s="108" t="s">
        <v>2796</v>
      </c>
      <c r="C235" s="94" t="s">
        <v>2412</v>
      </c>
      <c r="D235" s="94" t="s">
        <v>2419</v>
      </c>
      <c r="E235" s="94" t="s">
        <v>2418</v>
      </c>
      <c r="F235" s="94" t="s">
        <v>2795</v>
      </c>
      <c r="G235" s="94" t="s">
        <v>2417</v>
      </c>
      <c r="H235" s="119">
        <v>1</v>
      </c>
      <c r="I235" s="119">
        <v>2</v>
      </c>
      <c r="J235" s="119">
        <f t="shared" si="24"/>
        <v>2</v>
      </c>
      <c r="K235" s="119">
        <v>75791520</v>
      </c>
      <c r="L235" s="119">
        <v>37895760</v>
      </c>
      <c r="M235" s="119">
        <f t="shared" si="25"/>
        <v>1</v>
      </c>
      <c r="N235" s="119">
        <f t="shared" si="26"/>
        <v>37895760</v>
      </c>
      <c r="O235" s="120">
        <v>45422</v>
      </c>
      <c r="P235" s="120">
        <v>46151</v>
      </c>
      <c r="Q235" s="119">
        <v>1</v>
      </c>
      <c r="R235" s="121">
        <v>37895760</v>
      </c>
      <c r="S235" s="119">
        <v>0</v>
      </c>
      <c r="T235" s="121">
        <v>0</v>
      </c>
      <c r="U235" s="119">
        <v>1</v>
      </c>
      <c r="V235" s="121">
        <f t="shared" si="27"/>
        <v>37895760</v>
      </c>
      <c r="W235" s="119">
        <f t="shared" si="28"/>
        <v>0</v>
      </c>
      <c r="X235" s="121">
        <f t="shared" si="29"/>
        <v>0</v>
      </c>
      <c r="Y235" s="122" t="s">
        <v>2416</v>
      </c>
      <c r="Z235" s="123" t="s">
        <v>2407</v>
      </c>
      <c r="AA235" s="123" t="s">
        <v>2406</v>
      </c>
      <c r="AB235" s="123" t="s">
        <v>2372</v>
      </c>
      <c r="AC235" s="124" t="s">
        <v>12</v>
      </c>
      <c r="AD235" s="110">
        <f>COUNTIF('KK1. Movies'!AI:AI,'TK 15661.Bản quyền phim '!F235)</f>
        <v>1</v>
      </c>
      <c r="AE235" s="110">
        <f>COUNTIF('KK2. Series'!AM:AM,'TK 15661.Bản quyền phim '!F235)</f>
        <v>0</v>
      </c>
      <c r="AF235" s="110">
        <f>COUNTIF('KK3. Kids'!AF:AF,'TK 15661.Bản quyền phim '!F235)</f>
        <v>0</v>
      </c>
      <c r="AG235" s="110"/>
      <c r="AH235" s="110" t="str">
        <f t="shared" si="30"/>
        <v>OK</v>
      </c>
    </row>
    <row r="236" spans="1:34" ht="15.6" hidden="1" x14ac:dyDescent="0.3">
      <c r="A236" s="43"/>
      <c r="B236" s="108" t="s">
        <v>2794</v>
      </c>
      <c r="C236" s="94" t="s">
        <v>2412</v>
      </c>
      <c r="D236" s="94" t="s">
        <v>2419</v>
      </c>
      <c r="E236" s="94" t="s">
        <v>2418</v>
      </c>
      <c r="F236" s="94" t="s">
        <v>1838</v>
      </c>
      <c r="G236" s="94" t="s">
        <v>2417</v>
      </c>
      <c r="H236" s="119">
        <v>1</v>
      </c>
      <c r="I236" s="119">
        <v>2</v>
      </c>
      <c r="J236" s="119">
        <f t="shared" si="24"/>
        <v>2</v>
      </c>
      <c r="K236" s="119">
        <v>181016640</v>
      </c>
      <c r="L236" s="119">
        <v>90508320</v>
      </c>
      <c r="M236" s="119">
        <f t="shared" si="25"/>
        <v>1</v>
      </c>
      <c r="N236" s="119">
        <f t="shared" si="26"/>
        <v>90508320</v>
      </c>
      <c r="O236" s="120">
        <v>45629</v>
      </c>
      <c r="P236" s="120">
        <v>46358</v>
      </c>
      <c r="Q236" s="119">
        <v>1</v>
      </c>
      <c r="R236" s="121">
        <v>90508320</v>
      </c>
      <c r="S236" s="119">
        <v>0</v>
      </c>
      <c r="T236" s="121">
        <v>0</v>
      </c>
      <c r="U236" s="119">
        <v>1</v>
      </c>
      <c r="V236" s="121">
        <f t="shared" si="27"/>
        <v>90508320</v>
      </c>
      <c r="W236" s="119">
        <f t="shared" si="28"/>
        <v>0</v>
      </c>
      <c r="X236" s="121">
        <f t="shared" si="29"/>
        <v>0</v>
      </c>
      <c r="Y236" s="122" t="s">
        <v>2416</v>
      </c>
      <c r="Z236" s="123" t="s">
        <v>2407</v>
      </c>
      <c r="AA236" s="123" t="s">
        <v>2406</v>
      </c>
      <c r="AB236" s="123" t="s">
        <v>2372</v>
      </c>
      <c r="AC236" s="124" t="s">
        <v>12</v>
      </c>
      <c r="AD236" s="110">
        <f>COUNTIF('KK1. Movies'!AI:AI,'TK 15661.Bản quyền phim '!F236)</f>
        <v>1</v>
      </c>
      <c r="AE236" s="110">
        <f>COUNTIF('KK2. Series'!AM:AM,'TK 15661.Bản quyền phim '!F236)</f>
        <v>0</v>
      </c>
      <c r="AF236" s="110">
        <f>COUNTIF('KK3. Kids'!AF:AF,'TK 15661.Bản quyền phim '!F236)</f>
        <v>0</v>
      </c>
      <c r="AG236" s="110"/>
      <c r="AH236" s="110" t="str">
        <f t="shared" si="30"/>
        <v>OK</v>
      </c>
    </row>
    <row r="237" spans="1:34" ht="15.6" hidden="1" x14ac:dyDescent="0.3">
      <c r="A237" s="43"/>
      <c r="B237" s="108" t="s">
        <v>2793</v>
      </c>
      <c r="C237" s="94" t="s">
        <v>2412</v>
      </c>
      <c r="D237" s="94" t="s">
        <v>2419</v>
      </c>
      <c r="E237" s="94" t="s">
        <v>2418</v>
      </c>
      <c r="F237" s="94" t="s">
        <v>2150</v>
      </c>
      <c r="G237" s="94" t="s">
        <v>2417</v>
      </c>
      <c r="H237" s="119">
        <v>1</v>
      </c>
      <c r="I237" s="119">
        <v>2</v>
      </c>
      <c r="J237" s="119">
        <f t="shared" si="24"/>
        <v>2</v>
      </c>
      <c r="K237" s="119">
        <v>97130880</v>
      </c>
      <c r="L237" s="119">
        <v>48565440</v>
      </c>
      <c r="M237" s="119">
        <f t="shared" si="25"/>
        <v>1</v>
      </c>
      <c r="N237" s="119">
        <f t="shared" si="26"/>
        <v>48565440</v>
      </c>
      <c r="O237" s="120">
        <v>45359</v>
      </c>
      <c r="P237" s="120">
        <v>46088</v>
      </c>
      <c r="Q237" s="119">
        <v>1</v>
      </c>
      <c r="R237" s="121">
        <v>48565440</v>
      </c>
      <c r="S237" s="119">
        <v>0</v>
      </c>
      <c r="T237" s="121">
        <v>0</v>
      </c>
      <c r="U237" s="119">
        <v>1</v>
      </c>
      <c r="V237" s="121">
        <f t="shared" si="27"/>
        <v>48565440</v>
      </c>
      <c r="W237" s="119">
        <f t="shared" si="28"/>
        <v>0</v>
      </c>
      <c r="X237" s="121">
        <f t="shared" si="29"/>
        <v>0</v>
      </c>
      <c r="Y237" s="122" t="s">
        <v>2416</v>
      </c>
      <c r="Z237" s="123" t="s">
        <v>2407</v>
      </c>
      <c r="AA237" s="123" t="s">
        <v>2406</v>
      </c>
      <c r="AB237" s="123" t="s">
        <v>2372</v>
      </c>
      <c r="AC237" s="124" t="s">
        <v>12</v>
      </c>
      <c r="AD237" s="110">
        <f>COUNTIF('KK1. Movies'!AI:AI,'TK 15661.Bản quyền phim '!F237)</f>
        <v>1</v>
      </c>
      <c r="AE237" s="110">
        <f>COUNTIF('KK2. Series'!AM:AM,'TK 15661.Bản quyền phim '!F237)</f>
        <v>0</v>
      </c>
      <c r="AF237" s="110">
        <f>COUNTIF('KK3. Kids'!AF:AF,'TK 15661.Bản quyền phim '!F237)</f>
        <v>0</v>
      </c>
      <c r="AG237" s="110"/>
      <c r="AH237" s="110" t="str">
        <f t="shared" si="30"/>
        <v>OK</v>
      </c>
    </row>
    <row r="238" spans="1:34" ht="15.6" hidden="1" x14ac:dyDescent="0.3">
      <c r="A238" s="43"/>
      <c r="B238" s="108" t="s">
        <v>2792</v>
      </c>
      <c r="C238" s="94" t="s">
        <v>2412</v>
      </c>
      <c r="D238" s="94" t="s">
        <v>2419</v>
      </c>
      <c r="E238" s="94" t="s">
        <v>2418</v>
      </c>
      <c r="F238" s="94" t="s">
        <v>1522</v>
      </c>
      <c r="G238" s="94" t="s">
        <v>2417</v>
      </c>
      <c r="H238" s="119">
        <v>1</v>
      </c>
      <c r="I238" s="119">
        <v>2</v>
      </c>
      <c r="J238" s="119">
        <f t="shared" si="24"/>
        <v>2</v>
      </c>
      <c r="K238" s="119">
        <v>75791520</v>
      </c>
      <c r="L238" s="119">
        <v>37895760</v>
      </c>
      <c r="M238" s="119">
        <f t="shared" si="25"/>
        <v>1</v>
      </c>
      <c r="N238" s="119">
        <f t="shared" si="26"/>
        <v>37895760</v>
      </c>
      <c r="O238" s="120">
        <v>45360</v>
      </c>
      <c r="P238" s="120">
        <v>46089</v>
      </c>
      <c r="Q238" s="119">
        <v>1</v>
      </c>
      <c r="R238" s="121">
        <v>37895760</v>
      </c>
      <c r="S238" s="119">
        <v>0</v>
      </c>
      <c r="T238" s="121">
        <v>0</v>
      </c>
      <c r="U238" s="119">
        <v>1</v>
      </c>
      <c r="V238" s="121">
        <f t="shared" si="27"/>
        <v>37895760</v>
      </c>
      <c r="W238" s="119">
        <f t="shared" si="28"/>
        <v>0</v>
      </c>
      <c r="X238" s="121">
        <f t="shared" si="29"/>
        <v>0</v>
      </c>
      <c r="Y238" s="122" t="s">
        <v>2416</v>
      </c>
      <c r="Z238" s="123" t="s">
        <v>2407</v>
      </c>
      <c r="AA238" s="123" t="s">
        <v>2406</v>
      </c>
      <c r="AB238" s="123" t="s">
        <v>2372</v>
      </c>
      <c r="AC238" s="124" t="s">
        <v>12</v>
      </c>
      <c r="AD238" s="110">
        <f>COUNTIF('KK1. Movies'!AI:AI,'TK 15661.Bản quyền phim '!F238)</f>
        <v>1</v>
      </c>
      <c r="AE238" s="110">
        <f>COUNTIF('KK2. Series'!AM:AM,'TK 15661.Bản quyền phim '!F238)</f>
        <v>0</v>
      </c>
      <c r="AF238" s="110">
        <f>COUNTIF('KK3. Kids'!AF:AF,'TK 15661.Bản quyền phim '!F238)</f>
        <v>0</v>
      </c>
      <c r="AG238" s="110"/>
      <c r="AH238" s="110" t="str">
        <f t="shared" si="30"/>
        <v>OK</v>
      </c>
    </row>
    <row r="239" spans="1:34" ht="15.6" hidden="1" x14ac:dyDescent="0.3">
      <c r="A239" s="43"/>
      <c r="B239" s="108" t="s">
        <v>2791</v>
      </c>
      <c r="C239" s="94" t="s">
        <v>2412</v>
      </c>
      <c r="D239" s="94" t="s">
        <v>2419</v>
      </c>
      <c r="E239" s="94" t="s">
        <v>2418</v>
      </c>
      <c r="F239" s="94" t="s">
        <v>2065</v>
      </c>
      <c r="G239" s="94" t="s">
        <v>2417</v>
      </c>
      <c r="H239" s="119">
        <v>1</v>
      </c>
      <c r="I239" s="119">
        <v>2</v>
      </c>
      <c r="J239" s="119">
        <f t="shared" si="24"/>
        <v>2</v>
      </c>
      <c r="K239" s="119">
        <v>181016640</v>
      </c>
      <c r="L239" s="119">
        <v>90508320</v>
      </c>
      <c r="M239" s="119">
        <f t="shared" si="25"/>
        <v>1</v>
      </c>
      <c r="N239" s="119">
        <f t="shared" si="26"/>
        <v>90508320</v>
      </c>
      <c r="O239" s="120">
        <v>45449</v>
      </c>
      <c r="P239" s="120">
        <v>46178</v>
      </c>
      <c r="Q239" s="119">
        <v>1</v>
      </c>
      <c r="R239" s="121">
        <v>90508320</v>
      </c>
      <c r="S239" s="119">
        <v>0</v>
      </c>
      <c r="T239" s="121">
        <v>0</v>
      </c>
      <c r="U239" s="119">
        <v>1</v>
      </c>
      <c r="V239" s="121">
        <f t="shared" si="27"/>
        <v>90508320</v>
      </c>
      <c r="W239" s="119">
        <f t="shared" si="28"/>
        <v>0</v>
      </c>
      <c r="X239" s="121">
        <f t="shared" si="29"/>
        <v>0</v>
      </c>
      <c r="Y239" s="122" t="s">
        <v>2416</v>
      </c>
      <c r="Z239" s="123" t="s">
        <v>2407</v>
      </c>
      <c r="AA239" s="123" t="s">
        <v>2406</v>
      </c>
      <c r="AB239" s="123" t="s">
        <v>2372</v>
      </c>
      <c r="AC239" s="124" t="s">
        <v>12</v>
      </c>
      <c r="AD239" s="110">
        <f>COUNTIF('KK1. Movies'!AI:AI,'TK 15661.Bản quyền phim '!F239)</f>
        <v>1</v>
      </c>
      <c r="AE239" s="110">
        <f>COUNTIF('KK2. Series'!AM:AM,'TK 15661.Bản quyền phim '!F239)</f>
        <v>0</v>
      </c>
      <c r="AF239" s="110">
        <f>COUNTIF('KK3. Kids'!AF:AF,'TK 15661.Bản quyền phim '!F239)</f>
        <v>0</v>
      </c>
      <c r="AG239" s="110"/>
      <c r="AH239" s="110" t="str">
        <f t="shared" si="30"/>
        <v>OK</v>
      </c>
    </row>
    <row r="240" spans="1:34" ht="15.6" hidden="1" x14ac:dyDescent="0.3">
      <c r="A240" s="43"/>
      <c r="B240" s="108" t="s">
        <v>2790</v>
      </c>
      <c r="C240" s="94" t="s">
        <v>2412</v>
      </c>
      <c r="D240" s="94" t="s">
        <v>2419</v>
      </c>
      <c r="E240" s="94" t="s">
        <v>2418</v>
      </c>
      <c r="F240" s="94" t="s">
        <v>1810</v>
      </c>
      <c r="G240" s="94" t="s">
        <v>2417</v>
      </c>
      <c r="H240" s="119">
        <v>1</v>
      </c>
      <c r="I240" s="119">
        <v>2</v>
      </c>
      <c r="J240" s="119">
        <f t="shared" si="24"/>
        <v>2</v>
      </c>
      <c r="K240" s="119">
        <v>94923360</v>
      </c>
      <c r="L240" s="119">
        <v>47461680</v>
      </c>
      <c r="M240" s="119">
        <f t="shared" si="25"/>
        <v>1</v>
      </c>
      <c r="N240" s="119">
        <f t="shared" si="26"/>
        <v>47461680</v>
      </c>
      <c r="O240" s="120">
        <v>45388</v>
      </c>
      <c r="P240" s="120">
        <v>46117</v>
      </c>
      <c r="Q240" s="119">
        <v>1</v>
      </c>
      <c r="R240" s="121">
        <v>47461680</v>
      </c>
      <c r="S240" s="119">
        <v>0</v>
      </c>
      <c r="T240" s="121">
        <v>0</v>
      </c>
      <c r="U240" s="119">
        <v>1</v>
      </c>
      <c r="V240" s="121">
        <f t="shared" si="27"/>
        <v>47461680</v>
      </c>
      <c r="W240" s="119">
        <f t="shared" si="28"/>
        <v>0</v>
      </c>
      <c r="X240" s="121">
        <f t="shared" si="29"/>
        <v>0</v>
      </c>
      <c r="Y240" s="122" t="s">
        <v>2416</v>
      </c>
      <c r="Z240" s="123" t="s">
        <v>2407</v>
      </c>
      <c r="AA240" s="123" t="s">
        <v>2406</v>
      </c>
      <c r="AB240" s="123" t="s">
        <v>2372</v>
      </c>
      <c r="AC240" s="124" t="s">
        <v>12</v>
      </c>
      <c r="AD240" s="110">
        <f>COUNTIF('KK1. Movies'!AI:AI,'TK 15661.Bản quyền phim '!F240)</f>
        <v>1</v>
      </c>
      <c r="AE240" s="110">
        <f>COUNTIF('KK2. Series'!AM:AM,'TK 15661.Bản quyền phim '!F240)</f>
        <v>0</v>
      </c>
      <c r="AF240" s="110">
        <f>COUNTIF('KK3. Kids'!AF:AF,'TK 15661.Bản quyền phim '!F240)</f>
        <v>0</v>
      </c>
      <c r="AG240" s="110"/>
      <c r="AH240" s="110" t="str">
        <f t="shared" si="30"/>
        <v>OK</v>
      </c>
    </row>
    <row r="241" spans="1:34" ht="15.6" hidden="1" x14ac:dyDescent="0.3">
      <c r="A241" s="43"/>
      <c r="B241" s="108" t="s">
        <v>2789</v>
      </c>
      <c r="C241" s="94" t="s">
        <v>2412</v>
      </c>
      <c r="D241" s="94" t="s">
        <v>2419</v>
      </c>
      <c r="E241" s="94" t="s">
        <v>2418</v>
      </c>
      <c r="F241" s="94" t="s">
        <v>1744</v>
      </c>
      <c r="G241" s="94" t="s">
        <v>2417</v>
      </c>
      <c r="H241" s="119">
        <v>1</v>
      </c>
      <c r="I241" s="119">
        <v>2</v>
      </c>
      <c r="J241" s="119">
        <f t="shared" si="24"/>
        <v>2</v>
      </c>
      <c r="K241" s="119">
        <v>94923360</v>
      </c>
      <c r="L241" s="119">
        <v>47461680</v>
      </c>
      <c r="M241" s="119">
        <f t="shared" si="25"/>
        <v>1</v>
      </c>
      <c r="N241" s="119">
        <f t="shared" si="26"/>
        <v>47461680</v>
      </c>
      <c r="O241" s="120">
        <v>45651</v>
      </c>
      <c r="P241" s="120">
        <v>46380</v>
      </c>
      <c r="Q241" s="119">
        <v>1</v>
      </c>
      <c r="R241" s="121">
        <v>47461680</v>
      </c>
      <c r="S241" s="119">
        <v>0</v>
      </c>
      <c r="T241" s="121">
        <v>0</v>
      </c>
      <c r="U241" s="119">
        <v>1</v>
      </c>
      <c r="V241" s="121">
        <f t="shared" si="27"/>
        <v>47461680</v>
      </c>
      <c r="W241" s="119">
        <f t="shared" si="28"/>
        <v>0</v>
      </c>
      <c r="X241" s="121">
        <f t="shared" si="29"/>
        <v>0</v>
      </c>
      <c r="Y241" s="122" t="s">
        <v>2416</v>
      </c>
      <c r="Z241" s="123" t="s">
        <v>2407</v>
      </c>
      <c r="AA241" s="123" t="s">
        <v>2406</v>
      </c>
      <c r="AB241" s="123" t="s">
        <v>2372</v>
      </c>
      <c r="AC241" s="124" t="s">
        <v>12</v>
      </c>
      <c r="AD241" s="110">
        <f>COUNTIF('KK1. Movies'!AI:AI,'TK 15661.Bản quyền phim '!F241)</f>
        <v>1</v>
      </c>
      <c r="AE241" s="110">
        <f>COUNTIF('KK2. Series'!AM:AM,'TK 15661.Bản quyền phim '!F241)</f>
        <v>0</v>
      </c>
      <c r="AF241" s="110">
        <f>COUNTIF('KK3. Kids'!AF:AF,'TK 15661.Bản quyền phim '!F241)</f>
        <v>0</v>
      </c>
      <c r="AG241" s="110"/>
      <c r="AH241" s="110" t="str">
        <f t="shared" si="30"/>
        <v>OK</v>
      </c>
    </row>
    <row r="242" spans="1:34" ht="15.6" hidden="1" x14ac:dyDescent="0.3">
      <c r="A242" s="43"/>
      <c r="B242" s="108" t="s">
        <v>2788</v>
      </c>
      <c r="C242" s="94" t="s">
        <v>2412</v>
      </c>
      <c r="D242" s="94" t="s">
        <v>2419</v>
      </c>
      <c r="E242" s="94" t="s">
        <v>2418</v>
      </c>
      <c r="F242" s="94" t="s">
        <v>1987</v>
      </c>
      <c r="G242" s="94" t="s">
        <v>2417</v>
      </c>
      <c r="H242" s="119">
        <v>1</v>
      </c>
      <c r="I242" s="119">
        <v>2</v>
      </c>
      <c r="J242" s="119">
        <f t="shared" si="24"/>
        <v>2</v>
      </c>
      <c r="K242" s="119">
        <v>109640160</v>
      </c>
      <c r="L242" s="119">
        <v>54820080</v>
      </c>
      <c r="M242" s="119">
        <f t="shared" si="25"/>
        <v>1</v>
      </c>
      <c r="N242" s="119">
        <f t="shared" si="26"/>
        <v>54820080</v>
      </c>
      <c r="O242" s="120">
        <v>45443</v>
      </c>
      <c r="P242" s="120">
        <v>46172</v>
      </c>
      <c r="Q242" s="119">
        <v>1</v>
      </c>
      <c r="R242" s="121">
        <v>54820080</v>
      </c>
      <c r="S242" s="119">
        <v>0</v>
      </c>
      <c r="T242" s="121">
        <v>0</v>
      </c>
      <c r="U242" s="119">
        <v>1</v>
      </c>
      <c r="V242" s="121">
        <f t="shared" si="27"/>
        <v>54820080</v>
      </c>
      <c r="W242" s="119">
        <f t="shared" si="28"/>
        <v>0</v>
      </c>
      <c r="X242" s="121">
        <f t="shared" si="29"/>
        <v>0</v>
      </c>
      <c r="Y242" s="122" t="s">
        <v>2416</v>
      </c>
      <c r="Z242" s="123" t="s">
        <v>2407</v>
      </c>
      <c r="AA242" s="123" t="s">
        <v>2406</v>
      </c>
      <c r="AB242" s="123" t="s">
        <v>2372</v>
      </c>
      <c r="AC242" s="124" t="s">
        <v>12</v>
      </c>
      <c r="AD242" s="110">
        <f>COUNTIF('KK1. Movies'!AI:AI,'TK 15661.Bản quyền phim '!F242)</f>
        <v>1</v>
      </c>
      <c r="AE242" s="110">
        <f>COUNTIF('KK2. Series'!AM:AM,'TK 15661.Bản quyền phim '!F242)</f>
        <v>0</v>
      </c>
      <c r="AF242" s="110">
        <f>COUNTIF('KK3. Kids'!AF:AF,'TK 15661.Bản quyền phim '!F242)</f>
        <v>0</v>
      </c>
      <c r="AG242" s="110"/>
      <c r="AH242" s="110" t="str">
        <f t="shared" si="30"/>
        <v>OK</v>
      </c>
    </row>
    <row r="243" spans="1:34" ht="15.6" hidden="1" x14ac:dyDescent="0.3">
      <c r="A243" s="43"/>
      <c r="B243" s="108" t="s">
        <v>2787</v>
      </c>
      <c r="C243" s="94" t="s">
        <v>2412</v>
      </c>
      <c r="D243" s="94" t="s">
        <v>2419</v>
      </c>
      <c r="E243" s="94" t="s">
        <v>2418</v>
      </c>
      <c r="F243" s="94" t="s">
        <v>2017</v>
      </c>
      <c r="G243" s="94" t="s">
        <v>2417</v>
      </c>
      <c r="H243" s="119">
        <v>1</v>
      </c>
      <c r="I243" s="119">
        <v>2</v>
      </c>
      <c r="J243" s="119">
        <f t="shared" si="24"/>
        <v>2</v>
      </c>
      <c r="K243" s="119">
        <v>94923360</v>
      </c>
      <c r="L243" s="119">
        <v>47461680</v>
      </c>
      <c r="M243" s="119">
        <f t="shared" si="25"/>
        <v>1</v>
      </c>
      <c r="N243" s="119">
        <f t="shared" si="26"/>
        <v>47461680</v>
      </c>
      <c r="O243" s="120">
        <v>45441</v>
      </c>
      <c r="P243" s="120">
        <v>46170</v>
      </c>
      <c r="Q243" s="119">
        <v>1</v>
      </c>
      <c r="R243" s="121">
        <v>47461680</v>
      </c>
      <c r="S243" s="119">
        <v>0</v>
      </c>
      <c r="T243" s="121">
        <v>0</v>
      </c>
      <c r="U243" s="119">
        <v>1</v>
      </c>
      <c r="V243" s="121">
        <f t="shared" si="27"/>
        <v>47461680</v>
      </c>
      <c r="W243" s="119">
        <f t="shared" si="28"/>
        <v>0</v>
      </c>
      <c r="X243" s="121">
        <f t="shared" si="29"/>
        <v>0</v>
      </c>
      <c r="Y243" s="122" t="s">
        <v>2416</v>
      </c>
      <c r="Z243" s="123" t="s">
        <v>2407</v>
      </c>
      <c r="AA243" s="123" t="s">
        <v>2406</v>
      </c>
      <c r="AB243" s="123" t="s">
        <v>2372</v>
      </c>
      <c r="AC243" s="124" t="s">
        <v>12</v>
      </c>
      <c r="AD243" s="110">
        <f>COUNTIF('KK1. Movies'!AI:AI,'TK 15661.Bản quyền phim '!F243)</f>
        <v>1</v>
      </c>
      <c r="AE243" s="110">
        <f>COUNTIF('KK2. Series'!AM:AM,'TK 15661.Bản quyền phim '!F243)</f>
        <v>0</v>
      </c>
      <c r="AF243" s="110">
        <f>COUNTIF('KK3. Kids'!AF:AF,'TK 15661.Bản quyền phim '!F243)</f>
        <v>0</v>
      </c>
      <c r="AG243" s="110"/>
      <c r="AH243" s="110" t="str">
        <f t="shared" si="30"/>
        <v>OK</v>
      </c>
    </row>
    <row r="244" spans="1:34" ht="15.6" hidden="1" x14ac:dyDescent="0.3">
      <c r="A244" s="43"/>
      <c r="B244" s="108" t="s">
        <v>2786</v>
      </c>
      <c r="C244" s="94" t="s">
        <v>2412</v>
      </c>
      <c r="D244" s="94" t="s">
        <v>2419</v>
      </c>
      <c r="E244" s="94" t="s">
        <v>2418</v>
      </c>
      <c r="F244" s="94" t="s">
        <v>1790</v>
      </c>
      <c r="G244" s="94" t="s">
        <v>2417</v>
      </c>
      <c r="H244" s="119">
        <v>1</v>
      </c>
      <c r="I244" s="119">
        <v>2</v>
      </c>
      <c r="J244" s="119">
        <f t="shared" si="24"/>
        <v>2</v>
      </c>
      <c r="K244" s="119">
        <v>94923360</v>
      </c>
      <c r="L244" s="119">
        <v>47461680</v>
      </c>
      <c r="M244" s="119">
        <f t="shared" si="25"/>
        <v>1</v>
      </c>
      <c r="N244" s="119">
        <f t="shared" si="26"/>
        <v>47461680</v>
      </c>
      <c r="O244" s="120">
        <v>45533</v>
      </c>
      <c r="P244" s="120">
        <v>46262</v>
      </c>
      <c r="Q244" s="119">
        <v>1</v>
      </c>
      <c r="R244" s="121">
        <v>47461680</v>
      </c>
      <c r="S244" s="119">
        <v>0</v>
      </c>
      <c r="T244" s="121">
        <v>0</v>
      </c>
      <c r="U244" s="119">
        <v>1</v>
      </c>
      <c r="V244" s="121">
        <f t="shared" si="27"/>
        <v>47461680</v>
      </c>
      <c r="W244" s="119">
        <f t="shared" si="28"/>
        <v>0</v>
      </c>
      <c r="X244" s="121">
        <f t="shared" si="29"/>
        <v>0</v>
      </c>
      <c r="Y244" s="122" t="s">
        <v>2416</v>
      </c>
      <c r="Z244" s="123" t="s">
        <v>2407</v>
      </c>
      <c r="AA244" s="123" t="s">
        <v>2406</v>
      </c>
      <c r="AB244" s="123" t="s">
        <v>2372</v>
      </c>
      <c r="AC244" s="124" t="s">
        <v>12</v>
      </c>
      <c r="AD244" s="110">
        <f>COUNTIF('KK1. Movies'!AI:AI,'TK 15661.Bản quyền phim '!F244)</f>
        <v>1</v>
      </c>
      <c r="AE244" s="110">
        <f>COUNTIF('KK2. Series'!AM:AM,'TK 15661.Bản quyền phim '!F244)</f>
        <v>0</v>
      </c>
      <c r="AF244" s="110">
        <f>COUNTIF('KK3. Kids'!AF:AF,'TK 15661.Bản quyền phim '!F244)</f>
        <v>0</v>
      </c>
      <c r="AG244" s="110"/>
      <c r="AH244" s="110" t="str">
        <f t="shared" si="30"/>
        <v>OK</v>
      </c>
    </row>
    <row r="245" spans="1:34" ht="15.6" hidden="1" x14ac:dyDescent="0.3">
      <c r="A245" s="43"/>
      <c r="B245" s="108" t="s">
        <v>2785</v>
      </c>
      <c r="C245" s="94" t="s">
        <v>2412</v>
      </c>
      <c r="D245" s="94" t="s">
        <v>2419</v>
      </c>
      <c r="E245" s="94" t="s">
        <v>2418</v>
      </c>
      <c r="F245" s="94" t="s">
        <v>2276</v>
      </c>
      <c r="G245" s="94" t="s">
        <v>2417</v>
      </c>
      <c r="H245" s="119">
        <v>1</v>
      </c>
      <c r="I245" s="119">
        <v>2</v>
      </c>
      <c r="J245" s="119">
        <f t="shared" si="24"/>
        <v>2</v>
      </c>
      <c r="K245" s="119">
        <v>94923360</v>
      </c>
      <c r="L245" s="119">
        <v>47461680</v>
      </c>
      <c r="M245" s="119">
        <f t="shared" si="25"/>
        <v>1</v>
      </c>
      <c r="N245" s="119">
        <f t="shared" si="26"/>
        <v>47461680</v>
      </c>
      <c r="O245" s="120">
        <v>45519</v>
      </c>
      <c r="P245" s="120">
        <v>46248</v>
      </c>
      <c r="Q245" s="119">
        <v>1</v>
      </c>
      <c r="R245" s="121">
        <v>47461680</v>
      </c>
      <c r="S245" s="119">
        <v>0</v>
      </c>
      <c r="T245" s="121">
        <v>0</v>
      </c>
      <c r="U245" s="119">
        <v>1</v>
      </c>
      <c r="V245" s="121">
        <f t="shared" si="27"/>
        <v>47461680</v>
      </c>
      <c r="W245" s="119">
        <f t="shared" si="28"/>
        <v>0</v>
      </c>
      <c r="X245" s="121">
        <f t="shared" si="29"/>
        <v>0</v>
      </c>
      <c r="Y245" s="122" t="s">
        <v>2416</v>
      </c>
      <c r="Z245" s="123" t="s">
        <v>2407</v>
      </c>
      <c r="AA245" s="123" t="s">
        <v>2406</v>
      </c>
      <c r="AB245" s="123" t="s">
        <v>2372</v>
      </c>
      <c r="AC245" s="124" t="s">
        <v>12</v>
      </c>
      <c r="AD245" s="110">
        <f>COUNTIF('KK1. Movies'!AI:AI,'TK 15661.Bản quyền phim '!F245)</f>
        <v>1</v>
      </c>
      <c r="AE245" s="110">
        <f>COUNTIF('KK2. Series'!AM:AM,'TK 15661.Bản quyền phim '!F245)</f>
        <v>0</v>
      </c>
      <c r="AF245" s="110">
        <f>COUNTIF('KK3. Kids'!AF:AF,'TK 15661.Bản quyền phim '!F245)</f>
        <v>0</v>
      </c>
      <c r="AG245" s="110"/>
      <c r="AH245" s="110" t="str">
        <f t="shared" si="30"/>
        <v>OK</v>
      </c>
    </row>
    <row r="246" spans="1:34" ht="15.6" hidden="1" x14ac:dyDescent="0.3">
      <c r="A246" s="43"/>
      <c r="B246" s="108" t="s">
        <v>2784</v>
      </c>
      <c r="C246" s="94" t="s">
        <v>2412</v>
      </c>
      <c r="D246" s="94" t="s">
        <v>2419</v>
      </c>
      <c r="E246" s="94" t="s">
        <v>2418</v>
      </c>
      <c r="F246" s="94" t="s">
        <v>2237</v>
      </c>
      <c r="G246" s="94" t="s">
        <v>2417</v>
      </c>
      <c r="H246" s="119">
        <v>1</v>
      </c>
      <c r="I246" s="119">
        <v>2</v>
      </c>
      <c r="J246" s="119">
        <f t="shared" si="24"/>
        <v>2</v>
      </c>
      <c r="K246" s="119">
        <v>94923360</v>
      </c>
      <c r="L246" s="119">
        <v>47461680</v>
      </c>
      <c r="M246" s="119">
        <f t="shared" si="25"/>
        <v>1</v>
      </c>
      <c r="N246" s="119">
        <f t="shared" si="26"/>
        <v>47461680</v>
      </c>
      <c r="O246" s="120">
        <v>45603</v>
      </c>
      <c r="P246" s="120">
        <v>46332</v>
      </c>
      <c r="Q246" s="119">
        <v>1</v>
      </c>
      <c r="R246" s="121">
        <v>47461680</v>
      </c>
      <c r="S246" s="119">
        <v>0</v>
      </c>
      <c r="T246" s="121">
        <v>0</v>
      </c>
      <c r="U246" s="119">
        <v>1</v>
      </c>
      <c r="V246" s="121">
        <f t="shared" si="27"/>
        <v>47461680</v>
      </c>
      <c r="W246" s="119">
        <f t="shared" si="28"/>
        <v>0</v>
      </c>
      <c r="X246" s="121">
        <f t="shared" si="29"/>
        <v>0</v>
      </c>
      <c r="Y246" s="122" t="s">
        <v>2416</v>
      </c>
      <c r="Z246" s="123" t="s">
        <v>2407</v>
      </c>
      <c r="AA246" s="123" t="s">
        <v>2406</v>
      </c>
      <c r="AB246" s="123" t="s">
        <v>2372</v>
      </c>
      <c r="AC246" s="124" t="s">
        <v>12</v>
      </c>
      <c r="AD246" s="110">
        <f>COUNTIF('KK1. Movies'!AI:AI,'TK 15661.Bản quyền phim '!F246)</f>
        <v>1</v>
      </c>
      <c r="AE246" s="110">
        <f>COUNTIF('KK2. Series'!AM:AM,'TK 15661.Bản quyền phim '!F246)</f>
        <v>0</v>
      </c>
      <c r="AF246" s="110">
        <f>COUNTIF('KK3. Kids'!AF:AF,'TK 15661.Bản quyền phim '!F246)</f>
        <v>0</v>
      </c>
      <c r="AG246" s="110"/>
      <c r="AH246" s="110" t="str">
        <f t="shared" si="30"/>
        <v>OK</v>
      </c>
    </row>
    <row r="247" spans="1:34" ht="15.6" hidden="1" x14ac:dyDescent="0.3">
      <c r="A247" s="43"/>
      <c r="B247" s="108" t="s">
        <v>2783</v>
      </c>
      <c r="C247" s="94" t="s">
        <v>2412</v>
      </c>
      <c r="D247" s="94" t="s">
        <v>2419</v>
      </c>
      <c r="E247" s="94" t="s">
        <v>2418</v>
      </c>
      <c r="F247" s="94" t="s">
        <v>2129</v>
      </c>
      <c r="G247" s="94" t="s">
        <v>2417</v>
      </c>
      <c r="H247" s="119">
        <v>1</v>
      </c>
      <c r="I247" s="119">
        <v>2</v>
      </c>
      <c r="J247" s="119">
        <f t="shared" si="24"/>
        <v>2</v>
      </c>
      <c r="K247" s="119">
        <v>94923360</v>
      </c>
      <c r="L247" s="119">
        <v>47461680</v>
      </c>
      <c r="M247" s="119">
        <f t="shared" si="25"/>
        <v>1</v>
      </c>
      <c r="N247" s="119">
        <f t="shared" si="26"/>
        <v>47461680</v>
      </c>
      <c r="O247" s="120">
        <v>45610</v>
      </c>
      <c r="P247" s="120">
        <v>46339</v>
      </c>
      <c r="Q247" s="119">
        <v>1</v>
      </c>
      <c r="R247" s="121">
        <v>47461680</v>
      </c>
      <c r="S247" s="119">
        <v>0</v>
      </c>
      <c r="T247" s="121">
        <v>0</v>
      </c>
      <c r="U247" s="119">
        <v>1</v>
      </c>
      <c r="V247" s="121">
        <f t="shared" si="27"/>
        <v>47461680</v>
      </c>
      <c r="W247" s="119">
        <f t="shared" si="28"/>
        <v>0</v>
      </c>
      <c r="X247" s="121">
        <f t="shared" si="29"/>
        <v>0</v>
      </c>
      <c r="Y247" s="122" t="s">
        <v>2416</v>
      </c>
      <c r="Z247" s="123" t="s">
        <v>2407</v>
      </c>
      <c r="AA247" s="123" t="s">
        <v>2406</v>
      </c>
      <c r="AB247" s="123" t="s">
        <v>2372</v>
      </c>
      <c r="AC247" s="124" t="s">
        <v>12</v>
      </c>
      <c r="AD247" s="110">
        <f>COUNTIF('KK1. Movies'!AI:AI,'TK 15661.Bản quyền phim '!F247)</f>
        <v>1</v>
      </c>
      <c r="AE247" s="110">
        <f>COUNTIF('KK2. Series'!AM:AM,'TK 15661.Bản quyền phim '!F247)</f>
        <v>0</v>
      </c>
      <c r="AF247" s="110">
        <f>COUNTIF('KK3. Kids'!AF:AF,'TK 15661.Bản quyền phim '!F247)</f>
        <v>0</v>
      </c>
      <c r="AG247" s="110"/>
      <c r="AH247" s="110" t="str">
        <f t="shared" si="30"/>
        <v>OK</v>
      </c>
    </row>
    <row r="248" spans="1:34" ht="15.6" hidden="1" x14ac:dyDescent="0.3">
      <c r="A248" s="43"/>
      <c r="B248" s="108" t="s">
        <v>2782</v>
      </c>
      <c r="C248" s="94" t="s">
        <v>2412</v>
      </c>
      <c r="D248" s="94" t="s">
        <v>2419</v>
      </c>
      <c r="E248" s="94" t="s">
        <v>2418</v>
      </c>
      <c r="F248" s="94" t="s">
        <v>1693</v>
      </c>
      <c r="G248" s="94" t="s">
        <v>2417</v>
      </c>
      <c r="H248" s="119">
        <v>1</v>
      </c>
      <c r="I248" s="119">
        <v>2</v>
      </c>
      <c r="J248" s="119">
        <f t="shared" si="24"/>
        <v>2</v>
      </c>
      <c r="K248" s="119">
        <v>94923360</v>
      </c>
      <c r="L248" s="119">
        <v>47461680</v>
      </c>
      <c r="M248" s="119">
        <f t="shared" si="25"/>
        <v>1</v>
      </c>
      <c r="N248" s="119">
        <f t="shared" si="26"/>
        <v>47461680</v>
      </c>
      <c r="O248" s="120">
        <v>45505</v>
      </c>
      <c r="P248" s="120">
        <v>46234</v>
      </c>
      <c r="Q248" s="119">
        <v>1</v>
      </c>
      <c r="R248" s="121">
        <v>47461680</v>
      </c>
      <c r="S248" s="119">
        <v>0</v>
      </c>
      <c r="T248" s="121">
        <v>0</v>
      </c>
      <c r="U248" s="119">
        <v>1</v>
      </c>
      <c r="V248" s="121">
        <f t="shared" si="27"/>
        <v>47461680</v>
      </c>
      <c r="W248" s="119">
        <f t="shared" si="28"/>
        <v>0</v>
      </c>
      <c r="X248" s="121">
        <f t="shared" si="29"/>
        <v>0</v>
      </c>
      <c r="Y248" s="122" t="s">
        <v>2416</v>
      </c>
      <c r="Z248" s="123" t="s">
        <v>2407</v>
      </c>
      <c r="AA248" s="123" t="s">
        <v>2406</v>
      </c>
      <c r="AB248" s="123" t="s">
        <v>2372</v>
      </c>
      <c r="AC248" s="124" t="s">
        <v>12</v>
      </c>
      <c r="AD248" s="110">
        <f>COUNTIF('KK1. Movies'!AI:AI,'TK 15661.Bản quyền phim '!F248)</f>
        <v>1</v>
      </c>
      <c r="AE248" s="110">
        <f>COUNTIF('KK2. Series'!AM:AM,'TK 15661.Bản quyền phim '!F248)</f>
        <v>0</v>
      </c>
      <c r="AF248" s="110">
        <f>COUNTIF('KK3. Kids'!AF:AF,'TK 15661.Bản quyền phim '!F248)</f>
        <v>0</v>
      </c>
      <c r="AG248" s="110"/>
      <c r="AH248" s="110" t="str">
        <f t="shared" si="30"/>
        <v>OK</v>
      </c>
    </row>
    <row r="249" spans="1:34" ht="15.6" hidden="1" x14ac:dyDescent="0.3">
      <c r="A249" s="43"/>
      <c r="B249" s="108" t="s">
        <v>2781</v>
      </c>
      <c r="C249" s="94" t="s">
        <v>2412</v>
      </c>
      <c r="D249" s="94" t="s">
        <v>2419</v>
      </c>
      <c r="E249" s="94" t="s">
        <v>2418</v>
      </c>
      <c r="F249" s="94" t="s">
        <v>2270</v>
      </c>
      <c r="G249" s="94" t="s">
        <v>2417</v>
      </c>
      <c r="H249" s="119">
        <v>1</v>
      </c>
      <c r="I249" s="119">
        <v>2</v>
      </c>
      <c r="J249" s="119">
        <f t="shared" si="24"/>
        <v>2</v>
      </c>
      <c r="K249" s="119">
        <v>94923360</v>
      </c>
      <c r="L249" s="119">
        <v>47461680</v>
      </c>
      <c r="M249" s="119">
        <f t="shared" si="25"/>
        <v>1</v>
      </c>
      <c r="N249" s="119">
        <f t="shared" si="26"/>
        <v>47461680</v>
      </c>
      <c r="O249" s="120">
        <v>45596</v>
      </c>
      <c r="P249" s="120">
        <v>46325</v>
      </c>
      <c r="Q249" s="119">
        <v>1</v>
      </c>
      <c r="R249" s="121">
        <v>47461680</v>
      </c>
      <c r="S249" s="119">
        <v>0</v>
      </c>
      <c r="T249" s="121">
        <v>0</v>
      </c>
      <c r="U249" s="119">
        <v>1</v>
      </c>
      <c r="V249" s="121">
        <f t="shared" si="27"/>
        <v>47461680</v>
      </c>
      <c r="W249" s="119">
        <f t="shared" si="28"/>
        <v>0</v>
      </c>
      <c r="X249" s="121">
        <f t="shared" si="29"/>
        <v>0</v>
      </c>
      <c r="Y249" s="122" t="s">
        <v>2416</v>
      </c>
      <c r="Z249" s="123" t="s">
        <v>2407</v>
      </c>
      <c r="AA249" s="123" t="s">
        <v>2406</v>
      </c>
      <c r="AB249" s="123" t="s">
        <v>2372</v>
      </c>
      <c r="AC249" s="124" t="s">
        <v>12</v>
      </c>
      <c r="AD249" s="110">
        <f>COUNTIF('KK1. Movies'!AI:AI,'TK 15661.Bản quyền phim '!F249)</f>
        <v>1</v>
      </c>
      <c r="AE249" s="110">
        <f>COUNTIF('KK2. Series'!AM:AM,'TK 15661.Bản quyền phim '!F249)</f>
        <v>0</v>
      </c>
      <c r="AF249" s="110">
        <f>COUNTIF('KK3. Kids'!AF:AF,'TK 15661.Bản quyền phim '!F249)</f>
        <v>0</v>
      </c>
      <c r="AG249" s="110"/>
      <c r="AH249" s="110" t="str">
        <f t="shared" si="30"/>
        <v>OK</v>
      </c>
    </row>
    <row r="250" spans="1:34" ht="15.6" hidden="1" x14ac:dyDescent="0.3">
      <c r="B250" s="108" t="s">
        <v>2780</v>
      </c>
      <c r="C250" s="94" t="s">
        <v>2412</v>
      </c>
      <c r="D250" s="94" t="s">
        <v>2419</v>
      </c>
      <c r="E250" s="94" t="s">
        <v>2418</v>
      </c>
      <c r="F250" s="94" t="s">
        <v>748</v>
      </c>
      <c r="G250" s="94" t="s">
        <v>2581</v>
      </c>
      <c r="H250" s="119">
        <v>8</v>
      </c>
      <c r="I250" s="119">
        <v>2</v>
      </c>
      <c r="J250" s="119">
        <f t="shared" si="24"/>
        <v>16</v>
      </c>
      <c r="K250" s="119">
        <v>335543040</v>
      </c>
      <c r="L250" s="119">
        <v>20971440</v>
      </c>
      <c r="M250" s="119">
        <f t="shared" si="25"/>
        <v>8</v>
      </c>
      <c r="N250" s="119">
        <f t="shared" si="26"/>
        <v>167771520</v>
      </c>
      <c r="O250" s="120">
        <v>45369</v>
      </c>
      <c r="P250" s="120">
        <v>46098</v>
      </c>
      <c r="Q250" s="119">
        <v>8</v>
      </c>
      <c r="R250" s="121">
        <v>167771520</v>
      </c>
      <c r="S250" s="119">
        <v>0</v>
      </c>
      <c r="T250" s="121">
        <v>0</v>
      </c>
      <c r="U250" s="119">
        <v>8</v>
      </c>
      <c r="V250" s="121">
        <f t="shared" si="27"/>
        <v>167771520</v>
      </c>
      <c r="W250" s="119">
        <f t="shared" si="28"/>
        <v>0</v>
      </c>
      <c r="X250" s="121">
        <f t="shared" si="29"/>
        <v>0</v>
      </c>
      <c r="Y250" s="122" t="s">
        <v>2427</v>
      </c>
      <c r="Z250" s="123" t="s">
        <v>2407</v>
      </c>
      <c r="AA250" s="123" t="s">
        <v>2406</v>
      </c>
      <c r="AB250" s="123" t="s">
        <v>2372</v>
      </c>
      <c r="AC250" s="124" t="s">
        <v>10</v>
      </c>
      <c r="AD250" s="110">
        <f>COUNTIF('KK1. Movies'!AI:AI,'TK 15661.Bản quyền phim '!F250)</f>
        <v>0</v>
      </c>
      <c r="AE250" s="110">
        <f>COUNTIF('KK2. Series'!AM:AM,'TK 15661.Bản quyền phim '!F250)</f>
        <v>1</v>
      </c>
      <c r="AF250" s="110">
        <f>COUNTIF('KK3. Kids'!AF:AF,'TK 15661.Bản quyền phim '!F250)</f>
        <v>0</v>
      </c>
      <c r="AG250" s="110"/>
      <c r="AH250" s="110" t="str">
        <f t="shared" si="30"/>
        <v>OK</v>
      </c>
    </row>
    <row r="251" spans="1:34" hidden="1" x14ac:dyDescent="0.2">
      <c r="A251" s="47">
        <f>+U251-H251</f>
        <v>0</v>
      </c>
      <c r="B251" s="108" t="s">
        <v>2779</v>
      </c>
      <c r="C251" s="94" t="s">
        <v>2412</v>
      </c>
      <c r="D251" s="94" t="s">
        <v>2419</v>
      </c>
      <c r="E251" s="94" t="s">
        <v>2418</v>
      </c>
      <c r="F251" s="94" t="s">
        <v>207</v>
      </c>
      <c r="G251" s="94" t="s">
        <v>2581</v>
      </c>
      <c r="H251" s="119">
        <v>20</v>
      </c>
      <c r="I251" s="119">
        <v>2</v>
      </c>
      <c r="J251" s="119">
        <f t="shared" si="24"/>
        <v>40</v>
      </c>
      <c r="K251" s="119">
        <v>220752000</v>
      </c>
      <c r="L251" s="119">
        <v>5518800</v>
      </c>
      <c r="M251" s="119">
        <f t="shared" si="25"/>
        <v>20</v>
      </c>
      <c r="N251" s="119">
        <f t="shared" si="26"/>
        <v>110376000</v>
      </c>
      <c r="O251" s="120">
        <v>45383</v>
      </c>
      <c r="P251" s="120">
        <v>46112</v>
      </c>
      <c r="Q251" s="119">
        <v>20</v>
      </c>
      <c r="R251" s="121">
        <v>110376000</v>
      </c>
      <c r="S251" s="119">
        <v>0</v>
      </c>
      <c r="T251" s="121">
        <v>0</v>
      </c>
      <c r="U251" s="119">
        <v>20</v>
      </c>
      <c r="V251" s="121">
        <f t="shared" si="27"/>
        <v>110376000</v>
      </c>
      <c r="W251" s="119">
        <f t="shared" si="28"/>
        <v>0</v>
      </c>
      <c r="X251" s="121">
        <f t="shared" si="29"/>
        <v>0</v>
      </c>
      <c r="Y251" s="122" t="s">
        <v>2427</v>
      </c>
      <c r="Z251" s="123" t="s">
        <v>2407</v>
      </c>
      <c r="AA251" s="123" t="s">
        <v>2406</v>
      </c>
      <c r="AB251" s="123" t="s">
        <v>2372</v>
      </c>
      <c r="AC251" s="123" t="s">
        <v>8</v>
      </c>
      <c r="AD251" s="110">
        <f>COUNTIF('KK1. Movies'!AI:AI,'TK 15661.Bản quyền phim '!F251)</f>
        <v>0</v>
      </c>
      <c r="AE251" s="110">
        <f>COUNTIF('KK2. Series'!AM:AM,'TK 15661.Bản quyền phim '!F251)</f>
        <v>0</v>
      </c>
      <c r="AF251" s="110">
        <f>COUNTIF('KK3. Kids'!AF:AF,'TK 15661.Bản quyền phim '!F251)</f>
        <v>1</v>
      </c>
      <c r="AG251" s="110"/>
      <c r="AH251" s="110" t="str">
        <f t="shared" si="30"/>
        <v>OK</v>
      </c>
    </row>
    <row r="252" spans="1:34" hidden="1" x14ac:dyDescent="0.2">
      <c r="A252" s="47">
        <f>(U252-H252)*L252</f>
        <v>0</v>
      </c>
      <c r="B252" s="108" t="s">
        <v>2778</v>
      </c>
      <c r="C252" s="94" t="s">
        <v>2412</v>
      </c>
      <c r="D252" s="94" t="s">
        <v>2419</v>
      </c>
      <c r="E252" s="94" t="s">
        <v>2418</v>
      </c>
      <c r="F252" s="94" t="s">
        <v>204</v>
      </c>
      <c r="G252" s="94" t="s">
        <v>2581</v>
      </c>
      <c r="H252" s="119">
        <v>26</v>
      </c>
      <c r="I252" s="119">
        <v>2</v>
      </c>
      <c r="J252" s="119">
        <f t="shared" si="24"/>
        <v>52</v>
      </c>
      <c r="K252" s="119">
        <v>286977600</v>
      </c>
      <c r="L252" s="119">
        <v>5518800</v>
      </c>
      <c r="M252" s="119">
        <f t="shared" si="25"/>
        <v>26</v>
      </c>
      <c r="N252" s="119">
        <f t="shared" si="26"/>
        <v>143488800</v>
      </c>
      <c r="O252" s="120">
        <v>45474</v>
      </c>
      <c r="P252" s="120">
        <v>46210</v>
      </c>
      <c r="Q252" s="119">
        <v>26</v>
      </c>
      <c r="R252" s="121">
        <v>143488800</v>
      </c>
      <c r="S252" s="119">
        <v>0</v>
      </c>
      <c r="T252" s="121">
        <v>0</v>
      </c>
      <c r="U252" s="119">
        <v>26</v>
      </c>
      <c r="V252" s="121">
        <f t="shared" si="27"/>
        <v>143488800</v>
      </c>
      <c r="W252" s="119">
        <f t="shared" si="28"/>
        <v>0</v>
      </c>
      <c r="X252" s="121">
        <f t="shared" si="29"/>
        <v>0</v>
      </c>
      <c r="Y252" s="122" t="s">
        <v>2427</v>
      </c>
      <c r="Z252" s="123" t="s">
        <v>2407</v>
      </c>
      <c r="AA252" s="123" t="s">
        <v>2406</v>
      </c>
      <c r="AB252" s="123" t="s">
        <v>2372</v>
      </c>
      <c r="AC252" s="123" t="s">
        <v>8</v>
      </c>
      <c r="AD252" s="110">
        <f>COUNTIF('KK1. Movies'!AI:AI,'TK 15661.Bản quyền phim '!F252)</f>
        <v>0</v>
      </c>
      <c r="AE252" s="110">
        <f>COUNTIF('KK2. Series'!AM:AM,'TK 15661.Bản quyền phim '!F252)</f>
        <v>0</v>
      </c>
      <c r="AF252" s="110">
        <f>COUNTIF('KK3. Kids'!AF:AF,'TK 15661.Bản quyền phim '!F252)</f>
        <v>1</v>
      </c>
      <c r="AG252" s="110"/>
      <c r="AH252" s="110" t="str">
        <f t="shared" si="30"/>
        <v>OK</v>
      </c>
    </row>
    <row r="253" spans="1:34" hidden="1" x14ac:dyDescent="0.2">
      <c r="A253" s="47">
        <f>(U253-H253)*L253</f>
        <v>0</v>
      </c>
      <c r="B253" s="108" t="s">
        <v>2777</v>
      </c>
      <c r="C253" s="94" t="s">
        <v>2412</v>
      </c>
      <c r="D253" s="94" t="s">
        <v>2419</v>
      </c>
      <c r="E253" s="94" t="s">
        <v>2418</v>
      </c>
      <c r="F253" s="94" t="s">
        <v>201</v>
      </c>
      <c r="G253" s="94" t="s">
        <v>2581</v>
      </c>
      <c r="H253" s="119">
        <v>26</v>
      </c>
      <c r="I253" s="119">
        <v>2</v>
      </c>
      <c r="J253" s="119">
        <f t="shared" si="24"/>
        <v>52</v>
      </c>
      <c r="K253" s="119">
        <v>286977600</v>
      </c>
      <c r="L253" s="119">
        <v>5518800</v>
      </c>
      <c r="M253" s="119">
        <f t="shared" si="25"/>
        <v>26</v>
      </c>
      <c r="N253" s="119">
        <f t="shared" si="26"/>
        <v>143488800</v>
      </c>
      <c r="O253" s="120">
        <v>45516</v>
      </c>
      <c r="P253" s="120">
        <v>46245</v>
      </c>
      <c r="Q253" s="119">
        <v>26</v>
      </c>
      <c r="R253" s="121">
        <v>143488800</v>
      </c>
      <c r="S253" s="119">
        <v>0</v>
      </c>
      <c r="T253" s="121">
        <v>0</v>
      </c>
      <c r="U253" s="119">
        <v>26</v>
      </c>
      <c r="V253" s="121">
        <f t="shared" si="27"/>
        <v>143488800</v>
      </c>
      <c r="W253" s="119">
        <f t="shared" si="28"/>
        <v>0</v>
      </c>
      <c r="X253" s="121">
        <f t="shared" si="29"/>
        <v>0</v>
      </c>
      <c r="Y253" s="122" t="s">
        <v>2427</v>
      </c>
      <c r="Z253" s="123" t="s">
        <v>2407</v>
      </c>
      <c r="AA253" s="123" t="s">
        <v>2406</v>
      </c>
      <c r="AB253" s="123" t="s">
        <v>2372</v>
      </c>
      <c r="AC253" s="123" t="s">
        <v>8</v>
      </c>
      <c r="AD253" s="110">
        <f>COUNTIF('KK1. Movies'!AI:AI,'TK 15661.Bản quyền phim '!F253)</f>
        <v>0</v>
      </c>
      <c r="AE253" s="110">
        <f>COUNTIF('KK2. Series'!AM:AM,'TK 15661.Bản quyền phim '!F253)</f>
        <v>0</v>
      </c>
      <c r="AF253" s="110">
        <f>COUNTIF('KK3. Kids'!AF:AF,'TK 15661.Bản quyền phim '!F253)</f>
        <v>1</v>
      </c>
      <c r="AG253" s="110"/>
      <c r="AH253" s="110" t="str">
        <f t="shared" si="30"/>
        <v>OK</v>
      </c>
    </row>
    <row r="254" spans="1:34" hidden="1" x14ac:dyDescent="0.2">
      <c r="B254" s="108" t="s">
        <v>2776</v>
      </c>
      <c r="C254" s="94" t="s">
        <v>2412</v>
      </c>
      <c r="D254" s="94" t="s">
        <v>2419</v>
      </c>
      <c r="E254" s="94" t="s">
        <v>2418</v>
      </c>
      <c r="F254" s="94" t="s">
        <v>192</v>
      </c>
      <c r="G254" s="94" t="s">
        <v>2581</v>
      </c>
      <c r="H254" s="119">
        <v>26</v>
      </c>
      <c r="I254" s="119">
        <v>2</v>
      </c>
      <c r="J254" s="119">
        <f t="shared" si="24"/>
        <v>52</v>
      </c>
      <c r="K254" s="119">
        <v>286977600</v>
      </c>
      <c r="L254" s="119">
        <v>5518800</v>
      </c>
      <c r="M254" s="119">
        <f t="shared" si="25"/>
        <v>26</v>
      </c>
      <c r="N254" s="119">
        <f t="shared" si="26"/>
        <v>143488800</v>
      </c>
      <c r="O254" s="120">
        <v>45423</v>
      </c>
      <c r="P254" s="120">
        <v>46152</v>
      </c>
      <c r="Q254" s="119">
        <v>26</v>
      </c>
      <c r="R254" s="121">
        <v>143488800</v>
      </c>
      <c r="S254" s="119">
        <v>0</v>
      </c>
      <c r="T254" s="121">
        <v>0</v>
      </c>
      <c r="U254" s="119">
        <v>26</v>
      </c>
      <c r="V254" s="121">
        <f t="shared" si="27"/>
        <v>143488800</v>
      </c>
      <c r="W254" s="119">
        <f t="shared" si="28"/>
        <v>0</v>
      </c>
      <c r="X254" s="121">
        <f t="shared" si="29"/>
        <v>0</v>
      </c>
      <c r="Y254" s="122" t="s">
        <v>2427</v>
      </c>
      <c r="Z254" s="123" t="s">
        <v>2407</v>
      </c>
      <c r="AA254" s="123" t="s">
        <v>2406</v>
      </c>
      <c r="AB254" s="123" t="s">
        <v>2372</v>
      </c>
      <c r="AC254" s="123" t="s">
        <v>8</v>
      </c>
      <c r="AD254" s="110">
        <f>COUNTIF('KK1. Movies'!AI:AI,'TK 15661.Bản quyền phim '!F254)</f>
        <v>0</v>
      </c>
      <c r="AE254" s="110">
        <f>COUNTIF('KK2. Series'!AM:AM,'TK 15661.Bản quyền phim '!F254)</f>
        <v>0</v>
      </c>
      <c r="AF254" s="110">
        <f>COUNTIF('KK3. Kids'!AF:AF,'TK 15661.Bản quyền phim '!F254)</f>
        <v>1</v>
      </c>
      <c r="AG254" s="110"/>
      <c r="AH254" s="110" t="str">
        <f t="shared" si="30"/>
        <v>OK</v>
      </c>
    </row>
    <row r="255" spans="1:34" hidden="1" x14ac:dyDescent="0.2">
      <c r="A255" s="47">
        <f t="shared" ref="A255:A263" si="32">(U255-H255)*L255</f>
        <v>0</v>
      </c>
      <c r="B255" s="108" t="s">
        <v>2775</v>
      </c>
      <c r="C255" s="94" t="s">
        <v>2412</v>
      </c>
      <c r="D255" s="94" t="s">
        <v>2773</v>
      </c>
      <c r="E255" s="94" t="s">
        <v>2772</v>
      </c>
      <c r="F255" s="94" t="s">
        <v>210</v>
      </c>
      <c r="G255" s="94" t="s">
        <v>2409</v>
      </c>
      <c r="H255" s="119">
        <v>52</v>
      </c>
      <c r="I255" s="119">
        <v>3</v>
      </c>
      <c r="J255" s="119">
        <f t="shared" si="24"/>
        <v>156</v>
      </c>
      <c r="K255" s="119">
        <v>193284000</v>
      </c>
      <c r="L255" s="119">
        <v>1239000</v>
      </c>
      <c r="M255" s="119">
        <f t="shared" si="25"/>
        <v>52</v>
      </c>
      <c r="N255" s="119">
        <f t="shared" si="26"/>
        <v>64428000</v>
      </c>
      <c r="O255" s="120">
        <v>45416</v>
      </c>
      <c r="P255" s="120">
        <v>46510</v>
      </c>
      <c r="Q255" s="119">
        <v>104</v>
      </c>
      <c r="R255" s="121">
        <v>128856000</v>
      </c>
      <c r="S255" s="119">
        <v>0</v>
      </c>
      <c r="T255" s="121">
        <v>0</v>
      </c>
      <c r="U255" s="119">
        <v>52</v>
      </c>
      <c r="V255" s="121">
        <f t="shared" si="27"/>
        <v>64428000</v>
      </c>
      <c r="W255" s="119">
        <f t="shared" si="28"/>
        <v>52</v>
      </c>
      <c r="X255" s="121">
        <f t="shared" si="29"/>
        <v>64428000</v>
      </c>
      <c r="Y255" s="122" t="s">
        <v>2408</v>
      </c>
      <c r="Z255" s="123" t="s">
        <v>2407</v>
      </c>
      <c r="AA255" s="123" t="s">
        <v>2406</v>
      </c>
      <c r="AB255" s="123" t="s">
        <v>2372</v>
      </c>
      <c r="AC255" s="123" t="s">
        <v>8</v>
      </c>
      <c r="AD255" s="110">
        <f>COUNTIF('KK1. Movies'!AI:AI,'TK 15661.Bản quyền phim '!F255)</f>
        <v>0</v>
      </c>
      <c r="AE255" s="110">
        <f>COUNTIF('KK2. Series'!AM:AM,'TK 15661.Bản quyền phim '!F255)</f>
        <v>0</v>
      </c>
      <c r="AF255" s="110">
        <f>COUNTIF('KK3. Kids'!AF:AF,'TK 15661.Bản quyền phim '!F255)</f>
        <v>1</v>
      </c>
      <c r="AG255" s="110"/>
      <c r="AH255" s="110" t="str">
        <f t="shared" si="30"/>
        <v>OK</v>
      </c>
    </row>
    <row r="256" spans="1:34" hidden="1" x14ac:dyDescent="0.2">
      <c r="A256" s="47">
        <f t="shared" si="32"/>
        <v>0</v>
      </c>
      <c r="B256" s="108" t="s">
        <v>2774</v>
      </c>
      <c r="C256" s="94" t="s">
        <v>2412</v>
      </c>
      <c r="D256" s="94" t="s">
        <v>2773</v>
      </c>
      <c r="E256" s="94" t="s">
        <v>2772</v>
      </c>
      <c r="F256" s="94" t="s">
        <v>215</v>
      </c>
      <c r="G256" s="94" t="s">
        <v>2409</v>
      </c>
      <c r="H256" s="119">
        <v>52</v>
      </c>
      <c r="I256" s="119">
        <v>3</v>
      </c>
      <c r="J256" s="119">
        <f t="shared" si="24"/>
        <v>156</v>
      </c>
      <c r="K256" s="119">
        <v>257712000</v>
      </c>
      <c r="L256" s="119">
        <v>1652000.0000000002</v>
      </c>
      <c r="M256" s="119">
        <f t="shared" si="25"/>
        <v>52</v>
      </c>
      <c r="N256" s="119">
        <f t="shared" si="26"/>
        <v>85904000</v>
      </c>
      <c r="O256" s="120">
        <v>45390</v>
      </c>
      <c r="P256" s="120">
        <v>46484</v>
      </c>
      <c r="Q256" s="119">
        <v>104</v>
      </c>
      <c r="R256" s="121">
        <v>171808000</v>
      </c>
      <c r="S256" s="119">
        <v>0</v>
      </c>
      <c r="T256" s="121">
        <v>0</v>
      </c>
      <c r="U256" s="119">
        <v>52</v>
      </c>
      <c r="V256" s="121">
        <f t="shared" si="27"/>
        <v>85904000.000000015</v>
      </c>
      <c r="W256" s="119">
        <f t="shared" si="28"/>
        <v>52</v>
      </c>
      <c r="X256" s="121">
        <f t="shared" si="29"/>
        <v>85903999.999999985</v>
      </c>
      <c r="Y256" s="122" t="s">
        <v>2408</v>
      </c>
      <c r="Z256" s="123" t="s">
        <v>2407</v>
      </c>
      <c r="AA256" s="123" t="s">
        <v>2406</v>
      </c>
      <c r="AB256" s="123" t="s">
        <v>2372</v>
      </c>
      <c r="AC256" s="123" t="s">
        <v>8</v>
      </c>
      <c r="AD256" s="110">
        <f>COUNTIF('KK1. Movies'!AI:AI,'TK 15661.Bản quyền phim '!F256)</f>
        <v>0</v>
      </c>
      <c r="AE256" s="110">
        <f>COUNTIF('KK2. Series'!AM:AM,'TK 15661.Bản quyền phim '!F256)</f>
        <v>0</v>
      </c>
      <c r="AF256" s="110">
        <f>COUNTIF('KK3. Kids'!AF:AF,'TK 15661.Bản quyền phim '!F256)</f>
        <v>1</v>
      </c>
      <c r="AG256" s="110"/>
      <c r="AH256" s="110" t="str">
        <f t="shared" si="30"/>
        <v>OK</v>
      </c>
    </row>
    <row r="257" spans="1:34" ht="15.6" hidden="1" x14ac:dyDescent="0.3">
      <c r="A257" s="47">
        <f t="shared" si="32"/>
        <v>0</v>
      </c>
      <c r="B257" s="108" t="s">
        <v>2771</v>
      </c>
      <c r="C257" s="94" t="s">
        <v>2412</v>
      </c>
      <c r="D257" s="94" t="s">
        <v>2682</v>
      </c>
      <c r="E257" s="94" t="s">
        <v>2681</v>
      </c>
      <c r="F257" s="94" t="s">
        <v>1019</v>
      </c>
      <c r="G257" s="94" t="s">
        <v>2428</v>
      </c>
      <c r="H257" s="119">
        <v>39</v>
      </c>
      <c r="I257" s="119">
        <v>5</v>
      </c>
      <c r="J257" s="119">
        <f t="shared" si="24"/>
        <v>195</v>
      </c>
      <c r="K257" s="119">
        <v>3221400000</v>
      </c>
      <c r="L257" s="119">
        <v>16519999.999999998</v>
      </c>
      <c r="M257" s="119">
        <f t="shared" si="25"/>
        <v>39</v>
      </c>
      <c r="N257" s="119">
        <f t="shared" si="26"/>
        <v>644280000</v>
      </c>
      <c r="O257" s="120">
        <v>45369</v>
      </c>
      <c r="P257" s="120">
        <v>47194</v>
      </c>
      <c r="Q257" s="119">
        <v>156</v>
      </c>
      <c r="R257" s="121">
        <v>2577120000</v>
      </c>
      <c r="S257" s="119">
        <v>0</v>
      </c>
      <c r="T257" s="121">
        <v>0</v>
      </c>
      <c r="U257" s="119">
        <v>39</v>
      </c>
      <c r="V257" s="121">
        <f t="shared" si="27"/>
        <v>644279999.99999988</v>
      </c>
      <c r="W257" s="119">
        <f t="shared" si="28"/>
        <v>117</v>
      </c>
      <c r="X257" s="121">
        <f t="shared" si="29"/>
        <v>1932840000</v>
      </c>
      <c r="Y257" s="122" t="s">
        <v>2427</v>
      </c>
      <c r="Z257" s="123" t="s">
        <v>2407</v>
      </c>
      <c r="AA257" s="123" t="s">
        <v>2406</v>
      </c>
      <c r="AB257" s="123" t="s">
        <v>2372</v>
      </c>
      <c r="AC257" s="124" t="s">
        <v>10</v>
      </c>
      <c r="AD257" s="110">
        <f>COUNTIF('KK1. Movies'!AI:AI,'TK 15661.Bản quyền phim '!F257)</f>
        <v>0</v>
      </c>
      <c r="AE257" s="110">
        <f>COUNTIF('KK2. Series'!AM:AM,'TK 15661.Bản quyền phim '!F257)</f>
        <v>1</v>
      </c>
      <c r="AF257" s="110">
        <f>COUNTIF('KK3. Kids'!AF:AF,'TK 15661.Bản quyền phim '!F257)</f>
        <v>0</v>
      </c>
      <c r="AG257" s="110"/>
      <c r="AH257" s="110" t="str">
        <f t="shared" si="30"/>
        <v>OK</v>
      </c>
    </row>
    <row r="258" spans="1:34" ht="15.6" hidden="1" x14ac:dyDescent="0.3">
      <c r="A258" s="47">
        <f t="shared" si="32"/>
        <v>0</v>
      </c>
      <c r="B258" s="108" t="s">
        <v>2770</v>
      </c>
      <c r="C258" s="94" t="s">
        <v>2412</v>
      </c>
      <c r="D258" s="94" t="s">
        <v>2431</v>
      </c>
      <c r="E258" s="94" t="s">
        <v>2430</v>
      </c>
      <c r="F258" s="94" t="s">
        <v>732</v>
      </c>
      <c r="G258" s="94" t="s">
        <v>2428</v>
      </c>
      <c r="H258" s="119">
        <v>16</v>
      </c>
      <c r="I258" s="119">
        <v>4</v>
      </c>
      <c r="J258" s="119">
        <f t="shared" si="24"/>
        <v>64</v>
      </c>
      <c r="K258" s="119">
        <v>3524261160</v>
      </c>
      <c r="L258" s="119">
        <v>55066580.625</v>
      </c>
      <c r="M258" s="119">
        <f t="shared" si="25"/>
        <v>16</v>
      </c>
      <c r="N258" s="119">
        <f t="shared" si="26"/>
        <v>881065290</v>
      </c>
      <c r="O258" s="120">
        <v>45380</v>
      </c>
      <c r="P258" s="120">
        <v>46840</v>
      </c>
      <c r="Q258" s="119">
        <v>48</v>
      </c>
      <c r="R258" s="121">
        <v>2643195870</v>
      </c>
      <c r="S258" s="119">
        <v>0</v>
      </c>
      <c r="T258" s="121">
        <v>0</v>
      </c>
      <c r="U258" s="119">
        <v>16</v>
      </c>
      <c r="V258" s="121">
        <f t="shared" si="27"/>
        <v>881065290</v>
      </c>
      <c r="W258" s="119">
        <f t="shared" si="28"/>
        <v>32</v>
      </c>
      <c r="X258" s="121">
        <f t="shared" si="29"/>
        <v>1762130580</v>
      </c>
      <c r="Y258" s="122" t="s">
        <v>2427</v>
      </c>
      <c r="Z258" s="123" t="s">
        <v>2407</v>
      </c>
      <c r="AA258" s="123" t="s">
        <v>2406</v>
      </c>
      <c r="AB258" s="123" t="s">
        <v>2372</v>
      </c>
      <c r="AC258" s="124" t="s">
        <v>10</v>
      </c>
      <c r="AD258" s="110">
        <f>COUNTIF('KK1. Movies'!AI:AI,'TK 15661.Bản quyền phim '!F258)</f>
        <v>0</v>
      </c>
      <c r="AE258" s="110">
        <f>COUNTIF('KK2. Series'!AM:AM,'TK 15661.Bản quyền phim '!F258)</f>
        <v>1</v>
      </c>
      <c r="AF258" s="110">
        <f>COUNTIF('KK3. Kids'!AF:AF,'TK 15661.Bản quyền phim '!F258)</f>
        <v>0</v>
      </c>
      <c r="AG258" s="110"/>
      <c r="AH258" s="110" t="str">
        <f t="shared" si="30"/>
        <v>OK</v>
      </c>
    </row>
    <row r="259" spans="1:34" ht="15.6" hidden="1" x14ac:dyDescent="0.3">
      <c r="A259" s="47">
        <f t="shared" si="32"/>
        <v>0</v>
      </c>
      <c r="B259" s="108" t="s">
        <v>2769</v>
      </c>
      <c r="C259" s="94" t="s">
        <v>2412</v>
      </c>
      <c r="D259" s="94" t="s">
        <v>2766</v>
      </c>
      <c r="E259" s="94" t="s">
        <v>2765</v>
      </c>
      <c r="F259" s="94" t="s">
        <v>699</v>
      </c>
      <c r="G259" s="94" t="s">
        <v>2428</v>
      </c>
      <c r="H259" s="119">
        <v>16</v>
      </c>
      <c r="I259" s="119">
        <v>3</v>
      </c>
      <c r="J259" s="119">
        <f t="shared" si="24"/>
        <v>48</v>
      </c>
      <c r="K259" s="119">
        <v>707328000</v>
      </c>
      <c r="L259" s="119">
        <v>14736000</v>
      </c>
      <c r="M259" s="119">
        <f t="shared" si="25"/>
        <v>16</v>
      </c>
      <c r="N259" s="119">
        <f t="shared" si="26"/>
        <v>235776000</v>
      </c>
      <c r="O259" s="120">
        <v>45499</v>
      </c>
      <c r="P259" s="120">
        <v>46593</v>
      </c>
      <c r="Q259" s="119">
        <v>32</v>
      </c>
      <c r="R259" s="121">
        <v>471552000</v>
      </c>
      <c r="S259" s="119">
        <v>0</v>
      </c>
      <c r="T259" s="121">
        <v>0</v>
      </c>
      <c r="U259" s="119">
        <v>16</v>
      </c>
      <c r="V259" s="121">
        <f t="shared" si="27"/>
        <v>235776000</v>
      </c>
      <c r="W259" s="119">
        <f t="shared" si="28"/>
        <v>16</v>
      </c>
      <c r="X259" s="121">
        <f t="shared" si="29"/>
        <v>235776000</v>
      </c>
      <c r="Y259" s="122" t="s">
        <v>2427</v>
      </c>
      <c r="Z259" s="123" t="s">
        <v>2407</v>
      </c>
      <c r="AA259" s="123" t="s">
        <v>2406</v>
      </c>
      <c r="AB259" s="123" t="s">
        <v>2372</v>
      </c>
      <c r="AC259" s="124" t="s">
        <v>10</v>
      </c>
      <c r="AD259" s="110">
        <f>COUNTIF('KK1. Movies'!AI:AI,'TK 15661.Bản quyền phim '!F259)</f>
        <v>0</v>
      </c>
      <c r="AE259" s="110">
        <f>COUNTIF('KK2. Series'!AM:AM,'TK 15661.Bản quyền phim '!F259)</f>
        <v>1</v>
      </c>
      <c r="AF259" s="110">
        <f>COUNTIF('KK3. Kids'!AF:AF,'TK 15661.Bản quyền phim '!F259)</f>
        <v>0</v>
      </c>
      <c r="AG259" s="110"/>
      <c r="AH259" s="110" t="str">
        <f t="shared" si="30"/>
        <v>OK</v>
      </c>
    </row>
    <row r="260" spans="1:34" ht="15.6" hidden="1" x14ac:dyDescent="0.3">
      <c r="A260" s="47">
        <f t="shared" si="32"/>
        <v>0</v>
      </c>
      <c r="B260" s="108" t="s">
        <v>2768</v>
      </c>
      <c r="C260" s="94" t="s">
        <v>2412</v>
      </c>
      <c r="D260" s="94" t="s">
        <v>2766</v>
      </c>
      <c r="E260" s="94" t="s">
        <v>2765</v>
      </c>
      <c r="F260" s="94" t="s">
        <v>696</v>
      </c>
      <c r="G260" s="94" t="s">
        <v>2428</v>
      </c>
      <c r="H260" s="119">
        <v>12</v>
      </c>
      <c r="I260" s="119">
        <v>3</v>
      </c>
      <c r="J260" s="119">
        <f t="shared" si="24"/>
        <v>36</v>
      </c>
      <c r="K260" s="119">
        <v>530496000</v>
      </c>
      <c r="L260" s="119">
        <v>14736000</v>
      </c>
      <c r="M260" s="119">
        <f t="shared" si="25"/>
        <v>12</v>
      </c>
      <c r="N260" s="119">
        <f t="shared" si="26"/>
        <v>176832000</v>
      </c>
      <c r="O260" s="120">
        <v>45533</v>
      </c>
      <c r="P260" s="120">
        <v>46627</v>
      </c>
      <c r="Q260" s="119">
        <v>24</v>
      </c>
      <c r="R260" s="121">
        <v>353664000</v>
      </c>
      <c r="S260" s="119">
        <v>0</v>
      </c>
      <c r="T260" s="121">
        <v>0</v>
      </c>
      <c r="U260" s="119">
        <v>12</v>
      </c>
      <c r="V260" s="121">
        <f t="shared" si="27"/>
        <v>176832000</v>
      </c>
      <c r="W260" s="119">
        <f t="shared" si="28"/>
        <v>12</v>
      </c>
      <c r="X260" s="121">
        <f t="shared" si="29"/>
        <v>176832000</v>
      </c>
      <c r="Y260" s="122" t="s">
        <v>2427</v>
      </c>
      <c r="Z260" s="123" t="s">
        <v>2407</v>
      </c>
      <c r="AA260" s="123" t="s">
        <v>2406</v>
      </c>
      <c r="AB260" s="123" t="s">
        <v>2372</v>
      </c>
      <c r="AC260" s="124" t="s">
        <v>10</v>
      </c>
      <c r="AD260" s="110">
        <f>COUNTIF('KK1. Movies'!AI:AI,'TK 15661.Bản quyền phim '!F260)</f>
        <v>0</v>
      </c>
      <c r="AE260" s="110">
        <f>COUNTIF('KK2. Series'!AM:AM,'TK 15661.Bản quyền phim '!F260)</f>
        <v>1</v>
      </c>
      <c r="AF260" s="110">
        <f>COUNTIF('KK3. Kids'!AF:AF,'TK 15661.Bản quyền phim '!F260)</f>
        <v>0</v>
      </c>
      <c r="AG260" s="110"/>
      <c r="AH260" s="110" t="str">
        <f t="shared" si="30"/>
        <v>OK</v>
      </c>
    </row>
    <row r="261" spans="1:34" ht="15.6" hidden="1" x14ac:dyDescent="0.3">
      <c r="A261" s="47">
        <f t="shared" si="32"/>
        <v>0</v>
      </c>
      <c r="B261" s="108" t="s">
        <v>2767</v>
      </c>
      <c r="C261" s="94" t="s">
        <v>2412</v>
      </c>
      <c r="D261" s="94" t="s">
        <v>2766</v>
      </c>
      <c r="E261" s="94" t="s">
        <v>2765</v>
      </c>
      <c r="F261" s="94" t="s">
        <v>690</v>
      </c>
      <c r="G261" s="94" t="s">
        <v>2428</v>
      </c>
      <c r="H261" s="119">
        <v>12</v>
      </c>
      <c r="I261" s="119">
        <v>3</v>
      </c>
      <c r="J261" s="119">
        <f t="shared" si="24"/>
        <v>36</v>
      </c>
      <c r="K261" s="119">
        <v>412608000</v>
      </c>
      <c r="L261" s="119">
        <v>11461333.333333334</v>
      </c>
      <c r="M261" s="119">
        <f t="shared" si="25"/>
        <v>12</v>
      </c>
      <c r="N261" s="119">
        <f t="shared" si="26"/>
        <v>137536000</v>
      </c>
      <c r="O261" s="120">
        <v>45593</v>
      </c>
      <c r="P261" s="120">
        <v>46687</v>
      </c>
      <c r="Q261" s="119">
        <v>24</v>
      </c>
      <c r="R261" s="121">
        <v>275072000</v>
      </c>
      <c r="S261" s="119">
        <v>0</v>
      </c>
      <c r="T261" s="121">
        <v>0</v>
      </c>
      <c r="U261" s="119">
        <v>12</v>
      </c>
      <c r="V261" s="121">
        <f t="shared" si="27"/>
        <v>137536000</v>
      </c>
      <c r="W261" s="119">
        <f t="shared" si="28"/>
        <v>12</v>
      </c>
      <c r="X261" s="121">
        <f t="shared" si="29"/>
        <v>137536000</v>
      </c>
      <c r="Y261" s="122" t="s">
        <v>2427</v>
      </c>
      <c r="Z261" s="123" t="s">
        <v>2407</v>
      </c>
      <c r="AA261" s="123" t="s">
        <v>2406</v>
      </c>
      <c r="AB261" s="123" t="s">
        <v>2372</v>
      </c>
      <c r="AC261" s="124" t="s">
        <v>10</v>
      </c>
      <c r="AD261" s="110">
        <f>COUNTIF('KK1. Movies'!AI:AI,'TK 15661.Bản quyền phim '!F261)</f>
        <v>0</v>
      </c>
      <c r="AE261" s="110">
        <f>COUNTIF('KK2. Series'!AM:AM,'TK 15661.Bản quyền phim '!F261)</f>
        <v>1</v>
      </c>
      <c r="AF261" s="110">
        <f>COUNTIF('KK3. Kids'!AF:AF,'TK 15661.Bản quyền phim '!F261)</f>
        <v>0</v>
      </c>
      <c r="AG261" s="110"/>
      <c r="AH261" s="110" t="str">
        <f t="shared" si="30"/>
        <v>OK</v>
      </c>
    </row>
    <row r="262" spans="1:34" ht="15.6" hidden="1" x14ac:dyDescent="0.3">
      <c r="A262" s="47">
        <f t="shared" si="32"/>
        <v>0</v>
      </c>
      <c r="B262" s="108" t="s">
        <v>2764</v>
      </c>
      <c r="C262" s="94" t="s">
        <v>2412</v>
      </c>
      <c r="D262" s="94" t="s">
        <v>2763</v>
      </c>
      <c r="E262" s="94" t="s">
        <v>2762</v>
      </c>
      <c r="F262" s="94" t="s">
        <v>874</v>
      </c>
      <c r="G262" s="94" t="s">
        <v>2428</v>
      </c>
      <c r="H262" s="119">
        <v>16</v>
      </c>
      <c r="I262" s="119">
        <v>3</v>
      </c>
      <c r="J262" s="119">
        <f t="shared" ref="J262:J325" si="33">H262*I262</f>
        <v>48</v>
      </c>
      <c r="K262" s="119">
        <v>628736000</v>
      </c>
      <c r="L262" s="119">
        <v>13098666.666666668</v>
      </c>
      <c r="M262" s="119">
        <f t="shared" ref="M262:M325" si="34">J262-Q262</f>
        <v>16</v>
      </c>
      <c r="N262" s="119">
        <f t="shared" ref="N262:N325" si="35">K262-R262</f>
        <v>209578666.66666669</v>
      </c>
      <c r="O262" s="120">
        <v>45412</v>
      </c>
      <c r="P262" s="120">
        <v>46506</v>
      </c>
      <c r="Q262" s="119">
        <v>32</v>
      </c>
      <c r="R262" s="121">
        <v>419157333.33333331</v>
      </c>
      <c r="S262" s="119">
        <v>0</v>
      </c>
      <c r="T262" s="121">
        <v>0</v>
      </c>
      <c r="U262" s="119">
        <v>16</v>
      </c>
      <c r="V262" s="121">
        <f t="shared" ref="V262:V325" si="36">U262*L262</f>
        <v>209578666.66666669</v>
      </c>
      <c r="W262" s="119">
        <f t="shared" ref="W262:W325" si="37">Q262+S262-U262</f>
        <v>16</v>
      </c>
      <c r="X262" s="121">
        <f t="shared" ref="X262:X325" si="38">R262+T262-V262</f>
        <v>209578666.66666663</v>
      </c>
      <c r="Y262" s="122" t="s">
        <v>2427</v>
      </c>
      <c r="Z262" s="123" t="s">
        <v>2407</v>
      </c>
      <c r="AA262" s="123" t="s">
        <v>2406</v>
      </c>
      <c r="AB262" s="123" t="s">
        <v>2372</v>
      </c>
      <c r="AC262" s="124" t="s">
        <v>10</v>
      </c>
      <c r="AD262" s="110">
        <f>COUNTIF('KK1. Movies'!AI:AI,'TK 15661.Bản quyền phim '!F262)</f>
        <v>0</v>
      </c>
      <c r="AE262" s="110">
        <f>COUNTIF('KK2. Series'!AM:AM,'TK 15661.Bản quyền phim '!F262)</f>
        <v>1</v>
      </c>
      <c r="AF262" s="110">
        <f>COUNTIF('KK3. Kids'!AF:AF,'TK 15661.Bản quyền phim '!F262)</f>
        <v>0</v>
      </c>
      <c r="AG262" s="110"/>
      <c r="AH262" s="110" t="str">
        <f t="shared" si="30"/>
        <v>OK</v>
      </c>
    </row>
    <row r="263" spans="1:34" ht="15.6" hidden="1" x14ac:dyDescent="0.3">
      <c r="A263" s="47">
        <f t="shared" si="32"/>
        <v>0</v>
      </c>
      <c r="B263" s="108" t="s">
        <v>2761</v>
      </c>
      <c r="C263" s="94" t="s">
        <v>2412</v>
      </c>
      <c r="D263" s="94" t="s">
        <v>2570</v>
      </c>
      <c r="E263" s="94" t="s">
        <v>2569</v>
      </c>
      <c r="F263" s="94" t="s">
        <v>917</v>
      </c>
      <c r="G263" s="94" t="s">
        <v>2428</v>
      </c>
      <c r="H263" s="119">
        <v>39</v>
      </c>
      <c r="I263" s="119">
        <v>4</v>
      </c>
      <c r="J263" s="119">
        <f t="shared" si="33"/>
        <v>156</v>
      </c>
      <c r="K263" s="119">
        <v>1596400000</v>
      </c>
      <c r="L263" s="119">
        <v>10233333.333333334</v>
      </c>
      <c r="M263" s="119">
        <f t="shared" si="34"/>
        <v>39</v>
      </c>
      <c r="N263" s="119">
        <f t="shared" si="35"/>
        <v>399100000</v>
      </c>
      <c r="O263" s="120">
        <v>45447</v>
      </c>
      <c r="P263" s="120">
        <v>46907</v>
      </c>
      <c r="Q263" s="119">
        <v>117</v>
      </c>
      <c r="R263" s="121">
        <v>1197300000</v>
      </c>
      <c r="S263" s="119">
        <v>0</v>
      </c>
      <c r="T263" s="121">
        <v>0</v>
      </c>
      <c r="U263" s="119">
        <v>39</v>
      </c>
      <c r="V263" s="121">
        <f t="shared" si="36"/>
        <v>399100000</v>
      </c>
      <c r="W263" s="119">
        <f t="shared" si="37"/>
        <v>78</v>
      </c>
      <c r="X263" s="121">
        <f t="shared" si="38"/>
        <v>798200000</v>
      </c>
      <c r="Y263" s="122" t="s">
        <v>2427</v>
      </c>
      <c r="Z263" s="123" t="s">
        <v>2407</v>
      </c>
      <c r="AA263" s="123" t="s">
        <v>2406</v>
      </c>
      <c r="AB263" s="123" t="s">
        <v>2372</v>
      </c>
      <c r="AC263" s="124" t="s">
        <v>10</v>
      </c>
      <c r="AD263" s="110">
        <f>COUNTIF('KK1. Movies'!AI:AI,'TK 15661.Bản quyền phim '!F263)</f>
        <v>0</v>
      </c>
      <c r="AE263" s="110">
        <f>COUNTIF('KK2. Series'!AM:AM,'TK 15661.Bản quyền phim '!F263)</f>
        <v>1</v>
      </c>
      <c r="AF263" s="110">
        <f>COUNTIF('KK3. Kids'!AF:AF,'TK 15661.Bản quyền phim '!F263)</f>
        <v>0</v>
      </c>
      <c r="AG263" s="110"/>
      <c r="AH263" s="110" t="str">
        <f t="shared" ref="AH263:AH326" si="39">IF(SUM(AD263:AG263)&gt;0,"OK",0)</f>
        <v>OK</v>
      </c>
    </row>
    <row r="264" spans="1:34" hidden="1" x14ac:dyDescent="0.2">
      <c r="A264" s="43"/>
      <c r="B264" s="108" t="s">
        <v>2760</v>
      </c>
      <c r="C264" s="94" t="s">
        <v>2493</v>
      </c>
      <c r="D264" s="94" t="s">
        <v>2690</v>
      </c>
      <c r="E264" s="94" t="s">
        <v>2689</v>
      </c>
      <c r="F264" s="94" t="s">
        <v>2759</v>
      </c>
      <c r="G264" s="94" t="s">
        <v>2417</v>
      </c>
      <c r="H264" s="119">
        <v>1</v>
      </c>
      <c r="I264" s="119">
        <v>3</v>
      </c>
      <c r="J264" s="119">
        <f t="shared" si="33"/>
        <v>3</v>
      </c>
      <c r="K264" s="119">
        <v>0</v>
      </c>
      <c r="L264" s="119">
        <v>0</v>
      </c>
      <c r="M264" s="119">
        <f t="shared" si="34"/>
        <v>0</v>
      </c>
      <c r="N264" s="119">
        <f t="shared" si="35"/>
        <v>0</v>
      </c>
      <c r="O264" s="120">
        <v>45435</v>
      </c>
      <c r="P264" s="120">
        <v>46529</v>
      </c>
      <c r="Q264" s="119">
        <v>3</v>
      </c>
      <c r="R264" s="121">
        <v>0</v>
      </c>
      <c r="S264" s="119">
        <v>0</v>
      </c>
      <c r="T264" s="121">
        <v>0</v>
      </c>
      <c r="U264" s="119">
        <v>0</v>
      </c>
      <c r="V264" s="121">
        <f t="shared" si="36"/>
        <v>0</v>
      </c>
      <c r="W264" s="119">
        <f t="shared" si="37"/>
        <v>3</v>
      </c>
      <c r="X264" s="121">
        <f t="shared" si="38"/>
        <v>0</v>
      </c>
      <c r="Y264" s="122" t="s">
        <v>2416</v>
      </c>
      <c r="Z264" s="123" t="s">
        <v>2407</v>
      </c>
      <c r="AA264" s="123" t="s">
        <v>2406</v>
      </c>
      <c r="AB264" s="123" t="s">
        <v>2372</v>
      </c>
      <c r="AC264" s="123"/>
      <c r="AD264" s="110">
        <f>COUNTIF('KK1. Movies'!AI:AI,'TK 15661.Bản quyền phim '!F264)</f>
        <v>0</v>
      </c>
      <c r="AE264" s="110">
        <f>COUNTIF('KK2. Series'!AM:AM,'TK 15661.Bản quyền phim '!F264)</f>
        <v>0</v>
      </c>
      <c r="AF264" s="110">
        <f>COUNTIF('KK3. Kids'!AF:AF,'TK 15661.Bản quyền phim '!F264)</f>
        <v>0</v>
      </c>
      <c r="AG264" s="110"/>
      <c r="AH264" s="110">
        <f t="shared" si="39"/>
        <v>0</v>
      </c>
    </row>
    <row r="265" spans="1:34" ht="15.6" hidden="1" x14ac:dyDescent="0.3">
      <c r="A265" s="43"/>
      <c r="B265" s="108" t="s">
        <v>2758</v>
      </c>
      <c r="C265" s="94" t="s">
        <v>2493</v>
      </c>
      <c r="D265" s="94" t="s">
        <v>2690</v>
      </c>
      <c r="E265" s="94" t="s">
        <v>2689</v>
      </c>
      <c r="F265" s="94" t="s">
        <v>2112</v>
      </c>
      <c r="G265" s="94" t="s">
        <v>2417</v>
      </c>
      <c r="H265" s="119">
        <v>1</v>
      </c>
      <c r="I265" s="119">
        <v>3</v>
      </c>
      <c r="J265" s="119">
        <f t="shared" si="33"/>
        <v>3</v>
      </c>
      <c r="K265" s="119">
        <v>101213810</v>
      </c>
      <c r="L265" s="119">
        <v>33737936.666666664</v>
      </c>
      <c r="M265" s="119">
        <f t="shared" si="34"/>
        <v>1</v>
      </c>
      <c r="N265" s="119">
        <f t="shared" si="35"/>
        <v>33737936.666666657</v>
      </c>
      <c r="O265" s="120">
        <v>45414</v>
      </c>
      <c r="P265" s="120">
        <v>46508</v>
      </c>
      <c r="Q265" s="119">
        <v>2</v>
      </c>
      <c r="R265" s="121">
        <v>67475873.333333343</v>
      </c>
      <c r="S265" s="119">
        <v>0</v>
      </c>
      <c r="T265" s="121">
        <v>0</v>
      </c>
      <c r="U265" s="119">
        <v>1</v>
      </c>
      <c r="V265" s="121">
        <f t="shared" si="36"/>
        <v>33737936.666666664</v>
      </c>
      <c r="W265" s="119">
        <f t="shared" si="37"/>
        <v>1</v>
      </c>
      <c r="X265" s="121">
        <f t="shared" si="38"/>
        <v>33737936.666666679</v>
      </c>
      <c r="Y265" s="122" t="s">
        <v>2416</v>
      </c>
      <c r="Z265" s="123" t="s">
        <v>2407</v>
      </c>
      <c r="AA265" s="123" t="s">
        <v>2406</v>
      </c>
      <c r="AB265" s="123" t="s">
        <v>2372</v>
      </c>
      <c r="AC265" s="124" t="s">
        <v>12</v>
      </c>
      <c r="AD265" s="110">
        <f>COUNTIF('KK1. Movies'!AI:AI,'TK 15661.Bản quyền phim '!F265)</f>
        <v>1</v>
      </c>
      <c r="AE265" s="110">
        <f>COUNTIF('KK2. Series'!AM:AM,'TK 15661.Bản quyền phim '!F265)</f>
        <v>0</v>
      </c>
      <c r="AF265" s="110">
        <f>COUNTIF('KK3. Kids'!AF:AF,'TK 15661.Bản quyền phim '!F265)</f>
        <v>0</v>
      </c>
      <c r="AG265" s="110"/>
      <c r="AH265" s="110" t="str">
        <f t="shared" si="39"/>
        <v>OK</v>
      </c>
    </row>
    <row r="266" spans="1:34" ht="15.6" hidden="1" x14ac:dyDescent="0.3">
      <c r="A266" s="43"/>
      <c r="B266" s="108" t="s">
        <v>2757</v>
      </c>
      <c r="C266" s="94" t="s">
        <v>2493</v>
      </c>
      <c r="D266" s="94" t="s">
        <v>2690</v>
      </c>
      <c r="E266" s="94" t="s">
        <v>2689</v>
      </c>
      <c r="F266" s="94" t="s">
        <v>1512</v>
      </c>
      <c r="G266" s="94" t="s">
        <v>2417</v>
      </c>
      <c r="H266" s="119">
        <v>1</v>
      </c>
      <c r="I266" s="119">
        <v>3</v>
      </c>
      <c r="J266" s="119">
        <f t="shared" si="33"/>
        <v>3</v>
      </c>
      <c r="K266" s="119">
        <v>101213810</v>
      </c>
      <c r="L266" s="119">
        <v>33737936.666666664</v>
      </c>
      <c r="M266" s="119">
        <f t="shared" si="34"/>
        <v>1</v>
      </c>
      <c r="N266" s="119">
        <f t="shared" si="35"/>
        <v>33737936.666666657</v>
      </c>
      <c r="O266" s="120">
        <v>45436</v>
      </c>
      <c r="P266" s="120">
        <v>46530</v>
      </c>
      <c r="Q266" s="119">
        <v>2</v>
      </c>
      <c r="R266" s="121">
        <v>67475873.333333343</v>
      </c>
      <c r="S266" s="119">
        <v>0</v>
      </c>
      <c r="T266" s="121">
        <v>0</v>
      </c>
      <c r="U266" s="119">
        <v>1</v>
      </c>
      <c r="V266" s="121">
        <f t="shared" si="36"/>
        <v>33737936.666666664</v>
      </c>
      <c r="W266" s="119">
        <f t="shared" si="37"/>
        <v>1</v>
      </c>
      <c r="X266" s="121">
        <f t="shared" si="38"/>
        <v>33737936.666666679</v>
      </c>
      <c r="Y266" s="122" t="s">
        <v>2416</v>
      </c>
      <c r="Z266" s="123" t="s">
        <v>2407</v>
      </c>
      <c r="AA266" s="123" t="s">
        <v>2406</v>
      </c>
      <c r="AB266" s="123" t="s">
        <v>2372</v>
      </c>
      <c r="AC266" s="124" t="s">
        <v>12</v>
      </c>
      <c r="AD266" s="110">
        <f>COUNTIF('KK1. Movies'!AI:AI,'TK 15661.Bản quyền phim '!F266)</f>
        <v>1</v>
      </c>
      <c r="AE266" s="110">
        <f>COUNTIF('KK2. Series'!AM:AM,'TK 15661.Bản quyền phim '!F266)</f>
        <v>0</v>
      </c>
      <c r="AF266" s="110">
        <f>COUNTIF('KK3. Kids'!AF:AF,'TK 15661.Bản quyền phim '!F266)</f>
        <v>0</v>
      </c>
      <c r="AG266" s="110"/>
      <c r="AH266" s="110" t="str">
        <f t="shared" si="39"/>
        <v>OK</v>
      </c>
    </row>
    <row r="267" spans="1:34" ht="15.6" hidden="1" x14ac:dyDescent="0.3">
      <c r="A267" s="43"/>
      <c r="B267" s="108" t="s">
        <v>2756</v>
      </c>
      <c r="C267" s="94" t="s">
        <v>2493</v>
      </c>
      <c r="D267" s="94" t="s">
        <v>2690</v>
      </c>
      <c r="E267" s="94" t="s">
        <v>2689</v>
      </c>
      <c r="F267" s="94" t="s">
        <v>2230</v>
      </c>
      <c r="G267" s="94" t="s">
        <v>2417</v>
      </c>
      <c r="H267" s="119">
        <v>1</v>
      </c>
      <c r="I267" s="119">
        <v>3</v>
      </c>
      <c r="J267" s="119">
        <f t="shared" si="33"/>
        <v>3</v>
      </c>
      <c r="K267" s="119">
        <v>101213810</v>
      </c>
      <c r="L267" s="119">
        <v>33737936.666666664</v>
      </c>
      <c r="M267" s="119">
        <f t="shared" si="34"/>
        <v>1</v>
      </c>
      <c r="N267" s="119">
        <f t="shared" si="35"/>
        <v>33737936.666666657</v>
      </c>
      <c r="O267" s="120">
        <v>45429</v>
      </c>
      <c r="P267" s="120">
        <v>46523</v>
      </c>
      <c r="Q267" s="119">
        <v>2</v>
      </c>
      <c r="R267" s="121">
        <v>67475873.333333343</v>
      </c>
      <c r="S267" s="119">
        <v>0</v>
      </c>
      <c r="T267" s="121">
        <v>0</v>
      </c>
      <c r="U267" s="119">
        <v>1</v>
      </c>
      <c r="V267" s="121">
        <f t="shared" si="36"/>
        <v>33737936.666666664</v>
      </c>
      <c r="W267" s="119">
        <f t="shared" si="37"/>
        <v>1</v>
      </c>
      <c r="X267" s="121">
        <f t="shared" si="38"/>
        <v>33737936.666666679</v>
      </c>
      <c r="Y267" s="122" t="s">
        <v>2416</v>
      </c>
      <c r="Z267" s="123" t="s">
        <v>2407</v>
      </c>
      <c r="AA267" s="123" t="s">
        <v>2406</v>
      </c>
      <c r="AB267" s="123" t="s">
        <v>2372</v>
      </c>
      <c r="AC267" s="124" t="s">
        <v>12</v>
      </c>
      <c r="AD267" s="110">
        <f>COUNTIF('KK1. Movies'!AI:AI,'TK 15661.Bản quyền phim '!F267)</f>
        <v>1</v>
      </c>
      <c r="AE267" s="110">
        <f>COUNTIF('KK2. Series'!AM:AM,'TK 15661.Bản quyền phim '!F267)</f>
        <v>0</v>
      </c>
      <c r="AF267" s="110">
        <f>COUNTIF('KK3. Kids'!AF:AF,'TK 15661.Bản quyền phim '!F267)</f>
        <v>0</v>
      </c>
      <c r="AG267" s="110"/>
      <c r="AH267" s="110" t="str">
        <f t="shared" si="39"/>
        <v>OK</v>
      </c>
    </row>
    <row r="268" spans="1:34" ht="15.6" hidden="1" x14ac:dyDescent="0.3">
      <c r="A268" s="43"/>
      <c r="B268" s="108" t="s">
        <v>2755</v>
      </c>
      <c r="C268" s="94" t="s">
        <v>2493</v>
      </c>
      <c r="D268" s="94" t="s">
        <v>2690</v>
      </c>
      <c r="E268" s="94" t="s">
        <v>2689</v>
      </c>
      <c r="F268" s="94" t="s">
        <v>1956</v>
      </c>
      <c r="G268" s="94" t="s">
        <v>2417</v>
      </c>
      <c r="H268" s="119">
        <v>1</v>
      </c>
      <c r="I268" s="119">
        <v>3</v>
      </c>
      <c r="J268" s="119">
        <f t="shared" si="33"/>
        <v>3</v>
      </c>
      <c r="K268" s="119">
        <v>101213810</v>
      </c>
      <c r="L268" s="119">
        <v>33737936.666666664</v>
      </c>
      <c r="M268" s="119">
        <f t="shared" si="34"/>
        <v>1</v>
      </c>
      <c r="N268" s="119">
        <f t="shared" si="35"/>
        <v>33737936.666666657</v>
      </c>
      <c r="O268" s="120">
        <v>45415</v>
      </c>
      <c r="P268" s="120">
        <v>46509</v>
      </c>
      <c r="Q268" s="119">
        <v>2</v>
      </c>
      <c r="R268" s="121">
        <v>67475873.333333343</v>
      </c>
      <c r="S268" s="119">
        <v>0</v>
      </c>
      <c r="T268" s="121">
        <v>0</v>
      </c>
      <c r="U268" s="119">
        <v>1</v>
      </c>
      <c r="V268" s="121">
        <f t="shared" si="36"/>
        <v>33737936.666666664</v>
      </c>
      <c r="W268" s="119">
        <f t="shared" si="37"/>
        <v>1</v>
      </c>
      <c r="X268" s="121">
        <f t="shared" si="38"/>
        <v>33737936.666666679</v>
      </c>
      <c r="Y268" s="122" t="s">
        <v>2416</v>
      </c>
      <c r="Z268" s="123" t="s">
        <v>2407</v>
      </c>
      <c r="AA268" s="123" t="s">
        <v>2406</v>
      </c>
      <c r="AB268" s="123" t="s">
        <v>2372</v>
      </c>
      <c r="AC268" s="124" t="s">
        <v>12</v>
      </c>
      <c r="AD268" s="110">
        <f>COUNTIF('KK1. Movies'!AI:AI,'TK 15661.Bản quyền phim '!F268)</f>
        <v>1</v>
      </c>
      <c r="AE268" s="110">
        <f>COUNTIF('KK2. Series'!AM:AM,'TK 15661.Bản quyền phim '!F268)</f>
        <v>0</v>
      </c>
      <c r="AF268" s="110">
        <f>COUNTIF('KK3. Kids'!AF:AF,'TK 15661.Bản quyền phim '!F268)</f>
        <v>0</v>
      </c>
      <c r="AG268" s="110"/>
      <c r="AH268" s="110" t="str">
        <f t="shared" si="39"/>
        <v>OK</v>
      </c>
    </row>
    <row r="269" spans="1:34" ht="15.6" hidden="1" x14ac:dyDescent="0.3">
      <c r="A269" s="43"/>
      <c r="B269" s="108" t="s">
        <v>2754</v>
      </c>
      <c r="C269" s="94" t="s">
        <v>2493</v>
      </c>
      <c r="D269" s="94" t="s">
        <v>2690</v>
      </c>
      <c r="E269" s="94" t="s">
        <v>2689</v>
      </c>
      <c r="F269" s="94" t="s">
        <v>2317</v>
      </c>
      <c r="G269" s="94" t="s">
        <v>2417</v>
      </c>
      <c r="H269" s="119">
        <v>1</v>
      </c>
      <c r="I269" s="119">
        <v>3</v>
      </c>
      <c r="J269" s="119">
        <f t="shared" si="33"/>
        <v>3</v>
      </c>
      <c r="K269" s="119">
        <v>101213810</v>
      </c>
      <c r="L269" s="119">
        <v>33737936.666666664</v>
      </c>
      <c r="M269" s="119">
        <f t="shared" si="34"/>
        <v>1</v>
      </c>
      <c r="N269" s="119">
        <f t="shared" si="35"/>
        <v>33737936.666666657</v>
      </c>
      <c r="O269" s="120">
        <v>45443</v>
      </c>
      <c r="P269" s="120">
        <v>46537</v>
      </c>
      <c r="Q269" s="119">
        <v>2</v>
      </c>
      <c r="R269" s="121">
        <v>67475873.333333343</v>
      </c>
      <c r="S269" s="119">
        <v>0</v>
      </c>
      <c r="T269" s="121">
        <v>0</v>
      </c>
      <c r="U269" s="119">
        <v>1</v>
      </c>
      <c r="V269" s="121">
        <f t="shared" si="36"/>
        <v>33737936.666666664</v>
      </c>
      <c r="W269" s="119">
        <f t="shared" si="37"/>
        <v>1</v>
      </c>
      <c r="X269" s="121">
        <f t="shared" si="38"/>
        <v>33737936.666666679</v>
      </c>
      <c r="Y269" s="122" t="s">
        <v>2416</v>
      </c>
      <c r="Z269" s="123" t="s">
        <v>2407</v>
      </c>
      <c r="AA269" s="123" t="s">
        <v>2406</v>
      </c>
      <c r="AB269" s="123" t="s">
        <v>2372</v>
      </c>
      <c r="AC269" s="124" t="s">
        <v>12</v>
      </c>
      <c r="AD269" s="110">
        <f>COUNTIF('KK1. Movies'!AI:AI,'TK 15661.Bản quyền phim '!F269)</f>
        <v>1</v>
      </c>
      <c r="AE269" s="110">
        <f>COUNTIF('KK2. Series'!AM:AM,'TK 15661.Bản quyền phim '!F269)</f>
        <v>0</v>
      </c>
      <c r="AF269" s="110">
        <f>COUNTIF('KK3. Kids'!AF:AF,'TK 15661.Bản quyền phim '!F269)</f>
        <v>0</v>
      </c>
      <c r="AG269" s="110"/>
      <c r="AH269" s="110" t="str">
        <f t="shared" si="39"/>
        <v>OK</v>
      </c>
    </row>
    <row r="270" spans="1:34" hidden="1" x14ac:dyDescent="0.2">
      <c r="A270" s="43"/>
      <c r="B270" s="108" t="s">
        <v>2753</v>
      </c>
      <c r="C270" s="94" t="s">
        <v>2493</v>
      </c>
      <c r="D270" s="94" t="s">
        <v>2690</v>
      </c>
      <c r="E270" s="94" t="s">
        <v>2689</v>
      </c>
      <c r="F270" s="94" t="s">
        <v>2752</v>
      </c>
      <c r="G270" s="94" t="s">
        <v>2417</v>
      </c>
      <c r="H270" s="119">
        <v>1</v>
      </c>
      <c r="I270" s="119">
        <v>3</v>
      </c>
      <c r="J270" s="119">
        <f t="shared" si="33"/>
        <v>3</v>
      </c>
      <c r="K270" s="119">
        <v>0</v>
      </c>
      <c r="L270" s="119">
        <v>0</v>
      </c>
      <c r="M270" s="119">
        <f t="shared" si="34"/>
        <v>0</v>
      </c>
      <c r="N270" s="119">
        <f t="shared" si="35"/>
        <v>0</v>
      </c>
      <c r="O270" s="120">
        <v>45506</v>
      </c>
      <c r="P270" s="120">
        <v>46600</v>
      </c>
      <c r="Q270" s="119">
        <v>3</v>
      </c>
      <c r="R270" s="121">
        <v>0</v>
      </c>
      <c r="S270" s="119">
        <v>0</v>
      </c>
      <c r="T270" s="121">
        <v>0</v>
      </c>
      <c r="U270" s="119">
        <v>0</v>
      </c>
      <c r="V270" s="121">
        <f t="shared" si="36"/>
        <v>0</v>
      </c>
      <c r="W270" s="119">
        <f t="shared" si="37"/>
        <v>3</v>
      </c>
      <c r="X270" s="121">
        <f t="shared" si="38"/>
        <v>0</v>
      </c>
      <c r="Y270" s="122" t="s">
        <v>2416</v>
      </c>
      <c r="Z270" s="123" t="s">
        <v>2407</v>
      </c>
      <c r="AA270" s="123" t="s">
        <v>2406</v>
      </c>
      <c r="AB270" s="123" t="s">
        <v>2372</v>
      </c>
      <c r="AC270" s="123"/>
      <c r="AD270" s="110">
        <f>COUNTIF('KK1. Movies'!AI:AI,'TK 15661.Bản quyền phim '!F270)</f>
        <v>0</v>
      </c>
      <c r="AE270" s="110">
        <f>COUNTIF('KK2. Series'!AM:AM,'TK 15661.Bản quyền phim '!F270)</f>
        <v>0</v>
      </c>
      <c r="AF270" s="110">
        <f>COUNTIF('KK3. Kids'!AF:AF,'TK 15661.Bản quyền phim '!F270)</f>
        <v>0</v>
      </c>
      <c r="AG270" s="110"/>
      <c r="AH270" s="110">
        <f t="shared" si="39"/>
        <v>0</v>
      </c>
    </row>
    <row r="271" spans="1:34" hidden="1" x14ac:dyDescent="0.2">
      <c r="A271" s="43"/>
      <c r="B271" s="108" t="s">
        <v>2751</v>
      </c>
      <c r="C271" s="94" t="s">
        <v>2493</v>
      </c>
      <c r="D271" s="94" t="s">
        <v>2690</v>
      </c>
      <c r="E271" s="94" t="s">
        <v>2689</v>
      </c>
      <c r="F271" s="94" t="s">
        <v>2750</v>
      </c>
      <c r="G271" s="94" t="s">
        <v>2417</v>
      </c>
      <c r="H271" s="119">
        <v>1</v>
      </c>
      <c r="I271" s="119">
        <v>3</v>
      </c>
      <c r="J271" s="119">
        <f t="shared" si="33"/>
        <v>3</v>
      </c>
      <c r="K271" s="119">
        <v>0</v>
      </c>
      <c r="L271" s="119">
        <v>0</v>
      </c>
      <c r="M271" s="119">
        <f t="shared" si="34"/>
        <v>0</v>
      </c>
      <c r="N271" s="119">
        <f t="shared" si="35"/>
        <v>0</v>
      </c>
      <c r="O271" s="120">
        <v>45520</v>
      </c>
      <c r="P271" s="120">
        <v>46614</v>
      </c>
      <c r="Q271" s="119">
        <v>3</v>
      </c>
      <c r="R271" s="121">
        <v>0</v>
      </c>
      <c r="S271" s="119">
        <v>0</v>
      </c>
      <c r="T271" s="121">
        <v>0</v>
      </c>
      <c r="U271" s="119">
        <v>0</v>
      </c>
      <c r="V271" s="121">
        <f t="shared" si="36"/>
        <v>0</v>
      </c>
      <c r="W271" s="119">
        <f t="shared" si="37"/>
        <v>3</v>
      </c>
      <c r="X271" s="121">
        <f t="shared" si="38"/>
        <v>0</v>
      </c>
      <c r="Y271" s="122" t="s">
        <v>2416</v>
      </c>
      <c r="Z271" s="123" t="s">
        <v>2407</v>
      </c>
      <c r="AA271" s="123" t="s">
        <v>2406</v>
      </c>
      <c r="AB271" s="123" t="s">
        <v>2372</v>
      </c>
      <c r="AC271" s="123"/>
      <c r="AD271" s="110">
        <f>COUNTIF('KK1. Movies'!AI:AI,'TK 15661.Bản quyền phim '!F271)</f>
        <v>0</v>
      </c>
      <c r="AE271" s="110">
        <f>COUNTIF('KK2. Series'!AM:AM,'TK 15661.Bản quyền phim '!F271)</f>
        <v>0</v>
      </c>
      <c r="AF271" s="110">
        <f>COUNTIF('KK3. Kids'!AF:AF,'TK 15661.Bản quyền phim '!F271)</f>
        <v>0</v>
      </c>
      <c r="AG271" s="110"/>
      <c r="AH271" s="110">
        <f t="shared" si="39"/>
        <v>0</v>
      </c>
    </row>
    <row r="272" spans="1:34" hidden="1" x14ac:dyDescent="0.2">
      <c r="A272" s="43"/>
      <c r="B272" s="108" t="s">
        <v>2749</v>
      </c>
      <c r="C272" s="94" t="s">
        <v>2493</v>
      </c>
      <c r="D272" s="94" t="s">
        <v>2690</v>
      </c>
      <c r="E272" s="94" t="s">
        <v>2689</v>
      </c>
      <c r="F272" s="94" t="s">
        <v>2748</v>
      </c>
      <c r="G272" s="94" t="s">
        <v>2417</v>
      </c>
      <c r="H272" s="119">
        <v>1</v>
      </c>
      <c r="I272" s="119">
        <v>3</v>
      </c>
      <c r="J272" s="119">
        <f t="shared" si="33"/>
        <v>3</v>
      </c>
      <c r="K272" s="119">
        <v>0</v>
      </c>
      <c r="L272" s="119">
        <v>0</v>
      </c>
      <c r="M272" s="119">
        <f t="shared" si="34"/>
        <v>0</v>
      </c>
      <c r="N272" s="119">
        <f t="shared" si="35"/>
        <v>0</v>
      </c>
      <c r="O272" s="120">
        <v>45548</v>
      </c>
      <c r="P272" s="120">
        <v>46642</v>
      </c>
      <c r="Q272" s="119">
        <v>3</v>
      </c>
      <c r="R272" s="121">
        <v>0</v>
      </c>
      <c r="S272" s="119">
        <v>0</v>
      </c>
      <c r="T272" s="121">
        <v>0</v>
      </c>
      <c r="U272" s="119">
        <v>0</v>
      </c>
      <c r="V272" s="121">
        <f t="shared" si="36"/>
        <v>0</v>
      </c>
      <c r="W272" s="119">
        <f t="shared" si="37"/>
        <v>3</v>
      </c>
      <c r="X272" s="121">
        <f t="shared" si="38"/>
        <v>0</v>
      </c>
      <c r="Y272" s="122" t="s">
        <v>2416</v>
      </c>
      <c r="Z272" s="123" t="s">
        <v>2407</v>
      </c>
      <c r="AA272" s="123" t="s">
        <v>2406</v>
      </c>
      <c r="AB272" s="123" t="s">
        <v>2372</v>
      </c>
      <c r="AC272" s="123"/>
      <c r="AD272" s="110">
        <f>COUNTIF('KK1. Movies'!AI:AI,'TK 15661.Bản quyền phim '!F272)</f>
        <v>0</v>
      </c>
      <c r="AE272" s="110">
        <f>COUNTIF('KK2. Series'!AM:AM,'TK 15661.Bản quyền phim '!F272)</f>
        <v>0</v>
      </c>
      <c r="AF272" s="110">
        <f>COUNTIF('KK3. Kids'!AF:AF,'TK 15661.Bản quyền phim '!F272)</f>
        <v>0</v>
      </c>
      <c r="AG272" s="110"/>
      <c r="AH272" s="110">
        <f t="shared" si="39"/>
        <v>0</v>
      </c>
    </row>
    <row r="273" spans="1:34" hidden="1" x14ac:dyDescent="0.2">
      <c r="A273" s="43"/>
      <c r="B273" s="108" t="s">
        <v>2747</v>
      </c>
      <c r="C273" s="94" t="s">
        <v>2412</v>
      </c>
      <c r="D273" s="94" t="s">
        <v>2461</v>
      </c>
      <c r="E273" s="94" t="s">
        <v>2460</v>
      </c>
      <c r="F273" s="94" t="s">
        <v>2746</v>
      </c>
      <c r="G273" s="94" t="s">
        <v>2417</v>
      </c>
      <c r="H273" s="119">
        <v>1</v>
      </c>
      <c r="I273" s="119">
        <v>2</v>
      </c>
      <c r="J273" s="119">
        <f t="shared" si="33"/>
        <v>2</v>
      </c>
      <c r="K273" s="119">
        <v>76407000</v>
      </c>
      <c r="L273" s="119">
        <v>38203500</v>
      </c>
      <c r="M273" s="119">
        <f t="shared" si="34"/>
        <v>1</v>
      </c>
      <c r="N273" s="119">
        <f t="shared" si="35"/>
        <v>38203500</v>
      </c>
      <c r="O273" s="120">
        <v>45609</v>
      </c>
      <c r="P273" s="120">
        <v>46154</v>
      </c>
      <c r="Q273" s="119">
        <v>1</v>
      </c>
      <c r="R273" s="121">
        <v>38203500</v>
      </c>
      <c r="S273" s="119">
        <v>0</v>
      </c>
      <c r="T273" s="121">
        <v>0</v>
      </c>
      <c r="U273" s="119">
        <v>1</v>
      </c>
      <c r="V273" s="121">
        <f t="shared" si="36"/>
        <v>38203500</v>
      </c>
      <c r="W273" s="119">
        <f t="shared" si="37"/>
        <v>0</v>
      </c>
      <c r="X273" s="121">
        <f t="shared" si="38"/>
        <v>0</v>
      </c>
      <c r="Y273" s="122" t="s">
        <v>2416</v>
      </c>
      <c r="Z273" s="123" t="s">
        <v>2407</v>
      </c>
      <c r="AA273" s="123" t="s">
        <v>2406</v>
      </c>
      <c r="AB273" s="123" t="s">
        <v>2372</v>
      </c>
      <c r="AC273" s="123"/>
      <c r="AD273" s="110">
        <f>COUNTIF('KK1. Movies'!AI:AI,'TK 15661.Bản quyền phim '!F273)</f>
        <v>0</v>
      </c>
      <c r="AE273" s="110">
        <f>COUNTIF('KK2. Series'!AM:AM,'TK 15661.Bản quyền phim '!F273)</f>
        <v>0</v>
      </c>
      <c r="AF273" s="110">
        <f>COUNTIF('KK3. Kids'!AF:AF,'TK 15661.Bản quyền phim '!F273)</f>
        <v>0</v>
      </c>
      <c r="AG273" s="110"/>
      <c r="AH273" s="110">
        <f t="shared" si="39"/>
        <v>0</v>
      </c>
    </row>
    <row r="274" spans="1:34" hidden="1" x14ac:dyDescent="0.2">
      <c r="A274" s="43"/>
      <c r="B274" s="108" t="s">
        <v>2745</v>
      </c>
      <c r="C274" s="94" t="s">
        <v>2412</v>
      </c>
      <c r="D274" s="94" t="s">
        <v>2461</v>
      </c>
      <c r="E274" s="94" t="s">
        <v>2460</v>
      </c>
      <c r="F274" s="94" t="s">
        <v>2744</v>
      </c>
      <c r="G274" s="94" t="s">
        <v>2417</v>
      </c>
      <c r="H274" s="119">
        <v>1</v>
      </c>
      <c r="I274" s="119">
        <v>2</v>
      </c>
      <c r="J274" s="119">
        <f t="shared" si="33"/>
        <v>2</v>
      </c>
      <c r="K274" s="119">
        <v>76407000</v>
      </c>
      <c r="L274" s="119">
        <v>38203500</v>
      </c>
      <c r="M274" s="119">
        <f t="shared" si="34"/>
        <v>1</v>
      </c>
      <c r="N274" s="119">
        <f t="shared" si="35"/>
        <v>38203500</v>
      </c>
      <c r="O274" s="120">
        <v>45609</v>
      </c>
      <c r="P274" s="120">
        <v>46154</v>
      </c>
      <c r="Q274" s="119">
        <v>1</v>
      </c>
      <c r="R274" s="121">
        <v>38203500</v>
      </c>
      <c r="S274" s="119">
        <v>0</v>
      </c>
      <c r="T274" s="121">
        <v>0</v>
      </c>
      <c r="U274" s="119">
        <v>1</v>
      </c>
      <c r="V274" s="121">
        <f t="shared" si="36"/>
        <v>38203500</v>
      </c>
      <c r="W274" s="119">
        <f t="shared" si="37"/>
        <v>0</v>
      </c>
      <c r="X274" s="121">
        <f t="shared" si="38"/>
        <v>0</v>
      </c>
      <c r="Y274" s="122" t="s">
        <v>2416</v>
      </c>
      <c r="Z274" s="123" t="s">
        <v>2407</v>
      </c>
      <c r="AA274" s="123" t="s">
        <v>2406</v>
      </c>
      <c r="AB274" s="123" t="s">
        <v>2372</v>
      </c>
      <c r="AC274" s="123"/>
      <c r="AD274" s="110">
        <f>COUNTIF('KK1. Movies'!AI:AI,'TK 15661.Bản quyền phim '!F274)</f>
        <v>0</v>
      </c>
      <c r="AE274" s="110">
        <f>COUNTIF('KK2. Series'!AM:AM,'TK 15661.Bản quyền phim '!F274)</f>
        <v>0</v>
      </c>
      <c r="AF274" s="110">
        <f>COUNTIF('KK3. Kids'!AF:AF,'TK 15661.Bản quyền phim '!F274)</f>
        <v>0</v>
      </c>
      <c r="AG274" s="110"/>
      <c r="AH274" s="110">
        <f t="shared" si="39"/>
        <v>0</v>
      </c>
    </row>
    <row r="275" spans="1:34" hidden="1" x14ac:dyDescent="0.2">
      <c r="A275" s="43"/>
      <c r="B275" s="108" t="s">
        <v>2743</v>
      </c>
      <c r="C275" s="94" t="s">
        <v>2412</v>
      </c>
      <c r="D275" s="94" t="s">
        <v>2461</v>
      </c>
      <c r="E275" s="94" t="s">
        <v>2460</v>
      </c>
      <c r="F275" s="94" t="s">
        <v>2742</v>
      </c>
      <c r="G275" s="94" t="s">
        <v>2417</v>
      </c>
      <c r="H275" s="119">
        <v>1</v>
      </c>
      <c r="I275" s="119">
        <v>2</v>
      </c>
      <c r="J275" s="119">
        <f t="shared" si="33"/>
        <v>2</v>
      </c>
      <c r="K275" s="119">
        <v>76407000</v>
      </c>
      <c r="L275" s="119">
        <v>38203500</v>
      </c>
      <c r="M275" s="119">
        <f t="shared" si="34"/>
        <v>1</v>
      </c>
      <c r="N275" s="119">
        <f t="shared" si="35"/>
        <v>38203500</v>
      </c>
      <c r="O275" s="120">
        <v>45569</v>
      </c>
      <c r="P275" s="120">
        <v>46115</v>
      </c>
      <c r="Q275" s="119">
        <v>1</v>
      </c>
      <c r="R275" s="121">
        <v>38203500</v>
      </c>
      <c r="S275" s="119">
        <v>0</v>
      </c>
      <c r="T275" s="121">
        <v>0</v>
      </c>
      <c r="U275" s="119">
        <v>1</v>
      </c>
      <c r="V275" s="121">
        <f t="shared" si="36"/>
        <v>38203500</v>
      </c>
      <c r="W275" s="119">
        <f t="shared" si="37"/>
        <v>0</v>
      </c>
      <c r="X275" s="121">
        <f t="shared" si="38"/>
        <v>0</v>
      </c>
      <c r="Y275" s="122" t="s">
        <v>2416</v>
      </c>
      <c r="Z275" s="123" t="s">
        <v>2407</v>
      </c>
      <c r="AA275" s="123" t="s">
        <v>2406</v>
      </c>
      <c r="AB275" s="123" t="s">
        <v>2372</v>
      </c>
      <c r="AC275" s="123"/>
      <c r="AD275" s="110">
        <f>COUNTIF('KK1. Movies'!AI:AI,'TK 15661.Bản quyền phim '!F275)</f>
        <v>0</v>
      </c>
      <c r="AE275" s="110">
        <f>COUNTIF('KK2. Series'!AM:AM,'TK 15661.Bản quyền phim '!F275)</f>
        <v>0</v>
      </c>
      <c r="AF275" s="110">
        <f>COUNTIF('KK3. Kids'!AF:AF,'TK 15661.Bản quyền phim '!F275)</f>
        <v>0</v>
      </c>
      <c r="AG275" s="110"/>
      <c r="AH275" s="110">
        <f t="shared" si="39"/>
        <v>0</v>
      </c>
    </row>
    <row r="276" spans="1:34" hidden="1" x14ac:dyDescent="0.2">
      <c r="A276" s="43"/>
      <c r="B276" s="108" t="s">
        <v>2741</v>
      </c>
      <c r="C276" s="94" t="s">
        <v>2412</v>
      </c>
      <c r="D276" s="94" t="s">
        <v>2461</v>
      </c>
      <c r="E276" s="94" t="s">
        <v>2460</v>
      </c>
      <c r="F276" s="94" t="s">
        <v>2740</v>
      </c>
      <c r="G276" s="94" t="s">
        <v>2417</v>
      </c>
      <c r="H276" s="119">
        <v>1</v>
      </c>
      <c r="I276" s="119">
        <v>2</v>
      </c>
      <c r="J276" s="119">
        <f t="shared" si="33"/>
        <v>2</v>
      </c>
      <c r="K276" s="119">
        <v>89141500</v>
      </c>
      <c r="L276" s="119">
        <v>44570750</v>
      </c>
      <c r="M276" s="119">
        <f t="shared" si="34"/>
        <v>1</v>
      </c>
      <c r="N276" s="119">
        <f t="shared" si="35"/>
        <v>44570750</v>
      </c>
      <c r="O276" s="120">
        <v>45597</v>
      </c>
      <c r="P276" s="120">
        <v>46142</v>
      </c>
      <c r="Q276" s="119">
        <v>1</v>
      </c>
      <c r="R276" s="121">
        <v>44570750</v>
      </c>
      <c r="S276" s="119">
        <v>0</v>
      </c>
      <c r="T276" s="121">
        <v>0</v>
      </c>
      <c r="U276" s="119">
        <v>1</v>
      </c>
      <c r="V276" s="121">
        <f t="shared" si="36"/>
        <v>44570750</v>
      </c>
      <c r="W276" s="119">
        <f t="shared" si="37"/>
        <v>0</v>
      </c>
      <c r="X276" s="121">
        <f t="shared" si="38"/>
        <v>0</v>
      </c>
      <c r="Y276" s="122" t="s">
        <v>2416</v>
      </c>
      <c r="Z276" s="123" t="s">
        <v>2407</v>
      </c>
      <c r="AA276" s="123" t="s">
        <v>2406</v>
      </c>
      <c r="AB276" s="123" t="s">
        <v>2372</v>
      </c>
      <c r="AC276" s="123"/>
      <c r="AD276" s="110">
        <f>COUNTIF('KK1. Movies'!AI:AI,'TK 15661.Bản quyền phim '!F276)</f>
        <v>0</v>
      </c>
      <c r="AE276" s="110">
        <f>COUNTIF('KK2. Series'!AM:AM,'TK 15661.Bản quyền phim '!F276)</f>
        <v>0</v>
      </c>
      <c r="AF276" s="110">
        <f>COUNTIF('KK3. Kids'!AF:AF,'TK 15661.Bản quyền phim '!F276)</f>
        <v>0</v>
      </c>
      <c r="AG276" s="110"/>
      <c r="AH276" s="110">
        <f t="shared" si="39"/>
        <v>0</v>
      </c>
    </row>
    <row r="277" spans="1:34" hidden="1" x14ac:dyDescent="0.2">
      <c r="A277" s="43"/>
      <c r="B277" s="108" t="s">
        <v>2739</v>
      </c>
      <c r="C277" s="94" t="s">
        <v>2412</v>
      </c>
      <c r="D277" s="94" t="s">
        <v>2461</v>
      </c>
      <c r="E277" s="94" t="s">
        <v>2460</v>
      </c>
      <c r="F277" s="94" t="s">
        <v>2738</v>
      </c>
      <c r="G277" s="94" t="s">
        <v>2417</v>
      </c>
      <c r="H277" s="119">
        <v>1</v>
      </c>
      <c r="I277" s="119">
        <v>2</v>
      </c>
      <c r="J277" s="119">
        <f t="shared" si="33"/>
        <v>2</v>
      </c>
      <c r="K277" s="119">
        <v>89141500</v>
      </c>
      <c r="L277" s="119">
        <v>44570750</v>
      </c>
      <c r="M277" s="119">
        <f t="shared" si="34"/>
        <v>1</v>
      </c>
      <c r="N277" s="119">
        <f t="shared" si="35"/>
        <v>44570750</v>
      </c>
      <c r="O277" s="120">
        <v>45597</v>
      </c>
      <c r="P277" s="120">
        <v>46142</v>
      </c>
      <c r="Q277" s="119">
        <v>1</v>
      </c>
      <c r="R277" s="121">
        <v>44570750</v>
      </c>
      <c r="S277" s="119">
        <v>0</v>
      </c>
      <c r="T277" s="121">
        <v>0</v>
      </c>
      <c r="U277" s="119">
        <v>1</v>
      </c>
      <c r="V277" s="121">
        <f t="shared" si="36"/>
        <v>44570750</v>
      </c>
      <c r="W277" s="119">
        <f t="shared" si="37"/>
        <v>0</v>
      </c>
      <c r="X277" s="121">
        <f t="shared" si="38"/>
        <v>0</v>
      </c>
      <c r="Y277" s="122" t="s">
        <v>2416</v>
      </c>
      <c r="Z277" s="123" t="s">
        <v>2407</v>
      </c>
      <c r="AA277" s="123" t="s">
        <v>2406</v>
      </c>
      <c r="AB277" s="123" t="s">
        <v>2372</v>
      </c>
      <c r="AC277" s="123"/>
      <c r="AD277" s="110">
        <f>COUNTIF('KK1. Movies'!AI:AI,'TK 15661.Bản quyền phim '!F277)</f>
        <v>0</v>
      </c>
      <c r="AE277" s="110">
        <f>COUNTIF('KK2. Series'!AM:AM,'TK 15661.Bản quyền phim '!F277)</f>
        <v>0</v>
      </c>
      <c r="AF277" s="110">
        <f>COUNTIF('KK3. Kids'!AF:AF,'TK 15661.Bản quyền phim '!F277)</f>
        <v>0</v>
      </c>
      <c r="AG277" s="110"/>
      <c r="AH277" s="110">
        <f t="shared" si="39"/>
        <v>0</v>
      </c>
    </row>
    <row r="278" spans="1:34" hidden="1" x14ac:dyDescent="0.2">
      <c r="A278" s="43"/>
      <c r="B278" s="108" t="s">
        <v>2737</v>
      </c>
      <c r="C278" s="94" t="s">
        <v>2412</v>
      </c>
      <c r="D278" s="94" t="s">
        <v>2461</v>
      </c>
      <c r="E278" s="94" t="s">
        <v>2460</v>
      </c>
      <c r="F278" s="94" t="s">
        <v>2736</v>
      </c>
      <c r="G278" s="94" t="s">
        <v>2417</v>
      </c>
      <c r="H278" s="119">
        <v>1</v>
      </c>
      <c r="I278" s="119">
        <v>2</v>
      </c>
      <c r="J278" s="119">
        <f t="shared" si="33"/>
        <v>2</v>
      </c>
      <c r="K278" s="119">
        <v>89141500</v>
      </c>
      <c r="L278" s="119">
        <v>44570750</v>
      </c>
      <c r="M278" s="119">
        <f t="shared" si="34"/>
        <v>1</v>
      </c>
      <c r="N278" s="119">
        <f t="shared" si="35"/>
        <v>44570750</v>
      </c>
      <c r="O278" s="120">
        <v>45597</v>
      </c>
      <c r="P278" s="120">
        <v>46142</v>
      </c>
      <c r="Q278" s="119">
        <v>1</v>
      </c>
      <c r="R278" s="121">
        <v>44570750</v>
      </c>
      <c r="S278" s="119">
        <v>0</v>
      </c>
      <c r="T278" s="121">
        <v>0</v>
      </c>
      <c r="U278" s="119">
        <v>1</v>
      </c>
      <c r="V278" s="121">
        <f t="shared" si="36"/>
        <v>44570750</v>
      </c>
      <c r="W278" s="119">
        <f t="shared" si="37"/>
        <v>0</v>
      </c>
      <c r="X278" s="121">
        <f t="shared" si="38"/>
        <v>0</v>
      </c>
      <c r="Y278" s="122" t="s">
        <v>2416</v>
      </c>
      <c r="Z278" s="123" t="s">
        <v>2407</v>
      </c>
      <c r="AA278" s="123" t="s">
        <v>2406</v>
      </c>
      <c r="AB278" s="123" t="s">
        <v>2372</v>
      </c>
      <c r="AC278" s="123"/>
      <c r="AD278" s="110">
        <f>COUNTIF('KK1. Movies'!AI:AI,'TK 15661.Bản quyền phim '!F278)</f>
        <v>0</v>
      </c>
      <c r="AE278" s="110">
        <f>COUNTIF('KK2. Series'!AM:AM,'TK 15661.Bản quyền phim '!F278)</f>
        <v>0</v>
      </c>
      <c r="AF278" s="110">
        <f>COUNTIF('KK3. Kids'!AF:AF,'TK 15661.Bản quyền phim '!F278)</f>
        <v>0</v>
      </c>
      <c r="AG278" s="110"/>
      <c r="AH278" s="110">
        <f t="shared" si="39"/>
        <v>0</v>
      </c>
    </row>
    <row r="279" spans="1:34" hidden="1" x14ac:dyDescent="0.2">
      <c r="A279" s="43"/>
      <c r="B279" s="108" t="s">
        <v>2735</v>
      </c>
      <c r="C279" s="94" t="s">
        <v>2412</v>
      </c>
      <c r="D279" s="94" t="s">
        <v>2461</v>
      </c>
      <c r="E279" s="94" t="s">
        <v>2460</v>
      </c>
      <c r="F279" s="94" t="s">
        <v>2734</v>
      </c>
      <c r="G279" s="94" t="s">
        <v>2417</v>
      </c>
      <c r="H279" s="119">
        <v>1</v>
      </c>
      <c r="I279" s="119">
        <v>2</v>
      </c>
      <c r="J279" s="119">
        <f t="shared" si="33"/>
        <v>2</v>
      </c>
      <c r="K279" s="119">
        <v>89141500</v>
      </c>
      <c r="L279" s="119">
        <v>44570750</v>
      </c>
      <c r="M279" s="119">
        <f t="shared" si="34"/>
        <v>1</v>
      </c>
      <c r="N279" s="119">
        <f t="shared" si="35"/>
        <v>44570750</v>
      </c>
      <c r="O279" s="120">
        <v>45597</v>
      </c>
      <c r="P279" s="120">
        <v>46142</v>
      </c>
      <c r="Q279" s="119">
        <v>1</v>
      </c>
      <c r="R279" s="121">
        <v>44570750</v>
      </c>
      <c r="S279" s="119">
        <v>0</v>
      </c>
      <c r="T279" s="121">
        <v>0</v>
      </c>
      <c r="U279" s="119">
        <v>1</v>
      </c>
      <c r="V279" s="121">
        <f t="shared" si="36"/>
        <v>44570750</v>
      </c>
      <c r="W279" s="119">
        <f t="shared" si="37"/>
        <v>0</v>
      </c>
      <c r="X279" s="121">
        <f t="shared" si="38"/>
        <v>0</v>
      </c>
      <c r="Y279" s="122" t="s">
        <v>2416</v>
      </c>
      <c r="Z279" s="123" t="s">
        <v>2407</v>
      </c>
      <c r="AA279" s="123" t="s">
        <v>2406</v>
      </c>
      <c r="AB279" s="123" t="s">
        <v>2372</v>
      </c>
      <c r="AC279" s="123"/>
      <c r="AD279" s="110">
        <f>COUNTIF('KK1. Movies'!AI:AI,'TK 15661.Bản quyền phim '!F279)</f>
        <v>0</v>
      </c>
      <c r="AE279" s="110">
        <f>COUNTIF('KK2. Series'!AM:AM,'TK 15661.Bản quyền phim '!F279)</f>
        <v>0</v>
      </c>
      <c r="AF279" s="110">
        <f>COUNTIF('KK3. Kids'!AF:AF,'TK 15661.Bản quyền phim '!F279)</f>
        <v>0</v>
      </c>
      <c r="AG279" s="110"/>
      <c r="AH279" s="110">
        <f t="shared" si="39"/>
        <v>0</v>
      </c>
    </row>
    <row r="280" spans="1:34" hidden="1" x14ac:dyDescent="0.2">
      <c r="A280" s="43"/>
      <c r="B280" s="108" t="s">
        <v>2733</v>
      </c>
      <c r="C280" s="94" t="s">
        <v>2412</v>
      </c>
      <c r="D280" s="94" t="s">
        <v>2461</v>
      </c>
      <c r="E280" s="94" t="s">
        <v>2460</v>
      </c>
      <c r="F280" s="94" t="s">
        <v>2732</v>
      </c>
      <c r="G280" s="94" t="s">
        <v>2417</v>
      </c>
      <c r="H280" s="119">
        <v>1</v>
      </c>
      <c r="I280" s="119">
        <v>2</v>
      </c>
      <c r="J280" s="119">
        <f t="shared" si="33"/>
        <v>2</v>
      </c>
      <c r="K280" s="119">
        <v>89141500</v>
      </c>
      <c r="L280" s="119">
        <v>44570750</v>
      </c>
      <c r="M280" s="119">
        <f t="shared" si="34"/>
        <v>1</v>
      </c>
      <c r="N280" s="119">
        <f t="shared" si="35"/>
        <v>44570750</v>
      </c>
      <c r="O280" s="120">
        <v>45597</v>
      </c>
      <c r="P280" s="120">
        <v>46142</v>
      </c>
      <c r="Q280" s="119">
        <v>1</v>
      </c>
      <c r="R280" s="121">
        <v>44570750</v>
      </c>
      <c r="S280" s="119">
        <v>0</v>
      </c>
      <c r="T280" s="121">
        <v>0</v>
      </c>
      <c r="U280" s="119">
        <v>1</v>
      </c>
      <c r="V280" s="121">
        <f t="shared" si="36"/>
        <v>44570750</v>
      </c>
      <c r="W280" s="119">
        <f t="shared" si="37"/>
        <v>0</v>
      </c>
      <c r="X280" s="121">
        <f t="shared" si="38"/>
        <v>0</v>
      </c>
      <c r="Y280" s="122" t="s">
        <v>2416</v>
      </c>
      <c r="Z280" s="123" t="s">
        <v>2407</v>
      </c>
      <c r="AA280" s="123" t="s">
        <v>2406</v>
      </c>
      <c r="AB280" s="123" t="s">
        <v>2372</v>
      </c>
      <c r="AC280" s="123"/>
      <c r="AD280" s="110">
        <f>COUNTIF('KK1. Movies'!AI:AI,'TK 15661.Bản quyền phim '!F280)</f>
        <v>0</v>
      </c>
      <c r="AE280" s="110">
        <f>COUNTIF('KK2. Series'!AM:AM,'TK 15661.Bản quyền phim '!F280)</f>
        <v>0</v>
      </c>
      <c r="AF280" s="110">
        <f>COUNTIF('KK3. Kids'!AF:AF,'TK 15661.Bản quyền phim '!F280)</f>
        <v>0</v>
      </c>
      <c r="AG280" s="110"/>
      <c r="AH280" s="110">
        <f t="shared" si="39"/>
        <v>0</v>
      </c>
    </row>
    <row r="281" spans="1:34" hidden="1" x14ac:dyDescent="0.2">
      <c r="A281" s="43"/>
      <c r="B281" s="108" t="s">
        <v>2731</v>
      </c>
      <c r="C281" s="94" t="s">
        <v>2412</v>
      </c>
      <c r="D281" s="94" t="s">
        <v>2461</v>
      </c>
      <c r="E281" s="94" t="s">
        <v>2460</v>
      </c>
      <c r="F281" s="94" t="s">
        <v>2730</v>
      </c>
      <c r="G281" s="94" t="s">
        <v>2417</v>
      </c>
      <c r="H281" s="119">
        <v>1</v>
      </c>
      <c r="I281" s="119">
        <v>2</v>
      </c>
      <c r="J281" s="119">
        <f t="shared" si="33"/>
        <v>2</v>
      </c>
      <c r="K281" s="119">
        <v>76407000</v>
      </c>
      <c r="L281" s="119">
        <v>38203500</v>
      </c>
      <c r="M281" s="119">
        <f t="shared" si="34"/>
        <v>1</v>
      </c>
      <c r="N281" s="119">
        <f t="shared" si="35"/>
        <v>38203500</v>
      </c>
      <c r="O281" s="120">
        <v>45569</v>
      </c>
      <c r="P281" s="120">
        <v>46115</v>
      </c>
      <c r="Q281" s="119">
        <v>1</v>
      </c>
      <c r="R281" s="121">
        <v>38203500</v>
      </c>
      <c r="S281" s="119">
        <v>0</v>
      </c>
      <c r="T281" s="121">
        <v>0</v>
      </c>
      <c r="U281" s="119">
        <v>1</v>
      </c>
      <c r="V281" s="121">
        <f t="shared" si="36"/>
        <v>38203500</v>
      </c>
      <c r="W281" s="119">
        <f t="shared" si="37"/>
        <v>0</v>
      </c>
      <c r="X281" s="121">
        <f t="shared" si="38"/>
        <v>0</v>
      </c>
      <c r="Y281" s="122" t="s">
        <v>2416</v>
      </c>
      <c r="Z281" s="123" t="s">
        <v>2407</v>
      </c>
      <c r="AA281" s="123" t="s">
        <v>2406</v>
      </c>
      <c r="AB281" s="123" t="s">
        <v>2372</v>
      </c>
      <c r="AC281" s="123"/>
      <c r="AD281" s="110">
        <f>COUNTIF('KK1. Movies'!AI:AI,'TK 15661.Bản quyền phim '!F281)</f>
        <v>0</v>
      </c>
      <c r="AE281" s="110">
        <f>COUNTIF('KK2. Series'!AM:AM,'TK 15661.Bản quyền phim '!F281)</f>
        <v>0</v>
      </c>
      <c r="AF281" s="110">
        <f>COUNTIF('KK3. Kids'!AF:AF,'TK 15661.Bản quyền phim '!F281)</f>
        <v>0</v>
      </c>
      <c r="AG281" s="110"/>
      <c r="AH281" s="110">
        <f t="shared" si="39"/>
        <v>0</v>
      </c>
    </row>
    <row r="282" spans="1:34" hidden="1" x14ac:dyDescent="0.2">
      <c r="A282" s="43"/>
      <c r="B282" s="108" t="s">
        <v>2729</v>
      </c>
      <c r="C282" s="94" t="s">
        <v>2412</v>
      </c>
      <c r="D282" s="94" t="s">
        <v>2461</v>
      </c>
      <c r="E282" s="94" t="s">
        <v>2460</v>
      </c>
      <c r="F282" s="94" t="s">
        <v>2728</v>
      </c>
      <c r="G282" s="94" t="s">
        <v>2417</v>
      </c>
      <c r="H282" s="119">
        <v>1</v>
      </c>
      <c r="I282" s="119">
        <v>2</v>
      </c>
      <c r="J282" s="119">
        <f t="shared" si="33"/>
        <v>2</v>
      </c>
      <c r="K282" s="119">
        <v>89141500</v>
      </c>
      <c r="L282" s="119">
        <v>44570750</v>
      </c>
      <c r="M282" s="119">
        <f t="shared" si="34"/>
        <v>1</v>
      </c>
      <c r="N282" s="119">
        <f t="shared" si="35"/>
        <v>44570750</v>
      </c>
      <c r="O282" s="120">
        <v>45583</v>
      </c>
      <c r="P282" s="120">
        <v>46129</v>
      </c>
      <c r="Q282" s="119">
        <v>1</v>
      </c>
      <c r="R282" s="121">
        <v>44570750</v>
      </c>
      <c r="S282" s="119">
        <v>0</v>
      </c>
      <c r="T282" s="121">
        <v>0</v>
      </c>
      <c r="U282" s="119">
        <v>1</v>
      </c>
      <c r="V282" s="121">
        <f t="shared" si="36"/>
        <v>44570750</v>
      </c>
      <c r="W282" s="119">
        <f t="shared" si="37"/>
        <v>0</v>
      </c>
      <c r="X282" s="121">
        <f t="shared" si="38"/>
        <v>0</v>
      </c>
      <c r="Y282" s="122" t="s">
        <v>2416</v>
      </c>
      <c r="Z282" s="123" t="s">
        <v>2407</v>
      </c>
      <c r="AA282" s="123" t="s">
        <v>2406</v>
      </c>
      <c r="AB282" s="123" t="s">
        <v>2372</v>
      </c>
      <c r="AC282" s="123"/>
      <c r="AD282" s="110">
        <f>COUNTIF('KK1. Movies'!AI:AI,'TK 15661.Bản quyền phim '!F282)</f>
        <v>0</v>
      </c>
      <c r="AE282" s="110">
        <f>COUNTIF('KK2. Series'!AM:AM,'TK 15661.Bản quyền phim '!F282)</f>
        <v>0</v>
      </c>
      <c r="AF282" s="110">
        <f>COUNTIF('KK3. Kids'!AF:AF,'TK 15661.Bản quyền phim '!F282)</f>
        <v>0</v>
      </c>
      <c r="AG282" s="110"/>
      <c r="AH282" s="110">
        <f t="shared" si="39"/>
        <v>0</v>
      </c>
    </row>
    <row r="283" spans="1:34" hidden="1" x14ac:dyDescent="0.2">
      <c r="A283" s="47">
        <f t="shared" ref="A283:A293" si="40">(U283-H283)*L283</f>
        <v>0</v>
      </c>
      <c r="B283" s="108" t="s">
        <v>2727</v>
      </c>
      <c r="C283" s="94" t="s">
        <v>2412</v>
      </c>
      <c r="D283" s="94" t="s">
        <v>2724</v>
      </c>
      <c r="E283" s="94" t="s">
        <v>2723</v>
      </c>
      <c r="F283" s="94" t="s">
        <v>183</v>
      </c>
      <c r="G283" s="94" t="s">
        <v>2409</v>
      </c>
      <c r="H283" s="119">
        <v>26</v>
      </c>
      <c r="I283" s="119">
        <v>3</v>
      </c>
      <c r="J283" s="119">
        <f t="shared" si="33"/>
        <v>78</v>
      </c>
      <c r="K283" s="119">
        <v>110058200</v>
      </c>
      <c r="L283" s="119">
        <v>1411002.564102564</v>
      </c>
      <c r="M283" s="119">
        <f t="shared" si="34"/>
        <v>26</v>
      </c>
      <c r="N283" s="119">
        <f t="shared" si="35"/>
        <v>36686066.666666657</v>
      </c>
      <c r="O283" s="120">
        <v>45465</v>
      </c>
      <c r="P283" s="120">
        <v>46559</v>
      </c>
      <c r="Q283" s="119">
        <v>52</v>
      </c>
      <c r="R283" s="121">
        <v>73372133.333333343</v>
      </c>
      <c r="S283" s="119">
        <v>0</v>
      </c>
      <c r="T283" s="121">
        <v>0</v>
      </c>
      <c r="U283" s="119">
        <v>26</v>
      </c>
      <c r="V283" s="121">
        <f t="shared" si="36"/>
        <v>36686066.666666664</v>
      </c>
      <c r="W283" s="119">
        <f t="shared" si="37"/>
        <v>26</v>
      </c>
      <c r="X283" s="121">
        <f t="shared" si="38"/>
        <v>36686066.666666679</v>
      </c>
      <c r="Y283" s="122" t="s">
        <v>2408</v>
      </c>
      <c r="Z283" s="123" t="s">
        <v>2407</v>
      </c>
      <c r="AA283" s="123" t="s">
        <v>2406</v>
      </c>
      <c r="AB283" s="123" t="s">
        <v>2372</v>
      </c>
      <c r="AC283" s="123" t="s">
        <v>8</v>
      </c>
      <c r="AD283" s="110">
        <f>COUNTIF('KK1. Movies'!AI:AI,'TK 15661.Bản quyền phim '!F283)</f>
        <v>0</v>
      </c>
      <c r="AE283" s="110">
        <f>COUNTIF('KK2. Series'!AM:AM,'TK 15661.Bản quyền phim '!F283)</f>
        <v>0</v>
      </c>
      <c r="AF283" s="110">
        <f>COUNTIF('KK3. Kids'!AF:AF,'TK 15661.Bản quyền phim '!F283)</f>
        <v>1</v>
      </c>
      <c r="AG283" s="110"/>
      <c r="AH283" s="110" t="str">
        <f t="shared" si="39"/>
        <v>OK</v>
      </c>
    </row>
    <row r="284" spans="1:34" hidden="1" x14ac:dyDescent="0.2">
      <c r="A284" s="47">
        <f t="shared" si="40"/>
        <v>0</v>
      </c>
      <c r="B284" s="108" t="s">
        <v>2726</v>
      </c>
      <c r="C284" s="94" t="s">
        <v>2412</v>
      </c>
      <c r="D284" s="94" t="s">
        <v>2724</v>
      </c>
      <c r="E284" s="94" t="s">
        <v>2723</v>
      </c>
      <c r="F284" s="94" t="s">
        <v>182</v>
      </c>
      <c r="G284" s="94" t="s">
        <v>2409</v>
      </c>
      <c r="H284" s="119">
        <v>26</v>
      </c>
      <c r="I284" s="119">
        <v>3</v>
      </c>
      <c r="J284" s="119">
        <f t="shared" si="33"/>
        <v>78</v>
      </c>
      <c r="K284" s="119">
        <v>110058200</v>
      </c>
      <c r="L284" s="119">
        <v>1411002.564102564</v>
      </c>
      <c r="M284" s="119">
        <f t="shared" si="34"/>
        <v>26</v>
      </c>
      <c r="N284" s="119">
        <f t="shared" si="35"/>
        <v>36686066.666666657</v>
      </c>
      <c r="O284" s="120">
        <v>45465</v>
      </c>
      <c r="P284" s="120">
        <v>46559</v>
      </c>
      <c r="Q284" s="119">
        <v>52</v>
      </c>
      <c r="R284" s="121">
        <v>73372133.333333343</v>
      </c>
      <c r="S284" s="119">
        <v>0</v>
      </c>
      <c r="T284" s="121">
        <v>0</v>
      </c>
      <c r="U284" s="119">
        <v>26</v>
      </c>
      <c r="V284" s="121">
        <f t="shared" si="36"/>
        <v>36686066.666666664</v>
      </c>
      <c r="W284" s="119">
        <f t="shared" si="37"/>
        <v>26</v>
      </c>
      <c r="X284" s="121">
        <f t="shared" si="38"/>
        <v>36686066.666666679</v>
      </c>
      <c r="Y284" s="122" t="s">
        <v>2408</v>
      </c>
      <c r="Z284" s="123" t="s">
        <v>2407</v>
      </c>
      <c r="AA284" s="123" t="s">
        <v>2406</v>
      </c>
      <c r="AB284" s="123" t="s">
        <v>2372</v>
      </c>
      <c r="AC284" s="123" t="s">
        <v>8</v>
      </c>
      <c r="AD284" s="110">
        <f>COUNTIF('KK1. Movies'!AI:AI,'TK 15661.Bản quyền phim '!F284)</f>
        <v>0</v>
      </c>
      <c r="AE284" s="110">
        <f>COUNTIF('KK2. Series'!AM:AM,'TK 15661.Bản quyền phim '!F284)</f>
        <v>0</v>
      </c>
      <c r="AF284" s="110">
        <f>COUNTIF('KK3. Kids'!AF:AF,'TK 15661.Bản quyền phim '!F284)</f>
        <v>1</v>
      </c>
      <c r="AG284" s="110"/>
      <c r="AH284" s="110" t="str">
        <f t="shared" si="39"/>
        <v>OK</v>
      </c>
    </row>
    <row r="285" spans="1:34" hidden="1" x14ac:dyDescent="0.2">
      <c r="A285" s="47">
        <f t="shared" si="40"/>
        <v>0</v>
      </c>
      <c r="B285" s="108" t="s">
        <v>2725</v>
      </c>
      <c r="C285" s="94" t="s">
        <v>2412</v>
      </c>
      <c r="D285" s="94" t="s">
        <v>2724</v>
      </c>
      <c r="E285" s="94" t="s">
        <v>2723</v>
      </c>
      <c r="F285" s="94" t="s">
        <v>177</v>
      </c>
      <c r="G285" s="94" t="s">
        <v>2409</v>
      </c>
      <c r="H285" s="119">
        <v>26</v>
      </c>
      <c r="I285" s="119">
        <v>3</v>
      </c>
      <c r="J285" s="119">
        <f t="shared" si="33"/>
        <v>78</v>
      </c>
      <c r="K285" s="119">
        <v>110083600</v>
      </c>
      <c r="L285" s="119">
        <v>1411328.205128205</v>
      </c>
      <c r="M285" s="119">
        <f t="shared" si="34"/>
        <v>26</v>
      </c>
      <c r="N285" s="119">
        <f t="shared" si="35"/>
        <v>36694533.333333328</v>
      </c>
      <c r="O285" s="120">
        <v>45465</v>
      </c>
      <c r="P285" s="120">
        <v>46559</v>
      </c>
      <c r="Q285" s="119">
        <v>52</v>
      </c>
      <c r="R285" s="121">
        <v>73389066.666666672</v>
      </c>
      <c r="S285" s="119">
        <v>0</v>
      </c>
      <c r="T285" s="121">
        <v>0</v>
      </c>
      <c r="U285" s="119">
        <v>26</v>
      </c>
      <c r="V285" s="121">
        <f t="shared" si="36"/>
        <v>36694533.333333328</v>
      </c>
      <c r="W285" s="119">
        <f t="shared" si="37"/>
        <v>26</v>
      </c>
      <c r="X285" s="121">
        <f t="shared" si="38"/>
        <v>36694533.333333343</v>
      </c>
      <c r="Y285" s="122" t="s">
        <v>2408</v>
      </c>
      <c r="Z285" s="123" t="s">
        <v>2407</v>
      </c>
      <c r="AA285" s="123" t="s">
        <v>2406</v>
      </c>
      <c r="AB285" s="123" t="s">
        <v>2372</v>
      </c>
      <c r="AC285" s="123" t="s">
        <v>8</v>
      </c>
      <c r="AD285" s="110">
        <f>COUNTIF('KK1. Movies'!AI:AI,'TK 15661.Bản quyền phim '!F285)</f>
        <v>0</v>
      </c>
      <c r="AE285" s="110">
        <f>COUNTIF('KK2. Series'!AM:AM,'TK 15661.Bản quyền phim '!F285)</f>
        <v>0</v>
      </c>
      <c r="AF285" s="110">
        <f>COUNTIF('KK3. Kids'!AF:AF,'TK 15661.Bản quyền phim '!F285)</f>
        <v>1</v>
      </c>
      <c r="AG285" s="110"/>
      <c r="AH285" s="110" t="str">
        <f t="shared" si="39"/>
        <v>OK</v>
      </c>
    </row>
    <row r="286" spans="1:34" ht="15.6" hidden="1" x14ac:dyDescent="0.3">
      <c r="A286" s="47">
        <f t="shared" si="40"/>
        <v>0</v>
      </c>
      <c r="B286" s="108" t="s">
        <v>2722</v>
      </c>
      <c r="C286" s="94" t="s">
        <v>2412</v>
      </c>
      <c r="D286" s="94" t="s">
        <v>2682</v>
      </c>
      <c r="E286" s="94" t="s">
        <v>2681</v>
      </c>
      <c r="F286" s="94" t="s">
        <v>715</v>
      </c>
      <c r="G286" s="94" t="s">
        <v>2428</v>
      </c>
      <c r="H286" s="119">
        <v>38</v>
      </c>
      <c r="I286" s="119">
        <v>5</v>
      </c>
      <c r="J286" s="119">
        <f t="shared" si="33"/>
        <v>190</v>
      </c>
      <c r="K286" s="119">
        <v>3217341800</v>
      </c>
      <c r="L286" s="119">
        <v>16933377.894736845</v>
      </c>
      <c r="M286" s="119">
        <f t="shared" si="34"/>
        <v>38</v>
      </c>
      <c r="N286" s="119">
        <f t="shared" si="35"/>
        <v>643468360</v>
      </c>
      <c r="O286" s="120">
        <v>45451</v>
      </c>
      <c r="P286" s="120">
        <v>47276</v>
      </c>
      <c r="Q286" s="119">
        <v>152</v>
      </c>
      <c r="R286" s="121">
        <v>2573873440</v>
      </c>
      <c r="S286" s="119">
        <v>0</v>
      </c>
      <c r="T286" s="121">
        <v>0</v>
      </c>
      <c r="U286" s="119">
        <v>38</v>
      </c>
      <c r="V286" s="121">
        <f t="shared" si="36"/>
        <v>643468360.00000012</v>
      </c>
      <c r="W286" s="119">
        <f t="shared" si="37"/>
        <v>114</v>
      </c>
      <c r="X286" s="121">
        <f t="shared" si="38"/>
        <v>1930405080</v>
      </c>
      <c r="Y286" s="122" t="s">
        <v>2427</v>
      </c>
      <c r="Z286" s="123" t="s">
        <v>2407</v>
      </c>
      <c r="AA286" s="123" t="s">
        <v>2406</v>
      </c>
      <c r="AB286" s="123" t="s">
        <v>2372</v>
      </c>
      <c r="AC286" s="124" t="s">
        <v>10</v>
      </c>
      <c r="AD286" s="110">
        <f>COUNTIF('KK1. Movies'!AI:AI,'TK 15661.Bản quyền phim '!F286)</f>
        <v>0</v>
      </c>
      <c r="AE286" s="110">
        <f>COUNTIF('KK2. Series'!AM:AM,'TK 15661.Bản quyền phim '!F286)</f>
        <v>1</v>
      </c>
      <c r="AF286" s="110">
        <f>COUNTIF('KK3. Kids'!AF:AF,'TK 15661.Bản quyền phim '!F286)</f>
        <v>0</v>
      </c>
      <c r="AG286" s="110"/>
      <c r="AH286" s="110" t="str">
        <f t="shared" si="39"/>
        <v>OK</v>
      </c>
    </row>
    <row r="287" spans="1:34" ht="15.6" hidden="1" x14ac:dyDescent="0.3">
      <c r="A287" s="47">
        <f t="shared" si="40"/>
        <v>0</v>
      </c>
      <c r="B287" s="108" t="s">
        <v>2721</v>
      </c>
      <c r="C287" s="94" t="s">
        <v>2412</v>
      </c>
      <c r="D287" s="94" t="s">
        <v>2720</v>
      </c>
      <c r="E287" s="94" t="s">
        <v>2719</v>
      </c>
      <c r="F287" s="94" t="s">
        <v>707</v>
      </c>
      <c r="G287" s="94" t="s">
        <v>2428</v>
      </c>
      <c r="H287" s="119">
        <v>30</v>
      </c>
      <c r="I287" s="119">
        <v>5</v>
      </c>
      <c r="J287" s="119">
        <f t="shared" si="33"/>
        <v>150</v>
      </c>
      <c r="K287" s="119">
        <v>2540000000</v>
      </c>
      <c r="L287" s="119">
        <v>16933333.333333332</v>
      </c>
      <c r="M287" s="119">
        <f t="shared" si="34"/>
        <v>30</v>
      </c>
      <c r="N287" s="119">
        <f t="shared" si="35"/>
        <v>508000000</v>
      </c>
      <c r="O287" s="120">
        <v>45460</v>
      </c>
      <c r="P287" s="120">
        <v>47285</v>
      </c>
      <c r="Q287" s="119">
        <v>120</v>
      </c>
      <c r="R287" s="121">
        <v>2032000000</v>
      </c>
      <c r="S287" s="119">
        <v>0</v>
      </c>
      <c r="T287" s="121">
        <v>0</v>
      </c>
      <c r="U287" s="119">
        <v>30</v>
      </c>
      <c r="V287" s="121">
        <f t="shared" si="36"/>
        <v>507999999.99999994</v>
      </c>
      <c r="W287" s="119">
        <f t="shared" si="37"/>
        <v>90</v>
      </c>
      <c r="X287" s="121">
        <f t="shared" si="38"/>
        <v>1524000000</v>
      </c>
      <c r="Y287" s="122" t="s">
        <v>2427</v>
      </c>
      <c r="Z287" s="123" t="s">
        <v>2407</v>
      </c>
      <c r="AA287" s="123" t="s">
        <v>2406</v>
      </c>
      <c r="AB287" s="123" t="s">
        <v>2372</v>
      </c>
      <c r="AC287" s="124" t="s">
        <v>10</v>
      </c>
      <c r="AD287" s="110">
        <f>COUNTIF('KK1. Movies'!AI:AI,'TK 15661.Bản quyền phim '!F287)</f>
        <v>0</v>
      </c>
      <c r="AE287" s="110">
        <f>COUNTIF('KK2. Series'!AM:AM,'TK 15661.Bản quyền phim '!F287)</f>
        <v>1</v>
      </c>
      <c r="AF287" s="110">
        <f>COUNTIF('KK3. Kids'!AF:AF,'TK 15661.Bản quyền phim '!F287)</f>
        <v>0</v>
      </c>
      <c r="AG287" s="110"/>
      <c r="AH287" s="110" t="str">
        <f t="shared" si="39"/>
        <v>OK</v>
      </c>
    </row>
    <row r="288" spans="1:34" hidden="1" x14ac:dyDescent="0.2">
      <c r="A288" s="47">
        <f t="shared" si="40"/>
        <v>0</v>
      </c>
      <c r="B288" s="108" t="s">
        <v>2718</v>
      </c>
      <c r="C288" s="94" t="s">
        <v>2412</v>
      </c>
      <c r="D288" s="94" t="s">
        <v>2536</v>
      </c>
      <c r="E288" s="94" t="s">
        <v>2535</v>
      </c>
      <c r="F288" s="94" t="s">
        <v>2717</v>
      </c>
      <c r="G288" s="94" t="s">
        <v>2428</v>
      </c>
      <c r="H288" s="119">
        <v>24</v>
      </c>
      <c r="I288" s="119">
        <v>4</v>
      </c>
      <c r="J288" s="119">
        <f t="shared" si="33"/>
        <v>96</v>
      </c>
      <c r="K288" s="119">
        <v>609600000</v>
      </c>
      <c r="L288" s="119">
        <v>6350000</v>
      </c>
      <c r="M288" s="119">
        <f t="shared" si="34"/>
        <v>24</v>
      </c>
      <c r="N288" s="119">
        <f t="shared" si="35"/>
        <v>152400000</v>
      </c>
      <c r="O288" s="120">
        <v>45614</v>
      </c>
      <c r="P288" s="120">
        <v>47074</v>
      </c>
      <c r="Q288" s="119">
        <v>72</v>
      </c>
      <c r="R288" s="121">
        <v>457200000</v>
      </c>
      <c r="S288" s="119">
        <v>0</v>
      </c>
      <c r="T288" s="121">
        <v>0</v>
      </c>
      <c r="U288" s="119">
        <v>24</v>
      </c>
      <c r="V288" s="121">
        <f t="shared" si="36"/>
        <v>152400000</v>
      </c>
      <c r="W288" s="119">
        <f t="shared" si="37"/>
        <v>48</v>
      </c>
      <c r="X288" s="121">
        <f t="shared" si="38"/>
        <v>304800000</v>
      </c>
      <c r="Y288" s="122" t="s">
        <v>2427</v>
      </c>
      <c r="Z288" s="123" t="s">
        <v>2407</v>
      </c>
      <c r="AA288" s="123" t="s">
        <v>2406</v>
      </c>
      <c r="AB288" s="123" t="s">
        <v>2372</v>
      </c>
      <c r="AC288" s="123"/>
      <c r="AD288" s="110">
        <f>COUNTIF('KK1. Movies'!AI:AI,'TK 15661.Bản quyền phim '!F288)</f>
        <v>0</v>
      </c>
      <c r="AE288" s="110">
        <f>COUNTIF('KK2. Series'!AM:AM,'TK 15661.Bản quyền phim '!F288)</f>
        <v>0</v>
      </c>
      <c r="AF288" s="110">
        <f>COUNTIF('KK3. Kids'!AF:AF,'TK 15661.Bản quyền phim '!F288)</f>
        <v>0</v>
      </c>
      <c r="AG288" s="110"/>
      <c r="AH288" s="110">
        <f t="shared" si="39"/>
        <v>0</v>
      </c>
    </row>
    <row r="289" spans="1:34" ht="15.6" hidden="1" x14ac:dyDescent="0.3">
      <c r="A289" s="47">
        <f t="shared" si="40"/>
        <v>0</v>
      </c>
      <c r="B289" s="108" t="s">
        <v>2716</v>
      </c>
      <c r="C289" s="94" t="s">
        <v>2412</v>
      </c>
      <c r="D289" s="94" t="s">
        <v>2431</v>
      </c>
      <c r="E289" s="94" t="s">
        <v>2430</v>
      </c>
      <c r="F289" s="94" t="s">
        <v>2715</v>
      </c>
      <c r="G289" s="94" t="s">
        <v>2428</v>
      </c>
      <c r="H289" s="119">
        <v>16</v>
      </c>
      <c r="I289" s="119">
        <v>4</v>
      </c>
      <c r="J289" s="119">
        <f t="shared" si="33"/>
        <v>64</v>
      </c>
      <c r="K289" s="119">
        <v>1352258215</v>
      </c>
      <c r="L289" s="119">
        <v>21129034.609375</v>
      </c>
      <c r="M289" s="119">
        <f t="shared" si="34"/>
        <v>16</v>
      </c>
      <c r="N289" s="119">
        <f t="shared" si="35"/>
        <v>338064553.75</v>
      </c>
      <c r="O289" s="120">
        <v>45485</v>
      </c>
      <c r="P289" s="120">
        <v>46945</v>
      </c>
      <c r="Q289" s="119">
        <v>48</v>
      </c>
      <c r="R289" s="121">
        <v>1014193661.25</v>
      </c>
      <c r="S289" s="119">
        <v>0</v>
      </c>
      <c r="T289" s="121">
        <v>0</v>
      </c>
      <c r="U289" s="119">
        <v>16</v>
      </c>
      <c r="V289" s="121">
        <f t="shared" si="36"/>
        <v>338064553.75</v>
      </c>
      <c r="W289" s="119">
        <f t="shared" si="37"/>
        <v>32</v>
      </c>
      <c r="X289" s="121">
        <f t="shared" si="38"/>
        <v>676129107.5</v>
      </c>
      <c r="Y289" s="122" t="s">
        <v>2427</v>
      </c>
      <c r="Z289" s="123" t="s">
        <v>2407</v>
      </c>
      <c r="AA289" s="123" t="s">
        <v>2406</v>
      </c>
      <c r="AB289" s="123" t="s">
        <v>2372</v>
      </c>
      <c r="AC289" s="124" t="s">
        <v>10</v>
      </c>
      <c r="AD289" s="110">
        <f>COUNTIF('KK1. Movies'!AI:AI,'TK 15661.Bản quyền phim '!F289)</f>
        <v>0</v>
      </c>
      <c r="AE289" s="110">
        <f>COUNTIF('KK2. Series'!AM:AM,'TK 15661.Bản quyền phim '!F289)</f>
        <v>1</v>
      </c>
      <c r="AF289" s="110">
        <f>COUNTIF('KK3. Kids'!AF:AF,'TK 15661.Bản quyền phim '!F289)</f>
        <v>0</v>
      </c>
      <c r="AG289" s="110"/>
      <c r="AH289" s="110" t="str">
        <f t="shared" si="39"/>
        <v>OK</v>
      </c>
    </row>
    <row r="290" spans="1:34" hidden="1" x14ac:dyDescent="0.2">
      <c r="A290" s="47">
        <f t="shared" si="40"/>
        <v>0</v>
      </c>
      <c r="B290" s="108" t="s">
        <v>2714</v>
      </c>
      <c r="C290" s="94" t="s">
        <v>2412</v>
      </c>
      <c r="D290" s="94" t="s">
        <v>2713</v>
      </c>
      <c r="E290" s="94" t="s">
        <v>2712</v>
      </c>
      <c r="F290" s="94" t="s">
        <v>172</v>
      </c>
      <c r="G290" s="94" t="s">
        <v>2409</v>
      </c>
      <c r="H290" s="119">
        <v>52</v>
      </c>
      <c r="I290" s="119">
        <v>3</v>
      </c>
      <c r="J290" s="119">
        <f t="shared" si="33"/>
        <v>156</v>
      </c>
      <c r="K290" s="119">
        <v>213925140</v>
      </c>
      <c r="L290" s="119">
        <v>1371315</v>
      </c>
      <c r="M290" s="119">
        <f t="shared" si="34"/>
        <v>52</v>
      </c>
      <c r="N290" s="119">
        <f t="shared" si="35"/>
        <v>71308380</v>
      </c>
      <c r="O290" s="120">
        <v>45473</v>
      </c>
      <c r="P290" s="120">
        <v>46680</v>
      </c>
      <c r="Q290" s="119">
        <v>104</v>
      </c>
      <c r="R290" s="121">
        <v>142616760</v>
      </c>
      <c r="S290" s="119">
        <v>0</v>
      </c>
      <c r="T290" s="121">
        <v>0</v>
      </c>
      <c r="U290" s="119">
        <v>52</v>
      </c>
      <c r="V290" s="121">
        <f t="shared" si="36"/>
        <v>71308380</v>
      </c>
      <c r="W290" s="119">
        <f t="shared" si="37"/>
        <v>52</v>
      </c>
      <c r="X290" s="121">
        <f t="shared" si="38"/>
        <v>71308380</v>
      </c>
      <c r="Y290" s="122" t="s">
        <v>2408</v>
      </c>
      <c r="Z290" s="123" t="s">
        <v>2407</v>
      </c>
      <c r="AA290" s="123" t="s">
        <v>2406</v>
      </c>
      <c r="AB290" s="123" t="s">
        <v>2372</v>
      </c>
      <c r="AC290" s="123" t="s">
        <v>8</v>
      </c>
      <c r="AD290" s="110">
        <f>COUNTIF('KK1. Movies'!AI:AI,'TK 15661.Bản quyền phim '!F290)</f>
        <v>0</v>
      </c>
      <c r="AE290" s="110">
        <f>COUNTIF('KK2. Series'!AM:AM,'TK 15661.Bản quyền phim '!F290)</f>
        <v>0</v>
      </c>
      <c r="AF290" s="110">
        <f>COUNTIF('KK3. Kids'!AF:AF,'TK 15661.Bản quyền phim '!F290)</f>
        <v>1</v>
      </c>
      <c r="AG290" s="110"/>
      <c r="AH290" s="110" t="str">
        <f t="shared" si="39"/>
        <v>OK</v>
      </c>
    </row>
    <row r="291" spans="1:34" ht="15.6" hidden="1" x14ac:dyDescent="0.3">
      <c r="A291" s="47">
        <f t="shared" si="40"/>
        <v>0</v>
      </c>
      <c r="B291" s="108" t="s">
        <v>2711</v>
      </c>
      <c r="C291" s="94" t="s">
        <v>2412</v>
      </c>
      <c r="D291" s="94" t="s">
        <v>2431</v>
      </c>
      <c r="E291" s="94" t="s">
        <v>2430</v>
      </c>
      <c r="F291" s="94" t="s">
        <v>605</v>
      </c>
      <c r="G291" s="94" t="s">
        <v>2428</v>
      </c>
      <c r="H291" s="119">
        <v>16</v>
      </c>
      <c r="I291" s="119">
        <v>4</v>
      </c>
      <c r="J291" s="119">
        <f t="shared" si="33"/>
        <v>64</v>
      </c>
      <c r="K291" s="119">
        <v>3546021126</v>
      </c>
      <c r="L291" s="119">
        <v>55406580.09375</v>
      </c>
      <c r="M291" s="119">
        <f t="shared" si="34"/>
        <v>16</v>
      </c>
      <c r="N291" s="119">
        <f t="shared" si="35"/>
        <v>886505281.5</v>
      </c>
      <c r="O291" s="120">
        <v>45566</v>
      </c>
      <c r="P291" s="120">
        <v>47026</v>
      </c>
      <c r="Q291" s="119">
        <v>48</v>
      </c>
      <c r="R291" s="121">
        <v>2659515844.5</v>
      </c>
      <c r="S291" s="119">
        <v>0</v>
      </c>
      <c r="T291" s="121">
        <v>0</v>
      </c>
      <c r="U291" s="119">
        <v>16</v>
      </c>
      <c r="V291" s="121">
        <f t="shared" si="36"/>
        <v>886505281.5</v>
      </c>
      <c r="W291" s="119">
        <f t="shared" si="37"/>
        <v>32</v>
      </c>
      <c r="X291" s="121">
        <f t="shared" si="38"/>
        <v>1773010563</v>
      </c>
      <c r="Y291" s="122" t="s">
        <v>2427</v>
      </c>
      <c r="Z291" s="123" t="s">
        <v>2407</v>
      </c>
      <c r="AA291" s="123" t="s">
        <v>2406</v>
      </c>
      <c r="AB291" s="123" t="s">
        <v>2372</v>
      </c>
      <c r="AC291" s="124" t="s">
        <v>10</v>
      </c>
      <c r="AD291" s="110">
        <f>COUNTIF('KK1. Movies'!AI:AI,'TK 15661.Bản quyền phim '!F291)</f>
        <v>0</v>
      </c>
      <c r="AE291" s="110">
        <f>COUNTIF('KK2. Series'!AM:AM,'TK 15661.Bản quyền phim '!F291)</f>
        <v>1</v>
      </c>
      <c r="AF291" s="110">
        <f>COUNTIF('KK3. Kids'!AF:AF,'TK 15661.Bản quyền phim '!F291)</f>
        <v>0</v>
      </c>
      <c r="AG291" s="110"/>
      <c r="AH291" s="110" t="str">
        <f t="shared" si="39"/>
        <v>OK</v>
      </c>
    </row>
    <row r="292" spans="1:34" ht="15.6" hidden="1" x14ac:dyDescent="0.3">
      <c r="A292" s="47">
        <f t="shared" si="40"/>
        <v>0</v>
      </c>
      <c r="B292" s="108" t="s">
        <v>2710</v>
      </c>
      <c r="C292" s="94" t="s">
        <v>2412</v>
      </c>
      <c r="D292" s="94" t="s">
        <v>2431</v>
      </c>
      <c r="E292" s="94" t="s">
        <v>2430</v>
      </c>
      <c r="F292" s="94" t="s">
        <v>903</v>
      </c>
      <c r="G292" s="94" t="s">
        <v>2428</v>
      </c>
      <c r="H292" s="119">
        <v>12</v>
      </c>
      <c r="I292" s="119">
        <v>4</v>
      </c>
      <c r="J292" s="119">
        <f t="shared" si="33"/>
        <v>48</v>
      </c>
      <c r="K292" s="119">
        <v>997320000</v>
      </c>
      <c r="L292" s="119">
        <v>20777500</v>
      </c>
      <c r="M292" s="119">
        <f t="shared" si="34"/>
        <v>12</v>
      </c>
      <c r="N292" s="119">
        <f t="shared" si="35"/>
        <v>249330000</v>
      </c>
      <c r="O292" s="120">
        <v>45518</v>
      </c>
      <c r="P292" s="120">
        <v>46978</v>
      </c>
      <c r="Q292" s="119">
        <v>36</v>
      </c>
      <c r="R292" s="121">
        <v>747990000</v>
      </c>
      <c r="S292" s="119">
        <v>0</v>
      </c>
      <c r="T292" s="121">
        <v>0</v>
      </c>
      <c r="U292" s="119">
        <v>12</v>
      </c>
      <c r="V292" s="121">
        <f t="shared" si="36"/>
        <v>249330000</v>
      </c>
      <c r="W292" s="119">
        <f t="shared" si="37"/>
        <v>24</v>
      </c>
      <c r="X292" s="121">
        <f t="shared" si="38"/>
        <v>498660000</v>
      </c>
      <c r="Y292" s="122" t="s">
        <v>2427</v>
      </c>
      <c r="Z292" s="123" t="s">
        <v>2407</v>
      </c>
      <c r="AA292" s="123" t="s">
        <v>2406</v>
      </c>
      <c r="AB292" s="123" t="s">
        <v>2372</v>
      </c>
      <c r="AC292" s="124" t="s">
        <v>10</v>
      </c>
      <c r="AD292" s="110">
        <f>COUNTIF('KK1. Movies'!AI:AI,'TK 15661.Bản quyền phim '!F292)</f>
        <v>0</v>
      </c>
      <c r="AE292" s="110">
        <f>COUNTIF('KK2. Series'!AM:AM,'TK 15661.Bản quyền phim '!F292)</f>
        <v>1</v>
      </c>
      <c r="AF292" s="110">
        <f>COUNTIF('KK3. Kids'!AF:AF,'TK 15661.Bản quyền phim '!F292)</f>
        <v>0</v>
      </c>
      <c r="AG292" s="110"/>
      <c r="AH292" s="110" t="str">
        <f t="shared" si="39"/>
        <v>OK</v>
      </c>
    </row>
    <row r="293" spans="1:34" ht="15.6" hidden="1" x14ac:dyDescent="0.3">
      <c r="A293" s="47">
        <f t="shared" si="40"/>
        <v>0</v>
      </c>
      <c r="B293" s="108" t="s">
        <v>2709</v>
      </c>
      <c r="C293" s="94" t="s">
        <v>2412</v>
      </c>
      <c r="D293" s="94" t="s">
        <v>2431</v>
      </c>
      <c r="E293" s="94" t="s">
        <v>2430</v>
      </c>
      <c r="F293" s="94" t="s">
        <v>2708</v>
      </c>
      <c r="G293" s="94" t="s">
        <v>2428</v>
      </c>
      <c r="H293" s="119">
        <v>10</v>
      </c>
      <c r="I293" s="119">
        <v>4</v>
      </c>
      <c r="J293" s="119">
        <f t="shared" si="33"/>
        <v>40</v>
      </c>
      <c r="K293" s="119">
        <v>831091689</v>
      </c>
      <c r="L293" s="119">
        <v>20777292.225000001</v>
      </c>
      <c r="M293" s="119">
        <f t="shared" si="34"/>
        <v>10</v>
      </c>
      <c r="N293" s="119">
        <f t="shared" si="35"/>
        <v>207772922.25</v>
      </c>
      <c r="O293" s="120">
        <v>45528</v>
      </c>
      <c r="P293" s="120">
        <v>46988</v>
      </c>
      <c r="Q293" s="119">
        <v>30</v>
      </c>
      <c r="R293" s="121">
        <v>623318766.75</v>
      </c>
      <c r="S293" s="119">
        <v>0</v>
      </c>
      <c r="T293" s="121">
        <v>0</v>
      </c>
      <c r="U293" s="119">
        <v>10</v>
      </c>
      <c r="V293" s="121">
        <f t="shared" si="36"/>
        <v>207772922.25</v>
      </c>
      <c r="W293" s="119">
        <f t="shared" si="37"/>
        <v>20</v>
      </c>
      <c r="X293" s="121">
        <f t="shared" si="38"/>
        <v>415545844.5</v>
      </c>
      <c r="Y293" s="122" t="s">
        <v>2427</v>
      </c>
      <c r="Z293" s="123" t="s">
        <v>2407</v>
      </c>
      <c r="AA293" s="123" t="s">
        <v>2406</v>
      </c>
      <c r="AB293" s="123" t="s">
        <v>2372</v>
      </c>
      <c r="AC293" s="124" t="s">
        <v>10</v>
      </c>
      <c r="AD293" s="110">
        <f>COUNTIF('KK1. Movies'!AI:AI,'TK 15661.Bản quyền phim '!F293)</f>
        <v>0</v>
      </c>
      <c r="AE293" s="110">
        <f>COUNTIF('KK2. Series'!AM:AM,'TK 15661.Bản quyền phim '!F293)</f>
        <v>1</v>
      </c>
      <c r="AF293" s="110">
        <f>COUNTIF('KK3. Kids'!AF:AF,'TK 15661.Bản quyền phim '!F293)</f>
        <v>0</v>
      </c>
      <c r="AG293" s="110"/>
      <c r="AH293" s="110" t="str">
        <f t="shared" si="39"/>
        <v>OK</v>
      </c>
    </row>
    <row r="294" spans="1:34" ht="15.6" hidden="1" x14ac:dyDescent="0.3">
      <c r="A294" s="48"/>
      <c r="B294" s="108" t="s">
        <v>2707</v>
      </c>
      <c r="C294" s="94" t="s">
        <v>2493</v>
      </c>
      <c r="D294" s="94" t="s">
        <v>2690</v>
      </c>
      <c r="E294" s="94" t="s">
        <v>2689</v>
      </c>
      <c r="F294" s="94" t="s">
        <v>1747</v>
      </c>
      <c r="G294" s="94" t="s">
        <v>2417</v>
      </c>
      <c r="H294" s="119">
        <v>1</v>
      </c>
      <c r="I294" s="119">
        <v>3</v>
      </c>
      <c r="J294" s="119">
        <f t="shared" si="33"/>
        <v>3</v>
      </c>
      <c r="K294" s="119">
        <v>101213810</v>
      </c>
      <c r="L294" s="119">
        <v>33737936.666666664</v>
      </c>
      <c r="M294" s="119">
        <f t="shared" si="34"/>
        <v>1</v>
      </c>
      <c r="N294" s="119">
        <f t="shared" si="35"/>
        <v>33737936.666666657</v>
      </c>
      <c r="O294" s="120">
        <v>45560</v>
      </c>
      <c r="P294" s="120">
        <v>46654</v>
      </c>
      <c r="Q294" s="119">
        <v>2</v>
      </c>
      <c r="R294" s="121">
        <v>67475873.333333343</v>
      </c>
      <c r="S294" s="119">
        <v>0</v>
      </c>
      <c r="T294" s="121">
        <v>0</v>
      </c>
      <c r="U294" s="119">
        <v>1</v>
      </c>
      <c r="V294" s="121">
        <f t="shared" si="36"/>
        <v>33737936.666666664</v>
      </c>
      <c r="W294" s="119">
        <f t="shared" si="37"/>
        <v>1</v>
      </c>
      <c r="X294" s="121">
        <f t="shared" si="38"/>
        <v>33737936.666666679</v>
      </c>
      <c r="Y294" s="122" t="s">
        <v>2416</v>
      </c>
      <c r="Z294" s="123" t="s">
        <v>2407</v>
      </c>
      <c r="AA294" s="123" t="s">
        <v>2406</v>
      </c>
      <c r="AB294" s="123" t="s">
        <v>2372</v>
      </c>
      <c r="AC294" s="124" t="s">
        <v>12</v>
      </c>
      <c r="AD294" s="110">
        <f>COUNTIF('KK1. Movies'!AI:AI,'TK 15661.Bản quyền phim '!F294)</f>
        <v>1</v>
      </c>
      <c r="AE294" s="110">
        <f>COUNTIF('KK2. Series'!AM:AM,'TK 15661.Bản quyền phim '!F294)</f>
        <v>0</v>
      </c>
      <c r="AF294" s="110">
        <f>COUNTIF('KK3. Kids'!AF:AF,'TK 15661.Bản quyền phim '!F294)</f>
        <v>0</v>
      </c>
      <c r="AG294" s="110"/>
      <c r="AH294" s="110" t="str">
        <f t="shared" si="39"/>
        <v>OK</v>
      </c>
    </row>
    <row r="295" spans="1:34" ht="15.6" hidden="1" x14ac:dyDescent="0.3">
      <c r="A295" s="48"/>
      <c r="B295" s="108" t="s">
        <v>2706</v>
      </c>
      <c r="C295" s="94" t="s">
        <v>2493</v>
      </c>
      <c r="D295" s="94" t="s">
        <v>2690</v>
      </c>
      <c r="E295" s="94" t="s">
        <v>2689</v>
      </c>
      <c r="F295" s="94" t="s">
        <v>2055</v>
      </c>
      <c r="G295" s="94" t="s">
        <v>2417</v>
      </c>
      <c r="H295" s="119">
        <v>1</v>
      </c>
      <c r="I295" s="119">
        <v>3</v>
      </c>
      <c r="J295" s="119">
        <f t="shared" si="33"/>
        <v>3</v>
      </c>
      <c r="K295" s="119">
        <v>101213810</v>
      </c>
      <c r="L295" s="119">
        <v>33737936.666666664</v>
      </c>
      <c r="M295" s="119">
        <f t="shared" si="34"/>
        <v>1</v>
      </c>
      <c r="N295" s="119">
        <f t="shared" si="35"/>
        <v>33737936.666666657</v>
      </c>
      <c r="O295" s="120">
        <v>45520</v>
      </c>
      <c r="P295" s="120">
        <v>46614</v>
      </c>
      <c r="Q295" s="119">
        <v>2</v>
      </c>
      <c r="R295" s="121">
        <v>67475873.333333343</v>
      </c>
      <c r="S295" s="119">
        <v>0</v>
      </c>
      <c r="T295" s="121">
        <v>0</v>
      </c>
      <c r="U295" s="119">
        <v>1</v>
      </c>
      <c r="V295" s="121">
        <f t="shared" si="36"/>
        <v>33737936.666666664</v>
      </c>
      <c r="W295" s="119">
        <f t="shared" si="37"/>
        <v>1</v>
      </c>
      <c r="X295" s="121">
        <f t="shared" si="38"/>
        <v>33737936.666666679</v>
      </c>
      <c r="Y295" s="122" t="s">
        <v>2416</v>
      </c>
      <c r="Z295" s="123" t="s">
        <v>2407</v>
      </c>
      <c r="AA295" s="123" t="s">
        <v>2406</v>
      </c>
      <c r="AB295" s="123" t="s">
        <v>2372</v>
      </c>
      <c r="AC295" s="124" t="s">
        <v>12</v>
      </c>
      <c r="AD295" s="110">
        <f>COUNTIF('KK1. Movies'!AI:AI,'TK 15661.Bản quyền phim '!F295)</f>
        <v>1</v>
      </c>
      <c r="AE295" s="110">
        <f>COUNTIF('KK2. Series'!AM:AM,'TK 15661.Bản quyền phim '!F295)</f>
        <v>0</v>
      </c>
      <c r="AF295" s="110">
        <f>COUNTIF('KK3. Kids'!AF:AF,'TK 15661.Bản quyền phim '!F295)</f>
        <v>0</v>
      </c>
      <c r="AG295" s="110"/>
      <c r="AH295" s="110" t="str">
        <f t="shared" si="39"/>
        <v>OK</v>
      </c>
    </row>
    <row r="296" spans="1:34" ht="15.6" hidden="1" x14ac:dyDescent="0.3">
      <c r="A296" s="47">
        <f>(U296-H296)*L296</f>
        <v>0</v>
      </c>
      <c r="B296" s="108" t="s">
        <v>2705</v>
      </c>
      <c r="C296" s="94" t="s">
        <v>2412</v>
      </c>
      <c r="D296" s="94" t="s">
        <v>2431</v>
      </c>
      <c r="E296" s="94" t="s">
        <v>2430</v>
      </c>
      <c r="F296" s="94" t="s">
        <v>609</v>
      </c>
      <c r="G296" s="94" t="s">
        <v>2428</v>
      </c>
      <c r="H296" s="119">
        <v>6</v>
      </c>
      <c r="I296" s="119">
        <v>4</v>
      </c>
      <c r="J296" s="119">
        <f t="shared" si="33"/>
        <v>24</v>
      </c>
      <c r="K296" s="119">
        <v>490700000</v>
      </c>
      <c r="L296" s="119">
        <v>20445833.333333336</v>
      </c>
      <c r="M296" s="119">
        <f t="shared" si="34"/>
        <v>6</v>
      </c>
      <c r="N296" s="119">
        <f t="shared" si="35"/>
        <v>122675000</v>
      </c>
      <c r="O296" s="120">
        <v>45562</v>
      </c>
      <c r="P296" s="120">
        <v>47022</v>
      </c>
      <c r="Q296" s="119">
        <v>18</v>
      </c>
      <c r="R296" s="121">
        <v>368025000</v>
      </c>
      <c r="S296" s="119">
        <v>0</v>
      </c>
      <c r="T296" s="121">
        <v>0</v>
      </c>
      <c r="U296" s="119">
        <v>6</v>
      </c>
      <c r="V296" s="121">
        <f t="shared" si="36"/>
        <v>122675000.00000001</v>
      </c>
      <c r="W296" s="119">
        <f t="shared" si="37"/>
        <v>12</v>
      </c>
      <c r="X296" s="121">
        <f t="shared" si="38"/>
        <v>245350000</v>
      </c>
      <c r="Y296" s="122" t="s">
        <v>2427</v>
      </c>
      <c r="Z296" s="123" t="s">
        <v>2407</v>
      </c>
      <c r="AA296" s="123" t="s">
        <v>2406</v>
      </c>
      <c r="AB296" s="123" t="s">
        <v>2372</v>
      </c>
      <c r="AC296" s="124" t="s">
        <v>10</v>
      </c>
      <c r="AD296" s="110">
        <f>COUNTIF('KK1. Movies'!AI:AI,'TK 15661.Bản quyền phim '!F296)</f>
        <v>0</v>
      </c>
      <c r="AE296" s="110">
        <f>COUNTIF('KK2. Series'!AM:AM,'TK 15661.Bản quyền phim '!F296)</f>
        <v>1</v>
      </c>
      <c r="AF296" s="110">
        <f>COUNTIF('KK3. Kids'!AF:AF,'TK 15661.Bản quyền phim '!F296)</f>
        <v>0</v>
      </c>
      <c r="AG296" s="110"/>
      <c r="AH296" s="110" t="str">
        <f t="shared" si="39"/>
        <v>OK</v>
      </c>
    </row>
    <row r="297" spans="1:34" ht="15.6" hidden="1" x14ac:dyDescent="0.3">
      <c r="A297" s="47">
        <f>(U297-H297)*L297</f>
        <v>0</v>
      </c>
      <c r="B297" s="108" t="s">
        <v>2704</v>
      </c>
      <c r="C297" s="94" t="s">
        <v>2412</v>
      </c>
      <c r="D297" s="94" t="s">
        <v>2431</v>
      </c>
      <c r="E297" s="94" t="s">
        <v>2430</v>
      </c>
      <c r="F297" s="94" t="s">
        <v>583</v>
      </c>
      <c r="G297" s="94" t="s">
        <v>2428</v>
      </c>
      <c r="H297" s="119">
        <v>12</v>
      </c>
      <c r="I297" s="119">
        <v>4</v>
      </c>
      <c r="J297" s="119">
        <f t="shared" si="33"/>
        <v>48</v>
      </c>
      <c r="K297" s="119">
        <v>981400000</v>
      </c>
      <c r="L297" s="119">
        <v>20445833.333333336</v>
      </c>
      <c r="M297" s="119">
        <f t="shared" si="34"/>
        <v>12</v>
      </c>
      <c r="N297" s="119">
        <f t="shared" si="35"/>
        <v>245350000</v>
      </c>
      <c r="O297" s="120">
        <v>45598</v>
      </c>
      <c r="P297" s="120">
        <v>47058</v>
      </c>
      <c r="Q297" s="119">
        <v>36</v>
      </c>
      <c r="R297" s="121">
        <v>736050000</v>
      </c>
      <c r="S297" s="119">
        <v>0</v>
      </c>
      <c r="T297" s="121">
        <v>0</v>
      </c>
      <c r="U297" s="119">
        <v>12</v>
      </c>
      <c r="V297" s="121">
        <f t="shared" si="36"/>
        <v>245350000.00000003</v>
      </c>
      <c r="W297" s="119">
        <f t="shared" si="37"/>
        <v>24</v>
      </c>
      <c r="X297" s="121">
        <f t="shared" si="38"/>
        <v>490700000</v>
      </c>
      <c r="Y297" s="122" t="s">
        <v>2427</v>
      </c>
      <c r="Z297" s="123" t="s">
        <v>2407</v>
      </c>
      <c r="AA297" s="123" t="s">
        <v>2406</v>
      </c>
      <c r="AB297" s="123" t="s">
        <v>2372</v>
      </c>
      <c r="AC297" s="124" t="s">
        <v>10</v>
      </c>
      <c r="AD297" s="110">
        <f>COUNTIF('KK1. Movies'!AI:AI,'TK 15661.Bản quyền phim '!F297)</f>
        <v>0</v>
      </c>
      <c r="AE297" s="110">
        <f>COUNTIF('KK2. Series'!AM:AM,'TK 15661.Bản quyền phim '!F297)</f>
        <v>1</v>
      </c>
      <c r="AF297" s="110">
        <f>COUNTIF('KK3. Kids'!AF:AF,'TK 15661.Bản quyền phim '!F297)</f>
        <v>0</v>
      </c>
      <c r="AG297" s="110"/>
      <c r="AH297" s="110" t="str">
        <f t="shared" si="39"/>
        <v>OK</v>
      </c>
    </row>
    <row r="298" spans="1:34" ht="15.6" hidden="1" x14ac:dyDescent="0.3">
      <c r="A298" s="47">
        <f>(U298-H298)*L298</f>
        <v>0</v>
      </c>
      <c r="B298" s="108" t="s">
        <v>2703</v>
      </c>
      <c r="C298" s="94" t="s">
        <v>2412</v>
      </c>
      <c r="D298" s="94" t="s">
        <v>2702</v>
      </c>
      <c r="E298" s="94" t="s">
        <v>2701</v>
      </c>
      <c r="F298" s="94" t="s">
        <v>598</v>
      </c>
      <c r="G298" s="94" t="s">
        <v>2428</v>
      </c>
      <c r="H298" s="119">
        <v>27</v>
      </c>
      <c r="I298" s="119">
        <v>5</v>
      </c>
      <c r="J298" s="119">
        <f t="shared" si="33"/>
        <v>135</v>
      </c>
      <c r="K298" s="119">
        <v>1192401000</v>
      </c>
      <c r="L298" s="119">
        <v>8832600</v>
      </c>
      <c r="M298" s="119">
        <f t="shared" si="34"/>
        <v>27</v>
      </c>
      <c r="N298" s="119">
        <f t="shared" si="35"/>
        <v>238480200</v>
      </c>
      <c r="O298" s="120">
        <v>45554</v>
      </c>
      <c r="P298" s="120">
        <v>47379</v>
      </c>
      <c r="Q298" s="119">
        <v>108</v>
      </c>
      <c r="R298" s="121">
        <v>953920800</v>
      </c>
      <c r="S298" s="119">
        <v>0</v>
      </c>
      <c r="T298" s="121">
        <v>0</v>
      </c>
      <c r="U298" s="119">
        <v>27</v>
      </c>
      <c r="V298" s="121">
        <f t="shared" si="36"/>
        <v>238480200</v>
      </c>
      <c r="W298" s="119">
        <f t="shared" si="37"/>
        <v>81</v>
      </c>
      <c r="X298" s="121">
        <f t="shared" si="38"/>
        <v>715440600</v>
      </c>
      <c r="Y298" s="122" t="s">
        <v>2427</v>
      </c>
      <c r="Z298" s="123" t="s">
        <v>2407</v>
      </c>
      <c r="AA298" s="123" t="s">
        <v>2406</v>
      </c>
      <c r="AB298" s="123" t="s">
        <v>2372</v>
      </c>
      <c r="AC298" s="124" t="s">
        <v>10</v>
      </c>
      <c r="AD298" s="110">
        <f>COUNTIF('KK1. Movies'!AI:AI,'TK 15661.Bản quyền phim '!F298)</f>
        <v>0</v>
      </c>
      <c r="AE298" s="110">
        <f>COUNTIF('KK2. Series'!AM:AM,'TK 15661.Bản quyền phim '!F298)</f>
        <v>1</v>
      </c>
      <c r="AF298" s="110">
        <f>COUNTIF('KK3. Kids'!AF:AF,'TK 15661.Bản quyền phim '!F298)</f>
        <v>0</v>
      </c>
      <c r="AG298" s="110"/>
      <c r="AH298" s="110" t="str">
        <f t="shared" si="39"/>
        <v>OK</v>
      </c>
    </row>
    <row r="299" spans="1:34" ht="15.6" hidden="1" x14ac:dyDescent="0.3">
      <c r="A299" s="47">
        <f>(U299-H299)*L299</f>
        <v>0</v>
      </c>
      <c r="B299" s="108" t="s">
        <v>2700</v>
      </c>
      <c r="C299" s="94" t="s">
        <v>2412</v>
      </c>
      <c r="D299" s="94" t="s">
        <v>2699</v>
      </c>
      <c r="E299" s="94" t="s">
        <v>2698</v>
      </c>
      <c r="F299" s="94" t="s">
        <v>2697</v>
      </c>
      <c r="G299" s="94" t="s">
        <v>2428</v>
      </c>
      <c r="H299" s="119">
        <v>38</v>
      </c>
      <c r="I299" s="119">
        <v>5</v>
      </c>
      <c r="J299" s="119">
        <f t="shared" si="33"/>
        <v>190</v>
      </c>
      <c r="K299" s="119">
        <v>1044994500</v>
      </c>
      <c r="L299" s="119">
        <v>5499971.0526315784</v>
      </c>
      <c r="M299" s="119">
        <f t="shared" si="34"/>
        <v>38</v>
      </c>
      <c r="N299" s="119">
        <f t="shared" si="35"/>
        <v>208998900</v>
      </c>
      <c r="O299" s="120">
        <v>45566</v>
      </c>
      <c r="P299" s="120">
        <v>47391</v>
      </c>
      <c r="Q299" s="119">
        <v>152</v>
      </c>
      <c r="R299" s="121">
        <v>835995600</v>
      </c>
      <c r="S299" s="119">
        <v>0</v>
      </c>
      <c r="T299" s="121">
        <v>0</v>
      </c>
      <c r="U299" s="119">
        <v>38</v>
      </c>
      <c r="V299" s="121">
        <f t="shared" si="36"/>
        <v>208998899.99999997</v>
      </c>
      <c r="W299" s="119">
        <f t="shared" si="37"/>
        <v>114</v>
      </c>
      <c r="X299" s="121">
        <f t="shared" si="38"/>
        <v>626996700</v>
      </c>
      <c r="Y299" s="122" t="s">
        <v>2427</v>
      </c>
      <c r="Z299" s="123" t="s">
        <v>2407</v>
      </c>
      <c r="AA299" s="123" t="s">
        <v>2406</v>
      </c>
      <c r="AB299" s="123" t="s">
        <v>2372</v>
      </c>
      <c r="AC299" s="124" t="s">
        <v>10</v>
      </c>
      <c r="AD299" s="110">
        <f>COUNTIF('KK1. Movies'!AI:AI,'TK 15661.Bản quyền phim '!F299)</f>
        <v>0</v>
      </c>
      <c r="AE299" s="110">
        <f>COUNTIF('KK2. Series'!AM:AM,'TK 15661.Bản quyền phim '!F299)</f>
        <v>1</v>
      </c>
      <c r="AF299" s="110">
        <f>COUNTIF('KK3. Kids'!AF:AF,'TK 15661.Bản quyền phim '!F299)</f>
        <v>0</v>
      </c>
      <c r="AG299" s="110"/>
      <c r="AH299" s="110" t="str">
        <f t="shared" si="39"/>
        <v>OK</v>
      </c>
    </row>
    <row r="300" spans="1:34" ht="15.6" hidden="1" x14ac:dyDescent="0.3">
      <c r="A300" s="47">
        <f>(U300-H300)*L300</f>
        <v>0</v>
      </c>
      <c r="B300" s="108" t="s">
        <v>2696</v>
      </c>
      <c r="C300" s="94" t="s">
        <v>2412</v>
      </c>
      <c r="D300" s="94" t="s">
        <v>2695</v>
      </c>
      <c r="E300" s="94" t="s">
        <v>2694</v>
      </c>
      <c r="F300" s="94" t="s">
        <v>672</v>
      </c>
      <c r="G300" s="94" t="s">
        <v>2428</v>
      </c>
      <c r="H300" s="119">
        <v>34</v>
      </c>
      <c r="I300" s="119">
        <v>5</v>
      </c>
      <c r="J300" s="119">
        <f t="shared" si="33"/>
        <v>170</v>
      </c>
      <c r="K300" s="119">
        <v>178200000</v>
      </c>
      <c r="L300" s="119">
        <v>1048235.294117647</v>
      </c>
      <c r="M300" s="119">
        <f t="shared" si="34"/>
        <v>34</v>
      </c>
      <c r="N300" s="119">
        <f t="shared" si="35"/>
        <v>35640000</v>
      </c>
      <c r="O300" s="120">
        <v>45566</v>
      </c>
      <c r="P300" s="120">
        <v>47391</v>
      </c>
      <c r="Q300" s="119">
        <v>136</v>
      </c>
      <c r="R300" s="121">
        <v>142560000</v>
      </c>
      <c r="S300" s="119">
        <v>0</v>
      </c>
      <c r="T300" s="121">
        <v>0</v>
      </c>
      <c r="U300" s="119">
        <v>34</v>
      </c>
      <c r="V300" s="121">
        <f t="shared" si="36"/>
        <v>35640000</v>
      </c>
      <c r="W300" s="119">
        <f t="shared" si="37"/>
        <v>102</v>
      </c>
      <c r="X300" s="121">
        <f t="shared" si="38"/>
        <v>106920000</v>
      </c>
      <c r="Y300" s="122" t="s">
        <v>2427</v>
      </c>
      <c r="Z300" s="123" t="s">
        <v>2407</v>
      </c>
      <c r="AA300" s="123" t="s">
        <v>2406</v>
      </c>
      <c r="AB300" s="123" t="s">
        <v>2372</v>
      </c>
      <c r="AC300" s="124" t="s">
        <v>10</v>
      </c>
      <c r="AD300" s="110">
        <f>COUNTIF('KK1. Movies'!AI:AI,'TK 15661.Bản quyền phim '!F300)</f>
        <v>0</v>
      </c>
      <c r="AE300" s="110">
        <f>COUNTIF('KK2. Series'!AM:AM,'TK 15661.Bản quyền phim '!F300)</f>
        <v>1</v>
      </c>
      <c r="AF300" s="110">
        <f>COUNTIF('KK3. Kids'!AF:AF,'TK 15661.Bản quyền phim '!F300)</f>
        <v>0</v>
      </c>
      <c r="AG300" s="110"/>
      <c r="AH300" s="110" t="str">
        <f t="shared" si="39"/>
        <v>OK</v>
      </c>
    </row>
    <row r="301" spans="1:34" hidden="1" x14ac:dyDescent="0.2">
      <c r="B301" s="108" t="s">
        <v>2693</v>
      </c>
      <c r="C301" s="94" t="s">
        <v>2493</v>
      </c>
      <c r="D301" s="94" t="s">
        <v>2690</v>
      </c>
      <c r="E301" s="94" t="s">
        <v>2689</v>
      </c>
      <c r="F301" s="94" t="s">
        <v>2692</v>
      </c>
      <c r="G301" s="94" t="s">
        <v>2417</v>
      </c>
      <c r="H301" s="119">
        <v>1</v>
      </c>
      <c r="I301" s="119">
        <v>3</v>
      </c>
      <c r="J301" s="119">
        <f t="shared" si="33"/>
        <v>3</v>
      </c>
      <c r="K301" s="119">
        <v>101213810</v>
      </c>
      <c r="L301" s="119">
        <v>33737936.666666664</v>
      </c>
      <c r="M301" s="119">
        <f t="shared" si="34"/>
        <v>1</v>
      </c>
      <c r="N301" s="119">
        <f t="shared" si="35"/>
        <v>33737936.666666657</v>
      </c>
      <c r="O301" s="120">
        <v>45637</v>
      </c>
      <c r="P301" s="120">
        <v>46731</v>
      </c>
      <c r="Q301" s="119">
        <v>2</v>
      </c>
      <c r="R301" s="121">
        <v>67475873.333333343</v>
      </c>
      <c r="S301" s="119">
        <v>0</v>
      </c>
      <c r="T301" s="121">
        <v>0</v>
      </c>
      <c r="U301" s="119">
        <v>1</v>
      </c>
      <c r="V301" s="121">
        <f t="shared" si="36"/>
        <v>33737936.666666664</v>
      </c>
      <c r="W301" s="119">
        <f t="shared" si="37"/>
        <v>1</v>
      </c>
      <c r="X301" s="121">
        <f t="shared" si="38"/>
        <v>33737936.666666679</v>
      </c>
      <c r="Y301" s="122" t="s">
        <v>2416</v>
      </c>
      <c r="Z301" s="123" t="s">
        <v>2407</v>
      </c>
      <c r="AA301" s="123" t="s">
        <v>2406</v>
      </c>
      <c r="AB301" s="123" t="s">
        <v>2372</v>
      </c>
      <c r="AC301" s="123"/>
      <c r="AD301" s="110">
        <f>COUNTIF('KK1. Movies'!AI:AI,'TK 15661.Bản quyền phim '!F301)</f>
        <v>0</v>
      </c>
      <c r="AE301" s="110">
        <f>COUNTIF('KK2. Series'!AM:AM,'TK 15661.Bản quyền phim '!F301)</f>
        <v>0</v>
      </c>
      <c r="AF301" s="110">
        <f>COUNTIF('KK3. Kids'!AF:AF,'TK 15661.Bản quyền phim '!F301)</f>
        <v>0</v>
      </c>
      <c r="AG301" s="110"/>
      <c r="AH301" s="110">
        <f t="shared" si="39"/>
        <v>0</v>
      </c>
    </row>
    <row r="302" spans="1:34" hidden="1" x14ac:dyDescent="0.2">
      <c r="B302" s="108" t="s">
        <v>2691</v>
      </c>
      <c r="C302" s="94" t="s">
        <v>2493</v>
      </c>
      <c r="D302" s="94" t="s">
        <v>2690</v>
      </c>
      <c r="E302" s="94" t="s">
        <v>2689</v>
      </c>
      <c r="F302" s="94" t="s">
        <v>2688</v>
      </c>
      <c r="G302" s="94" t="s">
        <v>2417</v>
      </c>
      <c r="H302" s="119">
        <v>1</v>
      </c>
      <c r="I302" s="119">
        <v>3</v>
      </c>
      <c r="J302" s="119">
        <f t="shared" si="33"/>
        <v>3</v>
      </c>
      <c r="K302" s="119">
        <v>101213810</v>
      </c>
      <c r="L302" s="119">
        <v>33737936.666666664</v>
      </c>
      <c r="M302" s="119">
        <f t="shared" si="34"/>
        <v>1</v>
      </c>
      <c r="N302" s="119">
        <f t="shared" si="35"/>
        <v>33737936.666666657</v>
      </c>
      <c r="O302" s="120">
        <v>45637</v>
      </c>
      <c r="P302" s="120">
        <v>46731</v>
      </c>
      <c r="Q302" s="119">
        <v>2</v>
      </c>
      <c r="R302" s="121">
        <v>67475873.333333343</v>
      </c>
      <c r="S302" s="119">
        <v>0</v>
      </c>
      <c r="T302" s="121">
        <v>0</v>
      </c>
      <c r="U302" s="119">
        <v>1</v>
      </c>
      <c r="V302" s="121">
        <f t="shared" si="36"/>
        <v>33737936.666666664</v>
      </c>
      <c r="W302" s="119">
        <f t="shared" si="37"/>
        <v>1</v>
      </c>
      <c r="X302" s="121">
        <f t="shared" si="38"/>
        <v>33737936.666666679</v>
      </c>
      <c r="Y302" s="122" t="s">
        <v>2416</v>
      </c>
      <c r="Z302" s="123" t="s">
        <v>2407</v>
      </c>
      <c r="AA302" s="123" t="s">
        <v>2406</v>
      </c>
      <c r="AB302" s="123" t="s">
        <v>2372</v>
      </c>
      <c r="AC302" s="123"/>
      <c r="AD302" s="110">
        <f>COUNTIF('KK1. Movies'!AI:AI,'TK 15661.Bản quyền phim '!F302)</f>
        <v>0</v>
      </c>
      <c r="AE302" s="110">
        <f>COUNTIF('KK2. Series'!AM:AM,'TK 15661.Bản quyền phim '!F302)</f>
        <v>0</v>
      </c>
      <c r="AF302" s="110">
        <f>COUNTIF('KK3. Kids'!AF:AF,'TK 15661.Bản quyền phim '!F302)</f>
        <v>0</v>
      </c>
      <c r="AG302" s="110"/>
      <c r="AH302" s="110">
        <f t="shared" si="39"/>
        <v>0</v>
      </c>
    </row>
    <row r="303" spans="1:34" ht="15.6" hidden="1" x14ac:dyDescent="0.3">
      <c r="A303" s="47">
        <f>(U303-H303)*L303</f>
        <v>0</v>
      </c>
      <c r="B303" s="108" t="s">
        <v>2687</v>
      </c>
      <c r="C303" s="94" t="s">
        <v>2686</v>
      </c>
      <c r="D303" s="94" t="s">
        <v>2685</v>
      </c>
      <c r="E303" s="94" t="s">
        <v>2684</v>
      </c>
      <c r="F303" s="94" t="s">
        <v>664</v>
      </c>
      <c r="G303" s="94" t="s">
        <v>2581</v>
      </c>
      <c r="H303" s="119">
        <v>8</v>
      </c>
      <c r="I303" s="119">
        <v>7</v>
      </c>
      <c r="J303" s="119">
        <f t="shared" si="33"/>
        <v>56</v>
      </c>
      <c r="K303" s="119">
        <v>1080000000</v>
      </c>
      <c r="L303" s="119">
        <v>19285714.285714287</v>
      </c>
      <c r="M303" s="119">
        <f t="shared" si="34"/>
        <v>8</v>
      </c>
      <c r="N303" s="119">
        <f t="shared" si="35"/>
        <v>154285714.28571427</v>
      </c>
      <c r="O303" s="120">
        <v>45576</v>
      </c>
      <c r="P303" s="120">
        <v>48131</v>
      </c>
      <c r="Q303" s="119">
        <v>48</v>
      </c>
      <c r="R303" s="121">
        <v>925714285.71428573</v>
      </c>
      <c r="S303" s="119">
        <v>0</v>
      </c>
      <c r="T303" s="121">
        <v>0</v>
      </c>
      <c r="U303" s="119">
        <v>8</v>
      </c>
      <c r="V303" s="121">
        <f t="shared" si="36"/>
        <v>154285714.2857143</v>
      </c>
      <c r="W303" s="119">
        <f t="shared" si="37"/>
        <v>40</v>
      </c>
      <c r="X303" s="121">
        <f t="shared" si="38"/>
        <v>771428571.42857146</v>
      </c>
      <c r="Y303" s="122" t="s">
        <v>2427</v>
      </c>
      <c r="Z303" s="123" t="s">
        <v>2407</v>
      </c>
      <c r="AA303" s="123" t="s">
        <v>2406</v>
      </c>
      <c r="AB303" s="123" t="s">
        <v>2372</v>
      </c>
      <c r="AC303" s="124" t="s">
        <v>10</v>
      </c>
      <c r="AD303" s="110">
        <f>COUNTIF('KK1. Movies'!AI:AI,'TK 15661.Bản quyền phim '!F303)</f>
        <v>0</v>
      </c>
      <c r="AE303" s="110">
        <f>COUNTIF('KK2. Series'!AM:AM,'TK 15661.Bản quyền phim '!F303)</f>
        <v>1</v>
      </c>
      <c r="AF303" s="110">
        <f>COUNTIF('KK3. Kids'!AF:AF,'TK 15661.Bản quyền phim '!F303)</f>
        <v>0</v>
      </c>
      <c r="AG303" s="110"/>
      <c r="AH303" s="110" t="str">
        <f t="shared" si="39"/>
        <v>OK</v>
      </c>
    </row>
    <row r="304" spans="1:34" ht="15.6" hidden="1" x14ac:dyDescent="0.3">
      <c r="A304" s="47">
        <f>(U304-H304)*L304</f>
        <v>0</v>
      </c>
      <c r="B304" s="108" t="s">
        <v>2683</v>
      </c>
      <c r="C304" s="94" t="s">
        <v>2412</v>
      </c>
      <c r="D304" s="94" t="s">
        <v>2682</v>
      </c>
      <c r="E304" s="94" t="s">
        <v>2681</v>
      </c>
      <c r="F304" s="94" t="s">
        <v>560</v>
      </c>
      <c r="G304" s="94" t="s">
        <v>2581</v>
      </c>
      <c r="H304" s="119">
        <v>40</v>
      </c>
      <c r="I304" s="119">
        <v>5</v>
      </c>
      <c r="J304" s="119">
        <f t="shared" si="33"/>
        <v>200</v>
      </c>
      <c r="K304" s="119">
        <v>3263773220.4000001</v>
      </c>
      <c r="L304" s="119">
        <v>16318866.102000002</v>
      </c>
      <c r="M304" s="119">
        <f t="shared" si="34"/>
        <v>200</v>
      </c>
      <c r="N304" s="119">
        <f t="shared" si="35"/>
        <v>3263773220.4000001</v>
      </c>
      <c r="O304" s="120">
        <v>45654</v>
      </c>
      <c r="P304" s="120">
        <v>47479</v>
      </c>
      <c r="Q304" s="119">
        <v>0</v>
      </c>
      <c r="R304" s="121">
        <v>0</v>
      </c>
      <c r="S304" s="119">
        <v>200</v>
      </c>
      <c r="T304" s="121">
        <v>3263773220.4000001</v>
      </c>
      <c r="U304" s="119">
        <v>40</v>
      </c>
      <c r="V304" s="121">
        <f t="shared" si="36"/>
        <v>652754644.08000004</v>
      </c>
      <c r="W304" s="119">
        <f t="shared" si="37"/>
        <v>160</v>
      </c>
      <c r="X304" s="121">
        <f t="shared" si="38"/>
        <v>2611018576.3200002</v>
      </c>
      <c r="Y304" s="122" t="s">
        <v>2427</v>
      </c>
      <c r="Z304" s="123" t="s">
        <v>2407</v>
      </c>
      <c r="AA304" s="123" t="s">
        <v>2406</v>
      </c>
      <c r="AB304" s="123" t="s">
        <v>2372</v>
      </c>
      <c r="AC304" s="124" t="s">
        <v>10</v>
      </c>
      <c r="AD304" s="110">
        <f>COUNTIF('KK1. Movies'!AI:AI,'TK 15661.Bản quyền phim '!F304)</f>
        <v>0</v>
      </c>
      <c r="AE304" s="110">
        <f>COUNTIF('KK2. Series'!AM:AM,'TK 15661.Bản quyền phim '!F304)</f>
        <v>1</v>
      </c>
      <c r="AF304" s="110">
        <f>COUNTIF('KK3. Kids'!AF:AF,'TK 15661.Bản quyền phim '!F304)</f>
        <v>0</v>
      </c>
      <c r="AG304" s="110"/>
      <c r="AH304" s="110" t="str">
        <f t="shared" si="39"/>
        <v>OK</v>
      </c>
    </row>
    <row r="305" spans="2:34" ht="15.6" hidden="1" x14ac:dyDescent="0.3">
      <c r="B305" s="108" t="s">
        <v>2680</v>
      </c>
      <c r="C305" s="94" t="s">
        <v>2493</v>
      </c>
      <c r="D305" s="94" t="s">
        <v>2663</v>
      </c>
      <c r="E305" s="94" t="s">
        <v>2662</v>
      </c>
      <c r="F305" s="94" t="s">
        <v>1669</v>
      </c>
      <c r="G305" s="94" t="s">
        <v>2417</v>
      </c>
      <c r="H305" s="119">
        <v>1</v>
      </c>
      <c r="I305" s="119">
        <v>3</v>
      </c>
      <c r="J305" s="119">
        <f t="shared" si="33"/>
        <v>3</v>
      </c>
      <c r="K305" s="119">
        <v>87085714</v>
      </c>
      <c r="L305" s="119">
        <v>29028571.333333332</v>
      </c>
      <c r="M305" s="119">
        <f t="shared" si="34"/>
        <v>3</v>
      </c>
      <c r="N305" s="119">
        <f t="shared" si="35"/>
        <v>87085714</v>
      </c>
      <c r="O305" s="120">
        <v>45665</v>
      </c>
      <c r="P305" s="120">
        <v>46759</v>
      </c>
      <c r="Q305" s="119">
        <v>0</v>
      </c>
      <c r="R305" s="121">
        <v>0</v>
      </c>
      <c r="S305" s="119">
        <v>3</v>
      </c>
      <c r="T305" s="121">
        <v>87085714</v>
      </c>
      <c r="U305" s="119">
        <v>1</v>
      </c>
      <c r="V305" s="121">
        <f t="shared" si="36"/>
        <v>29028571.333333332</v>
      </c>
      <c r="W305" s="119">
        <f t="shared" si="37"/>
        <v>2</v>
      </c>
      <c r="X305" s="121">
        <f t="shared" si="38"/>
        <v>58057142.666666672</v>
      </c>
      <c r="Y305" s="122" t="s">
        <v>2416</v>
      </c>
      <c r="Z305" s="123" t="s">
        <v>2407</v>
      </c>
      <c r="AA305" s="123" t="s">
        <v>2406</v>
      </c>
      <c r="AB305" s="123" t="s">
        <v>2372</v>
      </c>
      <c r="AC305" s="124" t="s">
        <v>12</v>
      </c>
      <c r="AD305" s="110">
        <f>COUNTIF('KK1. Movies'!AI:AI,'TK 15661.Bản quyền phim '!F305)</f>
        <v>1</v>
      </c>
      <c r="AE305" s="110">
        <f>COUNTIF('KK2. Series'!AM:AM,'TK 15661.Bản quyền phim '!F305)</f>
        <v>0</v>
      </c>
      <c r="AF305" s="110">
        <f>COUNTIF('KK3. Kids'!AF:AF,'TK 15661.Bản quyền phim '!F305)</f>
        <v>0</v>
      </c>
      <c r="AG305" s="110"/>
      <c r="AH305" s="110" t="str">
        <f t="shared" si="39"/>
        <v>OK</v>
      </c>
    </row>
    <row r="306" spans="2:34" ht="15.6" hidden="1" x14ac:dyDescent="0.3">
      <c r="B306" s="108" t="s">
        <v>2679</v>
      </c>
      <c r="C306" s="94" t="s">
        <v>2493</v>
      </c>
      <c r="D306" s="94" t="s">
        <v>2663</v>
      </c>
      <c r="E306" s="94" t="s">
        <v>2662</v>
      </c>
      <c r="F306" s="94" t="s">
        <v>1552</v>
      </c>
      <c r="G306" s="94" t="s">
        <v>2417</v>
      </c>
      <c r="H306" s="119">
        <v>1</v>
      </c>
      <c r="I306" s="119">
        <v>3</v>
      </c>
      <c r="J306" s="119">
        <f t="shared" si="33"/>
        <v>3</v>
      </c>
      <c r="K306" s="119">
        <v>84666667</v>
      </c>
      <c r="L306" s="119">
        <v>28222222.333333332</v>
      </c>
      <c r="M306" s="119">
        <f t="shared" si="34"/>
        <v>3</v>
      </c>
      <c r="N306" s="119">
        <f t="shared" si="35"/>
        <v>84666667</v>
      </c>
      <c r="O306" s="120">
        <v>45672</v>
      </c>
      <c r="P306" s="120">
        <v>46766</v>
      </c>
      <c r="Q306" s="119">
        <v>0</v>
      </c>
      <c r="R306" s="121">
        <v>0</v>
      </c>
      <c r="S306" s="119">
        <v>3</v>
      </c>
      <c r="T306" s="121">
        <v>84666667</v>
      </c>
      <c r="U306" s="119">
        <v>1</v>
      </c>
      <c r="V306" s="121">
        <f t="shared" si="36"/>
        <v>28222222.333333332</v>
      </c>
      <c r="W306" s="119">
        <f t="shared" si="37"/>
        <v>2</v>
      </c>
      <c r="X306" s="121">
        <f t="shared" si="38"/>
        <v>56444444.666666672</v>
      </c>
      <c r="Y306" s="122" t="s">
        <v>2416</v>
      </c>
      <c r="Z306" s="123" t="s">
        <v>2407</v>
      </c>
      <c r="AA306" s="123" t="s">
        <v>2406</v>
      </c>
      <c r="AB306" s="123" t="s">
        <v>2372</v>
      </c>
      <c r="AC306" s="124" t="s">
        <v>12</v>
      </c>
      <c r="AD306" s="110">
        <f>COUNTIF('KK1. Movies'!AI:AI,'TK 15661.Bản quyền phim '!F306)</f>
        <v>1</v>
      </c>
      <c r="AE306" s="110">
        <f>COUNTIF('KK2. Series'!AM:AM,'TK 15661.Bản quyền phim '!F306)</f>
        <v>0</v>
      </c>
      <c r="AF306" s="110">
        <f>COUNTIF('KK3. Kids'!AF:AF,'TK 15661.Bản quyền phim '!F306)</f>
        <v>0</v>
      </c>
      <c r="AG306" s="110"/>
      <c r="AH306" s="110" t="str">
        <f t="shared" si="39"/>
        <v>OK</v>
      </c>
    </row>
    <row r="307" spans="2:34" ht="15.6" hidden="1" x14ac:dyDescent="0.3">
      <c r="B307" s="108" t="s">
        <v>2678</v>
      </c>
      <c r="C307" s="94" t="s">
        <v>2493</v>
      </c>
      <c r="D307" s="94" t="s">
        <v>2663</v>
      </c>
      <c r="E307" s="94" t="s">
        <v>2662</v>
      </c>
      <c r="F307" s="94" t="s">
        <v>1720</v>
      </c>
      <c r="G307" s="94" t="s">
        <v>2417</v>
      </c>
      <c r="H307" s="119">
        <v>1</v>
      </c>
      <c r="I307" s="119">
        <v>3</v>
      </c>
      <c r="J307" s="119">
        <f t="shared" si="33"/>
        <v>3</v>
      </c>
      <c r="K307" s="119">
        <v>87085714</v>
      </c>
      <c r="L307" s="119">
        <v>29028571.333333332</v>
      </c>
      <c r="M307" s="119">
        <f t="shared" si="34"/>
        <v>3</v>
      </c>
      <c r="N307" s="119">
        <f t="shared" si="35"/>
        <v>87085714</v>
      </c>
      <c r="O307" s="120">
        <v>45679</v>
      </c>
      <c r="P307" s="120">
        <v>46773</v>
      </c>
      <c r="Q307" s="119">
        <v>0</v>
      </c>
      <c r="R307" s="121">
        <v>0</v>
      </c>
      <c r="S307" s="119">
        <v>3</v>
      </c>
      <c r="T307" s="121">
        <v>87085714</v>
      </c>
      <c r="U307" s="119">
        <v>1</v>
      </c>
      <c r="V307" s="121">
        <f t="shared" si="36"/>
        <v>29028571.333333332</v>
      </c>
      <c r="W307" s="119">
        <f t="shared" si="37"/>
        <v>2</v>
      </c>
      <c r="X307" s="121">
        <f t="shared" si="38"/>
        <v>58057142.666666672</v>
      </c>
      <c r="Y307" s="122" t="s">
        <v>2416</v>
      </c>
      <c r="Z307" s="123" t="s">
        <v>2407</v>
      </c>
      <c r="AA307" s="123" t="s">
        <v>2406</v>
      </c>
      <c r="AB307" s="123" t="s">
        <v>2372</v>
      </c>
      <c r="AC307" s="124" t="s">
        <v>12</v>
      </c>
      <c r="AD307" s="110">
        <f>COUNTIF('KK1. Movies'!AI:AI,'TK 15661.Bản quyền phim '!F307)</f>
        <v>1</v>
      </c>
      <c r="AE307" s="110">
        <f>COUNTIF('KK2. Series'!AM:AM,'TK 15661.Bản quyền phim '!F307)</f>
        <v>0</v>
      </c>
      <c r="AF307" s="110">
        <f>COUNTIF('KK3. Kids'!AF:AF,'TK 15661.Bản quyền phim '!F307)</f>
        <v>0</v>
      </c>
      <c r="AG307" s="110"/>
      <c r="AH307" s="110" t="str">
        <f t="shared" si="39"/>
        <v>OK</v>
      </c>
    </row>
    <row r="308" spans="2:34" ht="15.6" hidden="1" x14ac:dyDescent="0.3">
      <c r="B308" s="108" t="s">
        <v>2677</v>
      </c>
      <c r="C308" s="94" t="s">
        <v>2493</v>
      </c>
      <c r="D308" s="94" t="s">
        <v>2663</v>
      </c>
      <c r="E308" s="94" t="s">
        <v>2662</v>
      </c>
      <c r="F308" s="94" t="s">
        <v>2081</v>
      </c>
      <c r="G308" s="94" t="s">
        <v>2417</v>
      </c>
      <c r="H308" s="119">
        <v>1</v>
      </c>
      <c r="I308" s="119">
        <v>3</v>
      </c>
      <c r="J308" s="119">
        <f t="shared" si="33"/>
        <v>3</v>
      </c>
      <c r="K308" s="119">
        <v>89504762</v>
      </c>
      <c r="L308" s="119">
        <v>29834920.666666668</v>
      </c>
      <c r="M308" s="119">
        <f t="shared" si="34"/>
        <v>3</v>
      </c>
      <c r="N308" s="119">
        <f t="shared" si="35"/>
        <v>89504762</v>
      </c>
      <c r="O308" s="120">
        <v>45689</v>
      </c>
      <c r="P308" s="120">
        <v>46783</v>
      </c>
      <c r="Q308" s="119">
        <v>0</v>
      </c>
      <c r="R308" s="121">
        <v>0</v>
      </c>
      <c r="S308" s="119">
        <v>3</v>
      </c>
      <c r="T308" s="121">
        <v>89504762</v>
      </c>
      <c r="U308" s="119">
        <v>1</v>
      </c>
      <c r="V308" s="121">
        <f t="shared" si="36"/>
        <v>29834920.666666668</v>
      </c>
      <c r="W308" s="119">
        <f t="shared" si="37"/>
        <v>2</v>
      </c>
      <c r="X308" s="121">
        <f t="shared" si="38"/>
        <v>59669841.333333328</v>
      </c>
      <c r="Y308" s="122" t="s">
        <v>2416</v>
      </c>
      <c r="Z308" s="123" t="s">
        <v>2407</v>
      </c>
      <c r="AA308" s="123" t="s">
        <v>2406</v>
      </c>
      <c r="AB308" s="123" t="s">
        <v>2372</v>
      </c>
      <c r="AC308" s="124" t="s">
        <v>12</v>
      </c>
      <c r="AD308" s="110">
        <f>COUNTIF('KK1. Movies'!AI:AI,'TK 15661.Bản quyền phim '!F308)</f>
        <v>1</v>
      </c>
      <c r="AE308" s="110">
        <f>COUNTIF('KK2. Series'!AM:AM,'TK 15661.Bản quyền phim '!F308)</f>
        <v>0</v>
      </c>
      <c r="AF308" s="110">
        <f>COUNTIF('KK3. Kids'!AF:AF,'TK 15661.Bản quyền phim '!F308)</f>
        <v>0</v>
      </c>
      <c r="AG308" s="110"/>
      <c r="AH308" s="110" t="str">
        <f t="shared" si="39"/>
        <v>OK</v>
      </c>
    </row>
    <row r="309" spans="2:34" ht="15.6" hidden="1" x14ac:dyDescent="0.3">
      <c r="B309" s="108" t="s">
        <v>2676</v>
      </c>
      <c r="C309" s="94" t="s">
        <v>2493</v>
      </c>
      <c r="D309" s="94" t="s">
        <v>2663</v>
      </c>
      <c r="E309" s="94" t="s">
        <v>2662</v>
      </c>
      <c r="F309" s="94" t="s">
        <v>2164</v>
      </c>
      <c r="G309" s="94" t="s">
        <v>2417</v>
      </c>
      <c r="H309" s="119">
        <v>1</v>
      </c>
      <c r="I309" s="119">
        <v>3</v>
      </c>
      <c r="J309" s="119">
        <f t="shared" si="33"/>
        <v>3</v>
      </c>
      <c r="K309" s="119">
        <v>87085714</v>
      </c>
      <c r="L309" s="119">
        <v>29028571.333333332</v>
      </c>
      <c r="M309" s="119">
        <f t="shared" si="34"/>
        <v>3</v>
      </c>
      <c r="N309" s="119">
        <f t="shared" si="35"/>
        <v>87085714</v>
      </c>
      <c r="O309" s="120">
        <v>45693</v>
      </c>
      <c r="P309" s="120">
        <v>46787</v>
      </c>
      <c r="Q309" s="119">
        <v>0</v>
      </c>
      <c r="R309" s="121">
        <v>0</v>
      </c>
      <c r="S309" s="119">
        <v>3</v>
      </c>
      <c r="T309" s="121">
        <v>87085714</v>
      </c>
      <c r="U309" s="119">
        <v>1</v>
      </c>
      <c r="V309" s="121">
        <f t="shared" si="36"/>
        <v>29028571.333333332</v>
      </c>
      <c r="W309" s="119">
        <f t="shared" si="37"/>
        <v>2</v>
      </c>
      <c r="X309" s="121">
        <f t="shared" si="38"/>
        <v>58057142.666666672</v>
      </c>
      <c r="Y309" s="122" t="s">
        <v>2416</v>
      </c>
      <c r="Z309" s="123" t="s">
        <v>2407</v>
      </c>
      <c r="AA309" s="123" t="s">
        <v>2406</v>
      </c>
      <c r="AB309" s="123" t="s">
        <v>2372</v>
      </c>
      <c r="AC309" s="124" t="s">
        <v>12</v>
      </c>
      <c r="AD309" s="110">
        <f>COUNTIF('KK1. Movies'!AI:AI,'TK 15661.Bản quyền phim '!F309)</f>
        <v>1</v>
      </c>
      <c r="AE309" s="110">
        <f>COUNTIF('KK2. Series'!AM:AM,'TK 15661.Bản quyền phim '!F309)</f>
        <v>0</v>
      </c>
      <c r="AF309" s="110">
        <f>COUNTIF('KK3. Kids'!AF:AF,'TK 15661.Bản quyền phim '!F309)</f>
        <v>0</v>
      </c>
      <c r="AG309" s="110"/>
      <c r="AH309" s="110" t="str">
        <f t="shared" si="39"/>
        <v>OK</v>
      </c>
    </row>
    <row r="310" spans="2:34" ht="15.6" hidden="1" x14ac:dyDescent="0.3">
      <c r="B310" s="108" t="s">
        <v>2675</v>
      </c>
      <c r="C310" s="94" t="s">
        <v>2493</v>
      </c>
      <c r="D310" s="94" t="s">
        <v>2663</v>
      </c>
      <c r="E310" s="94" t="s">
        <v>2662</v>
      </c>
      <c r="F310" s="94" t="s">
        <v>1710</v>
      </c>
      <c r="G310" s="94" t="s">
        <v>2417</v>
      </c>
      <c r="H310" s="119">
        <v>1</v>
      </c>
      <c r="I310" s="119">
        <v>3</v>
      </c>
      <c r="J310" s="119">
        <f t="shared" si="33"/>
        <v>3</v>
      </c>
      <c r="K310" s="119">
        <v>79828571</v>
      </c>
      <c r="L310" s="119">
        <v>26609523.666666668</v>
      </c>
      <c r="M310" s="119">
        <f t="shared" si="34"/>
        <v>3</v>
      </c>
      <c r="N310" s="119">
        <f t="shared" si="35"/>
        <v>79828571</v>
      </c>
      <c r="O310" s="120">
        <v>45729</v>
      </c>
      <c r="P310" s="120">
        <v>46824</v>
      </c>
      <c r="Q310" s="119">
        <v>0</v>
      </c>
      <c r="R310" s="121">
        <v>0</v>
      </c>
      <c r="S310" s="119">
        <v>3</v>
      </c>
      <c r="T310" s="121">
        <v>79828571</v>
      </c>
      <c r="U310" s="119">
        <v>1</v>
      </c>
      <c r="V310" s="121">
        <f t="shared" si="36"/>
        <v>26609523.666666668</v>
      </c>
      <c r="W310" s="119">
        <f t="shared" si="37"/>
        <v>2</v>
      </c>
      <c r="X310" s="121">
        <f t="shared" si="38"/>
        <v>53219047.333333328</v>
      </c>
      <c r="Y310" s="122" t="s">
        <v>2416</v>
      </c>
      <c r="Z310" s="123" t="s">
        <v>2407</v>
      </c>
      <c r="AA310" s="123" t="s">
        <v>2406</v>
      </c>
      <c r="AB310" s="123" t="s">
        <v>2372</v>
      </c>
      <c r="AC310" s="124" t="s">
        <v>12</v>
      </c>
      <c r="AD310" s="110">
        <f>COUNTIF('KK1. Movies'!AI:AI,'TK 15661.Bản quyền phim '!F310)</f>
        <v>1</v>
      </c>
      <c r="AE310" s="110">
        <f>COUNTIF('KK2. Series'!AM:AM,'TK 15661.Bản quyền phim '!F310)</f>
        <v>0</v>
      </c>
      <c r="AF310" s="110">
        <f>COUNTIF('KK3. Kids'!AF:AF,'TK 15661.Bản quyền phim '!F310)</f>
        <v>0</v>
      </c>
      <c r="AG310" s="110"/>
      <c r="AH310" s="110" t="str">
        <f t="shared" si="39"/>
        <v>OK</v>
      </c>
    </row>
    <row r="311" spans="2:34" ht="15.6" hidden="1" x14ac:dyDescent="0.3">
      <c r="B311" s="108" t="s">
        <v>2674</v>
      </c>
      <c r="C311" s="94" t="s">
        <v>2493</v>
      </c>
      <c r="D311" s="94" t="s">
        <v>2663</v>
      </c>
      <c r="E311" s="94" t="s">
        <v>2662</v>
      </c>
      <c r="F311" s="94" t="s">
        <v>1796</v>
      </c>
      <c r="G311" s="94" t="s">
        <v>2417</v>
      </c>
      <c r="H311" s="119">
        <v>1</v>
      </c>
      <c r="I311" s="119">
        <v>3</v>
      </c>
      <c r="J311" s="119">
        <f t="shared" si="33"/>
        <v>3</v>
      </c>
      <c r="K311" s="119">
        <v>87085714</v>
      </c>
      <c r="L311" s="119">
        <v>29028571.333333332</v>
      </c>
      <c r="M311" s="119">
        <f t="shared" si="34"/>
        <v>3</v>
      </c>
      <c r="N311" s="119">
        <f t="shared" si="35"/>
        <v>87085714</v>
      </c>
      <c r="O311" s="120">
        <v>45765</v>
      </c>
      <c r="P311" s="120">
        <v>46860</v>
      </c>
      <c r="Q311" s="119">
        <v>0</v>
      </c>
      <c r="R311" s="121">
        <v>0</v>
      </c>
      <c r="S311" s="119">
        <v>3</v>
      </c>
      <c r="T311" s="121">
        <v>87085714</v>
      </c>
      <c r="U311" s="119">
        <v>1</v>
      </c>
      <c r="V311" s="121">
        <f t="shared" si="36"/>
        <v>29028571.333333332</v>
      </c>
      <c r="W311" s="119">
        <f t="shared" si="37"/>
        <v>2</v>
      </c>
      <c r="X311" s="121">
        <f t="shared" si="38"/>
        <v>58057142.666666672</v>
      </c>
      <c r="Y311" s="122" t="s">
        <v>2416</v>
      </c>
      <c r="Z311" s="123" t="s">
        <v>2407</v>
      </c>
      <c r="AA311" s="123" t="s">
        <v>2406</v>
      </c>
      <c r="AB311" s="123" t="s">
        <v>2372</v>
      </c>
      <c r="AC311" s="124" t="s">
        <v>12</v>
      </c>
      <c r="AD311" s="110">
        <f>COUNTIF('KK1. Movies'!AI:AI,'TK 15661.Bản quyền phim '!F311)</f>
        <v>1</v>
      </c>
      <c r="AE311" s="110">
        <f>COUNTIF('KK2. Series'!AM:AM,'TK 15661.Bản quyền phim '!F311)</f>
        <v>0</v>
      </c>
      <c r="AF311" s="110">
        <f>COUNTIF('KK3. Kids'!AF:AF,'TK 15661.Bản quyền phim '!F311)</f>
        <v>0</v>
      </c>
      <c r="AG311" s="110"/>
      <c r="AH311" s="110" t="str">
        <f t="shared" si="39"/>
        <v>OK</v>
      </c>
    </row>
    <row r="312" spans="2:34" ht="15.6" hidden="1" x14ac:dyDescent="0.3">
      <c r="B312" s="108" t="s">
        <v>2673</v>
      </c>
      <c r="C312" s="94" t="s">
        <v>2493</v>
      </c>
      <c r="D312" s="94" t="s">
        <v>2663</v>
      </c>
      <c r="E312" s="94" t="s">
        <v>2662</v>
      </c>
      <c r="F312" s="94" t="s">
        <v>2010</v>
      </c>
      <c r="G312" s="94" t="s">
        <v>2417</v>
      </c>
      <c r="H312" s="119">
        <v>1</v>
      </c>
      <c r="I312" s="119">
        <v>3</v>
      </c>
      <c r="J312" s="119">
        <f t="shared" si="33"/>
        <v>3</v>
      </c>
      <c r="K312" s="119">
        <v>77409524</v>
      </c>
      <c r="L312" s="119">
        <v>25803174.666666668</v>
      </c>
      <c r="M312" s="119">
        <f t="shared" si="34"/>
        <v>3</v>
      </c>
      <c r="N312" s="119">
        <f t="shared" si="35"/>
        <v>77409524</v>
      </c>
      <c r="O312" s="120">
        <v>45779</v>
      </c>
      <c r="P312" s="120">
        <v>46874</v>
      </c>
      <c r="Q312" s="119">
        <v>0</v>
      </c>
      <c r="R312" s="121">
        <v>0</v>
      </c>
      <c r="S312" s="119">
        <v>3</v>
      </c>
      <c r="T312" s="121">
        <v>77409524</v>
      </c>
      <c r="U312" s="119">
        <v>1</v>
      </c>
      <c r="V312" s="121">
        <f t="shared" si="36"/>
        <v>25803174.666666668</v>
      </c>
      <c r="W312" s="119">
        <f t="shared" si="37"/>
        <v>2</v>
      </c>
      <c r="X312" s="121">
        <f t="shared" si="38"/>
        <v>51606349.333333328</v>
      </c>
      <c r="Y312" s="122" t="s">
        <v>2416</v>
      </c>
      <c r="Z312" s="123" t="s">
        <v>2407</v>
      </c>
      <c r="AA312" s="123" t="s">
        <v>2406</v>
      </c>
      <c r="AB312" s="123" t="s">
        <v>2372</v>
      </c>
      <c r="AC312" s="124" t="s">
        <v>12</v>
      </c>
      <c r="AD312" s="110">
        <f>COUNTIF('KK1. Movies'!AI:AI,'TK 15661.Bản quyền phim '!F312)</f>
        <v>1</v>
      </c>
      <c r="AE312" s="110">
        <f>COUNTIF('KK2. Series'!AM:AM,'TK 15661.Bản quyền phim '!F312)</f>
        <v>0</v>
      </c>
      <c r="AF312" s="110">
        <f>COUNTIF('KK3. Kids'!AF:AF,'TK 15661.Bản quyền phim '!F312)</f>
        <v>0</v>
      </c>
      <c r="AG312" s="110"/>
      <c r="AH312" s="110" t="str">
        <f t="shared" si="39"/>
        <v>OK</v>
      </c>
    </row>
    <row r="313" spans="2:34" ht="15.6" hidden="1" x14ac:dyDescent="0.3">
      <c r="B313" s="108" t="s">
        <v>2672</v>
      </c>
      <c r="C313" s="94" t="s">
        <v>2493</v>
      </c>
      <c r="D313" s="94" t="s">
        <v>2663</v>
      </c>
      <c r="E313" s="94" t="s">
        <v>2662</v>
      </c>
      <c r="F313" s="94" t="s">
        <v>1974</v>
      </c>
      <c r="G313" s="94" t="s">
        <v>2417</v>
      </c>
      <c r="H313" s="119">
        <v>1</v>
      </c>
      <c r="I313" s="119">
        <v>3</v>
      </c>
      <c r="J313" s="119">
        <f t="shared" si="33"/>
        <v>3</v>
      </c>
      <c r="K313" s="119">
        <v>82247619</v>
      </c>
      <c r="L313" s="119">
        <v>27415873</v>
      </c>
      <c r="M313" s="119">
        <f t="shared" si="34"/>
        <v>3</v>
      </c>
      <c r="N313" s="119">
        <f t="shared" si="35"/>
        <v>82247619</v>
      </c>
      <c r="O313" s="120">
        <v>45784</v>
      </c>
      <c r="P313" s="120">
        <v>46879</v>
      </c>
      <c r="Q313" s="119">
        <v>0</v>
      </c>
      <c r="R313" s="121">
        <v>0</v>
      </c>
      <c r="S313" s="119">
        <v>3</v>
      </c>
      <c r="T313" s="121">
        <v>82247619</v>
      </c>
      <c r="U313" s="119">
        <v>1</v>
      </c>
      <c r="V313" s="121">
        <f t="shared" si="36"/>
        <v>27415873</v>
      </c>
      <c r="W313" s="119">
        <f t="shared" si="37"/>
        <v>2</v>
      </c>
      <c r="X313" s="121">
        <f t="shared" si="38"/>
        <v>54831746</v>
      </c>
      <c r="Y313" s="122" t="s">
        <v>2416</v>
      </c>
      <c r="Z313" s="123" t="s">
        <v>2407</v>
      </c>
      <c r="AA313" s="123" t="s">
        <v>2406</v>
      </c>
      <c r="AB313" s="123" t="s">
        <v>2372</v>
      </c>
      <c r="AC313" s="124" t="s">
        <v>12</v>
      </c>
      <c r="AD313" s="110">
        <f>COUNTIF('KK1. Movies'!AI:AI,'TK 15661.Bản quyền phim '!F313)</f>
        <v>1</v>
      </c>
      <c r="AE313" s="110">
        <f>COUNTIF('KK2. Series'!AM:AM,'TK 15661.Bản quyền phim '!F313)</f>
        <v>0</v>
      </c>
      <c r="AF313" s="110">
        <f>COUNTIF('KK3. Kids'!AF:AF,'TK 15661.Bản quyền phim '!F313)</f>
        <v>0</v>
      </c>
      <c r="AG313" s="110"/>
      <c r="AH313" s="110" t="str">
        <f t="shared" si="39"/>
        <v>OK</v>
      </c>
    </row>
    <row r="314" spans="2:34" ht="15.6" hidden="1" x14ac:dyDescent="0.3">
      <c r="B314" s="108" t="s">
        <v>2671</v>
      </c>
      <c r="C314" s="94" t="s">
        <v>2493</v>
      </c>
      <c r="D314" s="94" t="s">
        <v>2663</v>
      </c>
      <c r="E314" s="94" t="s">
        <v>2662</v>
      </c>
      <c r="F314" s="94" t="s">
        <v>1898</v>
      </c>
      <c r="G314" s="94" t="s">
        <v>2417</v>
      </c>
      <c r="H314" s="119">
        <v>1</v>
      </c>
      <c r="I314" s="119">
        <v>3</v>
      </c>
      <c r="J314" s="119">
        <f t="shared" si="33"/>
        <v>3</v>
      </c>
      <c r="K314" s="119">
        <v>89504762</v>
      </c>
      <c r="L314" s="119">
        <v>29834920.666666668</v>
      </c>
      <c r="M314" s="119">
        <f t="shared" si="34"/>
        <v>3</v>
      </c>
      <c r="N314" s="119">
        <f t="shared" si="35"/>
        <v>89504762</v>
      </c>
      <c r="O314" s="120" t="s">
        <v>2670</v>
      </c>
      <c r="P314" s="120">
        <v>46888</v>
      </c>
      <c r="Q314" s="119">
        <v>0</v>
      </c>
      <c r="R314" s="121">
        <v>0</v>
      </c>
      <c r="S314" s="119">
        <v>3</v>
      </c>
      <c r="T314" s="121">
        <v>89504762</v>
      </c>
      <c r="U314" s="119">
        <v>1</v>
      </c>
      <c r="V314" s="121">
        <f t="shared" si="36"/>
        <v>29834920.666666668</v>
      </c>
      <c r="W314" s="119">
        <f t="shared" si="37"/>
        <v>2</v>
      </c>
      <c r="X314" s="121">
        <f t="shared" si="38"/>
        <v>59669841.333333328</v>
      </c>
      <c r="Y314" s="122" t="s">
        <v>2416</v>
      </c>
      <c r="Z314" s="123" t="s">
        <v>2407</v>
      </c>
      <c r="AA314" s="123" t="s">
        <v>2406</v>
      </c>
      <c r="AB314" s="123" t="s">
        <v>2372</v>
      </c>
      <c r="AC314" s="124" t="s">
        <v>12</v>
      </c>
      <c r="AD314" s="110">
        <f>COUNTIF('KK1. Movies'!AI:AI,'TK 15661.Bản quyền phim '!F314)</f>
        <v>1</v>
      </c>
      <c r="AE314" s="110">
        <f>COUNTIF('KK2. Series'!AM:AM,'TK 15661.Bản quyền phim '!F314)</f>
        <v>0</v>
      </c>
      <c r="AF314" s="110">
        <f>COUNTIF('KK3. Kids'!AF:AF,'TK 15661.Bản quyền phim '!F314)</f>
        <v>0</v>
      </c>
      <c r="AG314" s="110"/>
      <c r="AH314" s="110" t="str">
        <f t="shared" si="39"/>
        <v>OK</v>
      </c>
    </row>
    <row r="315" spans="2:34" ht="15.6" hidden="1" x14ac:dyDescent="0.3">
      <c r="B315" s="108" t="s">
        <v>2669</v>
      </c>
      <c r="C315" s="94" t="s">
        <v>2493</v>
      </c>
      <c r="D315" s="94" t="s">
        <v>2663</v>
      </c>
      <c r="E315" s="94" t="s">
        <v>2662</v>
      </c>
      <c r="F315" s="94" t="s">
        <v>1766</v>
      </c>
      <c r="G315" s="94" t="s">
        <v>2417</v>
      </c>
      <c r="H315" s="119">
        <v>1</v>
      </c>
      <c r="I315" s="119">
        <v>3</v>
      </c>
      <c r="J315" s="119">
        <f t="shared" si="33"/>
        <v>3</v>
      </c>
      <c r="K315" s="119">
        <v>84666667</v>
      </c>
      <c r="L315" s="119">
        <v>28222222.333333332</v>
      </c>
      <c r="M315" s="119">
        <f t="shared" si="34"/>
        <v>3</v>
      </c>
      <c r="N315" s="119">
        <f t="shared" si="35"/>
        <v>84666667</v>
      </c>
      <c r="O315" s="120">
        <v>45813</v>
      </c>
      <c r="P315" s="120">
        <v>46908</v>
      </c>
      <c r="Q315" s="119">
        <v>0</v>
      </c>
      <c r="R315" s="121">
        <v>0</v>
      </c>
      <c r="S315" s="119">
        <v>3</v>
      </c>
      <c r="T315" s="121">
        <v>84666667</v>
      </c>
      <c r="U315" s="119">
        <v>1</v>
      </c>
      <c r="V315" s="121">
        <f t="shared" si="36"/>
        <v>28222222.333333332</v>
      </c>
      <c r="W315" s="119">
        <f t="shared" si="37"/>
        <v>2</v>
      </c>
      <c r="X315" s="121">
        <f t="shared" si="38"/>
        <v>56444444.666666672</v>
      </c>
      <c r="Y315" s="122" t="s">
        <v>2416</v>
      </c>
      <c r="Z315" s="123" t="s">
        <v>2407</v>
      </c>
      <c r="AA315" s="123" t="s">
        <v>2406</v>
      </c>
      <c r="AB315" s="123" t="s">
        <v>2372</v>
      </c>
      <c r="AC315" s="124" t="s">
        <v>12</v>
      </c>
      <c r="AD315" s="110">
        <f>COUNTIF('KK1. Movies'!AI:AI,'TK 15661.Bản quyền phim '!F315)</f>
        <v>1</v>
      </c>
      <c r="AE315" s="110">
        <f>COUNTIF('KK2. Series'!AM:AM,'TK 15661.Bản quyền phim '!F315)</f>
        <v>0</v>
      </c>
      <c r="AF315" s="110">
        <f>COUNTIF('KK3. Kids'!AF:AF,'TK 15661.Bản quyền phim '!F315)</f>
        <v>0</v>
      </c>
      <c r="AG315" s="110"/>
      <c r="AH315" s="110" t="str">
        <f t="shared" si="39"/>
        <v>OK</v>
      </c>
    </row>
    <row r="316" spans="2:34" ht="15.6" hidden="1" x14ac:dyDescent="0.3">
      <c r="B316" s="108" t="s">
        <v>2668</v>
      </c>
      <c r="C316" s="94" t="s">
        <v>2493</v>
      </c>
      <c r="D316" s="94" t="s">
        <v>2663</v>
      </c>
      <c r="E316" s="94" t="s">
        <v>2662</v>
      </c>
      <c r="F316" s="94" t="s">
        <v>1365</v>
      </c>
      <c r="G316" s="94" t="s">
        <v>2417</v>
      </c>
      <c r="H316" s="119">
        <v>1</v>
      </c>
      <c r="I316" s="119">
        <v>3</v>
      </c>
      <c r="J316" s="119">
        <f t="shared" si="33"/>
        <v>3</v>
      </c>
      <c r="K316" s="119">
        <v>82247619</v>
      </c>
      <c r="L316" s="119">
        <v>27415873</v>
      </c>
      <c r="M316" s="119">
        <f t="shared" si="34"/>
        <v>3</v>
      </c>
      <c r="N316" s="119">
        <f t="shared" si="35"/>
        <v>82247619</v>
      </c>
      <c r="O316" s="120">
        <v>45877</v>
      </c>
      <c r="P316" s="120">
        <v>46972</v>
      </c>
      <c r="Q316" s="119">
        <v>0</v>
      </c>
      <c r="R316" s="121">
        <v>0</v>
      </c>
      <c r="S316" s="119">
        <v>3</v>
      </c>
      <c r="T316" s="121">
        <v>82247619</v>
      </c>
      <c r="U316" s="119">
        <v>1</v>
      </c>
      <c r="V316" s="121">
        <f t="shared" si="36"/>
        <v>27415873</v>
      </c>
      <c r="W316" s="119">
        <f t="shared" si="37"/>
        <v>2</v>
      </c>
      <c r="X316" s="121">
        <f t="shared" si="38"/>
        <v>54831746</v>
      </c>
      <c r="Y316" s="122" t="s">
        <v>2416</v>
      </c>
      <c r="Z316" s="123" t="s">
        <v>2407</v>
      </c>
      <c r="AA316" s="123" t="s">
        <v>2406</v>
      </c>
      <c r="AB316" s="123" t="s">
        <v>2372</v>
      </c>
      <c r="AC316" s="124" t="s">
        <v>12</v>
      </c>
      <c r="AD316" s="110">
        <f>COUNTIF('KK1. Movies'!AI:AI,'TK 15661.Bản quyền phim '!F316)</f>
        <v>1</v>
      </c>
      <c r="AE316" s="110">
        <f>COUNTIF('KK2. Series'!AM:AM,'TK 15661.Bản quyền phim '!F316)</f>
        <v>0</v>
      </c>
      <c r="AF316" s="110">
        <f>COUNTIF('KK3. Kids'!AF:AF,'TK 15661.Bản quyền phim '!F316)</f>
        <v>0</v>
      </c>
      <c r="AG316" s="110"/>
      <c r="AH316" s="110" t="str">
        <f t="shared" si="39"/>
        <v>OK</v>
      </c>
    </row>
    <row r="317" spans="2:34" ht="15.6" hidden="1" x14ac:dyDescent="0.3">
      <c r="B317" s="108" t="s">
        <v>2667</v>
      </c>
      <c r="C317" s="94" t="s">
        <v>2493</v>
      </c>
      <c r="D317" s="94" t="s">
        <v>2663</v>
      </c>
      <c r="E317" s="94" t="s">
        <v>2662</v>
      </c>
      <c r="F317" s="94" t="s">
        <v>1361</v>
      </c>
      <c r="G317" s="94" t="s">
        <v>2417</v>
      </c>
      <c r="H317" s="119">
        <v>1</v>
      </c>
      <c r="I317" s="119">
        <v>3</v>
      </c>
      <c r="J317" s="119">
        <f t="shared" si="33"/>
        <v>3</v>
      </c>
      <c r="K317" s="119">
        <v>89504762</v>
      </c>
      <c r="L317" s="119">
        <v>29834920.666666668</v>
      </c>
      <c r="M317" s="119">
        <f t="shared" si="34"/>
        <v>3</v>
      </c>
      <c r="N317" s="119">
        <f t="shared" si="35"/>
        <v>89504762</v>
      </c>
      <c r="O317" s="120">
        <v>45884</v>
      </c>
      <c r="P317" s="120">
        <v>46979</v>
      </c>
      <c r="Q317" s="119">
        <v>0</v>
      </c>
      <c r="R317" s="121">
        <v>0</v>
      </c>
      <c r="S317" s="119">
        <v>3</v>
      </c>
      <c r="T317" s="121">
        <v>89504762</v>
      </c>
      <c r="U317" s="119">
        <v>1</v>
      </c>
      <c r="V317" s="121">
        <f t="shared" si="36"/>
        <v>29834920.666666668</v>
      </c>
      <c r="W317" s="119">
        <f t="shared" si="37"/>
        <v>2</v>
      </c>
      <c r="X317" s="121">
        <f t="shared" si="38"/>
        <v>59669841.333333328</v>
      </c>
      <c r="Y317" s="122" t="s">
        <v>2416</v>
      </c>
      <c r="Z317" s="123" t="s">
        <v>2407</v>
      </c>
      <c r="AA317" s="123" t="s">
        <v>2406</v>
      </c>
      <c r="AB317" s="123" t="s">
        <v>2372</v>
      </c>
      <c r="AC317" s="124" t="s">
        <v>12</v>
      </c>
      <c r="AD317" s="110">
        <f>COUNTIF('KK1. Movies'!AI:AI,'TK 15661.Bản quyền phim '!F317)</f>
        <v>1</v>
      </c>
      <c r="AE317" s="110">
        <f>COUNTIF('KK2. Series'!AM:AM,'TK 15661.Bản quyền phim '!F317)</f>
        <v>0</v>
      </c>
      <c r="AF317" s="110">
        <f>COUNTIF('KK3. Kids'!AF:AF,'TK 15661.Bản quyền phim '!F317)</f>
        <v>0</v>
      </c>
      <c r="AG317" s="110"/>
      <c r="AH317" s="110" t="str">
        <f t="shared" si="39"/>
        <v>OK</v>
      </c>
    </row>
    <row r="318" spans="2:34" ht="15.6" hidden="1" x14ac:dyDescent="0.3">
      <c r="B318" s="108" t="s">
        <v>2666</v>
      </c>
      <c r="C318" s="94" t="s">
        <v>2493</v>
      </c>
      <c r="D318" s="94" t="s">
        <v>2663</v>
      </c>
      <c r="E318" s="94" t="s">
        <v>2662</v>
      </c>
      <c r="F318" s="94" t="s">
        <v>1356</v>
      </c>
      <c r="G318" s="94" t="s">
        <v>2417</v>
      </c>
      <c r="H318" s="119">
        <v>1</v>
      </c>
      <c r="I318" s="119">
        <v>3</v>
      </c>
      <c r="J318" s="119">
        <f t="shared" si="33"/>
        <v>3</v>
      </c>
      <c r="K318" s="119">
        <v>84666667</v>
      </c>
      <c r="L318" s="119">
        <v>28222222.333333332</v>
      </c>
      <c r="M318" s="119">
        <f t="shared" si="34"/>
        <v>3</v>
      </c>
      <c r="N318" s="119">
        <f t="shared" si="35"/>
        <v>84666667</v>
      </c>
      <c r="O318" s="120">
        <v>45896</v>
      </c>
      <c r="P318" s="120">
        <v>46991</v>
      </c>
      <c r="Q318" s="119">
        <v>0</v>
      </c>
      <c r="R318" s="121">
        <v>0</v>
      </c>
      <c r="S318" s="119">
        <v>3</v>
      </c>
      <c r="T318" s="121">
        <v>84666667</v>
      </c>
      <c r="U318" s="119">
        <v>1</v>
      </c>
      <c r="V318" s="121">
        <f t="shared" si="36"/>
        <v>28222222.333333332</v>
      </c>
      <c r="W318" s="119">
        <f t="shared" si="37"/>
        <v>2</v>
      </c>
      <c r="X318" s="121">
        <f t="shared" si="38"/>
        <v>56444444.666666672</v>
      </c>
      <c r="Y318" s="122" t="s">
        <v>2416</v>
      </c>
      <c r="Z318" s="123" t="s">
        <v>2407</v>
      </c>
      <c r="AA318" s="123" t="s">
        <v>2406</v>
      </c>
      <c r="AB318" s="123" t="s">
        <v>2372</v>
      </c>
      <c r="AC318" s="124" t="s">
        <v>12</v>
      </c>
      <c r="AD318" s="110">
        <f>COUNTIF('KK1. Movies'!AI:AI,'TK 15661.Bản quyền phim '!F318)</f>
        <v>1</v>
      </c>
      <c r="AE318" s="110">
        <f>COUNTIF('KK2. Series'!AM:AM,'TK 15661.Bản quyền phim '!F318)</f>
        <v>0</v>
      </c>
      <c r="AF318" s="110">
        <f>COUNTIF('KK3. Kids'!AF:AF,'TK 15661.Bản quyền phim '!F318)</f>
        <v>0</v>
      </c>
      <c r="AG318" s="110"/>
      <c r="AH318" s="110" t="str">
        <f t="shared" si="39"/>
        <v>OK</v>
      </c>
    </row>
    <row r="319" spans="2:34" ht="15.6" hidden="1" x14ac:dyDescent="0.3">
      <c r="B319" s="108" t="s">
        <v>2665</v>
      </c>
      <c r="C319" s="94" t="s">
        <v>2493</v>
      </c>
      <c r="D319" s="94" t="s">
        <v>2663</v>
      </c>
      <c r="E319" s="94" t="s">
        <v>2662</v>
      </c>
      <c r="F319" s="94" t="s">
        <v>1349</v>
      </c>
      <c r="G319" s="94" t="s">
        <v>2417</v>
      </c>
      <c r="H319" s="119">
        <v>1</v>
      </c>
      <c r="I319" s="119">
        <v>3</v>
      </c>
      <c r="J319" s="119">
        <f t="shared" si="33"/>
        <v>3</v>
      </c>
      <c r="K319" s="119">
        <v>91923810</v>
      </c>
      <c r="L319" s="119">
        <v>30641270</v>
      </c>
      <c r="M319" s="119">
        <f t="shared" si="34"/>
        <v>3</v>
      </c>
      <c r="N319" s="119">
        <f t="shared" si="35"/>
        <v>91923810</v>
      </c>
      <c r="O319" s="120">
        <v>45945</v>
      </c>
      <c r="P319" s="120">
        <v>47040</v>
      </c>
      <c r="Q319" s="119">
        <v>0</v>
      </c>
      <c r="R319" s="121">
        <v>0</v>
      </c>
      <c r="S319" s="119">
        <v>3</v>
      </c>
      <c r="T319" s="121">
        <v>91923810</v>
      </c>
      <c r="U319" s="119">
        <v>1</v>
      </c>
      <c r="V319" s="121">
        <f t="shared" si="36"/>
        <v>30641270</v>
      </c>
      <c r="W319" s="119">
        <f t="shared" si="37"/>
        <v>2</v>
      </c>
      <c r="X319" s="121">
        <f t="shared" si="38"/>
        <v>61282540</v>
      </c>
      <c r="Y319" s="122" t="s">
        <v>2416</v>
      </c>
      <c r="Z319" s="123" t="s">
        <v>2407</v>
      </c>
      <c r="AA319" s="123" t="s">
        <v>2406</v>
      </c>
      <c r="AB319" s="123" t="s">
        <v>2372</v>
      </c>
      <c r="AC319" s="124" t="s">
        <v>12</v>
      </c>
      <c r="AD319" s="110">
        <f>COUNTIF('KK1. Movies'!AI:AI,'TK 15661.Bản quyền phim '!F319)</f>
        <v>1</v>
      </c>
      <c r="AE319" s="110">
        <f>COUNTIF('KK2. Series'!AM:AM,'TK 15661.Bản quyền phim '!F319)</f>
        <v>0</v>
      </c>
      <c r="AF319" s="110">
        <f>COUNTIF('KK3. Kids'!AF:AF,'TK 15661.Bản quyền phim '!F319)</f>
        <v>0</v>
      </c>
      <c r="AG319" s="110"/>
      <c r="AH319" s="110" t="str">
        <f t="shared" si="39"/>
        <v>OK</v>
      </c>
    </row>
    <row r="320" spans="2:34" hidden="1" x14ac:dyDescent="0.2">
      <c r="B320" s="108" t="s">
        <v>2664</v>
      </c>
      <c r="C320" s="94" t="s">
        <v>2493</v>
      </c>
      <c r="D320" s="94" t="s">
        <v>2663</v>
      </c>
      <c r="E320" s="94" t="s">
        <v>2662</v>
      </c>
      <c r="F320" s="94" t="s">
        <v>2661</v>
      </c>
      <c r="G320" s="94" t="s">
        <v>2417</v>
      </c>
      <c r="H320" s="119">
        <v>1</v>
      </c>
      <c r="I320" s="119">
        <v>1</v>
      </c>
      <c r="J320" s="119">
        <f t="shared" si="33"/>
        <v>1</v>
      </c>
      <c r="K320" s="119">
        <v>-24761905</v>
      </c>
      <c r="L320" s="119">
        <v>-24761905</v>
      </c>
      <c r="M320" s="119">
        <f t="shared" si="34"/>
        <v>1</v>
      </c>
      <c r="N320" s="119">
        <f t="shared" si="35"/>
        <v>-24761905</v>
      </c>
      <c r="O320" s="120">
        <v>45665</v>
      </c>
      <c r="P320" s="120">
        <v>46029</v>
      </c>
      <c r="Q320" s="119">
        <v>0</v>
      </c>
      <c r="R320" s="121">
        <v>0</v>
      </c>
      <c r="S320" s="119">
        <v>1</v>
      </c>
      <c r="T320" s="121">
        <v>-24761905</v>
      </c>
      <c r="U320" s="119">
        <v>1</v>
      </c>
      <c r="V320" s="121">
        <f t="shared" si="36"/>
        <v>-24761905</v>
      </c>
      <c r="W320" s="119">
        <f t="shared" si="37"/>
        <v>0</v>
      </c>
      <c r="X320" s="121">
        <f t="shared" si="38"/>
        <v>0</v>
      </c>
      <c r="Y320" s="122" t="s">
        <v>2416</v>
      </c>
      <c r="Z320" s="123" t="s">
        <v>2407</v>
      </c>
      <c r="AA320" s="123" t="s">
        <v>2406</v>
      </c>
      <c r="AB320" s="123" t="s">
        <v>2372</v>
      </c>
      <c r="AC320" s="123"/>
      <c r="AD320" s="110">
        <f>COUNTIF('KK1. Movies'!AI:AI,'TK 15661.Bản quyền phim '!F320)</f>
        <v>0</v>
      </c>
      <c r="AE320" s="110">
        <f>COUNTIF('KK2. Series'!AM:AM,'TK 15661.Bản quyền phim '!F320)</f>
        <v>0</v>
      </c>
      <c r="AF320" s="110">
        <f>COUNTIF('KK3. Kids'!AF:AF,'TK 15661.Bản quyền phim '!F320)</f>
        <v>0</v>
      </c>
      <c r="AG320" s="110"/>
      <c r="AH320" s="110">
        <f t="shared" si="39"/>
        <v>0</v>
      </c>
    </row>
    <row r="321" spans="1:34" hidden="1" x14ac:dyDescent="0.2">
      <c r="B321" s="108" t="s">
        <v>2660</v>
      </c>
      <c r="C321" s="94" t="s">
        <v>2493</v>
      </c>
      <c r="D321" s="94" t="s">
        <v>2649</v>
      </c>
      <c r="E321" s="94" t="s">
        <v>2648</v>
      </c>
      <c r="F321" s="94" t="s">
        <v>2659</v>
      </c>
      <c r="G321" s="94" t="s">
        <v>2417</v>
      </c>
      <c r="H321" s="119">
        <v>1</v>
      </c>
      <c r="I321" s="119">
        <v>3</v>
      </c>
      <c r="J321" s="119">
        <f t="shared" si="33"/>
        <v>3</v>
      </c>
      <c r="K321" s="119">
        <v>90476190</v>
      </c>
      <c r="L321" s="119">
        <v>30158730</v>
      </c>
      <c r="M321" s="119">
        <f t="shared" si="34"/>
        <v>3</v>
      </c>
      <c r="N321" s="119">
        <f t="shared" si="35"/>
        <v>90476190</v>
      </c>
      <c r="O321" s="120">
        <v>45659</v>
      </c>
      <c r="P321" s="120">
        <v>46753</v>
      </c>
      <c r="Q321" s="119">
        <v>0</v>
      </c>
      <c r="R321" s="121">
        <v>0</v>
      </c>
      <c r="S321" s="119">
        <v>3</v>
      </c>
      <c r="T321" s="121">
        <v>90476190</v>
      </c>
      <c r="U321" s="119">
        <v>1</v>
      </c>
      <c r="V321" s="121">
        <f t="shared" si="36"/>
        <v>30158730</v>
      </c>
      <c r="W321" s="119">
        <f t="shared" si="37"/>
        <v>2</v>
      </c>
      <c r="X321" s="121">
        <f t="shared" si="38"/>
        <v>60317460</v>
      </c>
      <c r="Y321" s="122" t="s">
        <v>2416</v>
      </c>
      <c r="Z321" s="123" t="s">
        <v>2407</v>
      </c>
      <c r="AA321" s="123" t="s">
        <v>2406</v>
      </c>
      <c r="AB321" s="123" t="s">
        <v>2372</v>
      </c>
      <c r="AC321" s="123"/>
      <c r="AD321" s="110">
        <f>COUNTIF('KK1. Movies'!AI:AI,'TK 15661.Bản quyền phim '!F321)</f>
        <v>0</v>
      </c>
      <c r="AE321" s="110">
        <f>COUNTIF('KK2. Series'!AM:AM,'TK 15661.Bản quyền phim '!F321)</f>
        <v>0</v>
      </c>
      <c r="AF321" s="110">
        <f>COUNTIF('KK3. Kids'!AF:AF,'TK 15661.Bản quyền phim '!F321)</f>
        <v>0</v>
      </c>
      <c r="AG321" s="110"/>
      <c r="AH321" s="110">
        <f t="shared" si="39"/>
        <v>0</v>
      </c>
    </row>
    <row r="322" spans="1:34" ht="15.6" hidden="1" x14ac:dyDescent="0.3">
      <c r="B322" s="108" t="s">
        <v>2658</v>
      </c>
      <c r="C322" s="94" t="s">
        <v>2493</v>
      </c>
      <c r="D322" s="94" t="s">
        <v>2649</v>
      </c>
      <c r="E322" s="94" t="s">
        <v>2648</v>
      </c>
      <c r="F322" s="94" t="s">
        <v>1906</v>
      </c>
      <c r="G322" s="94" t="s">
        <v>2417</v>
      </c>
      <c r="H322" s="119">
        <v>1</v>
      </c>
      <c r="I322" s="119">
        <v>3</v>
      </c>
      <c r="J322" s="119">
        <f t="shared" si="33"/>
        <v>3</v>
      </c>
      <c r="K322" s="119">
        <v>80952381</v>
      </c>
      <c r="L322" s="119">
        <v>26984127</v>
      </c>
      <c r="M322" s="119">
        <f t="shared" si="34"/>
        <v>3</v>
      </c>
      <c r="N322" s="119">
        <f t="shared" si="35"/>
        <v>80952381</v>
      </c>
      <c r="O322" s="120">
        <v>45673</v>
      </c>
      <c r="P322" s="120">
        <v>46767</v>
      </c>
      <c r="Q322" s="119">
        <v>0</v>
      </c>
      <c r="R322" s="121">
        <v>0</v>
      </c>
      <c r="S322" s="119">
        <v>3</v>
      </c>
      <c r="T322" s="121">
        <v>80952381</v>
      </c>
      <c r="U322" s="119">
        <v>1</v>
      </c>
      <c r="V322" s="121">
        <f t="shared" si="36"/>
        <v>26984127</v>
      </c>
      <c r="W322" s="119">
        <f t="shared" si="37"/>
        <v>2</v>
      </c>
      <c r="X322" s="121">
        <f t="shared" si="38"/>
        <v>53968254</v>
      </c>
      <c r="Y322" s="122" t="s">
        <v>2416</v>
      </c>
      <c r="Z322" s="123" t="s">
        <v>2407</v>
      </c>
      <c r="AA322" s="123" t="s">
        <v>2406</v>
      </c>
      <c r="AB322" s="123" t="s">
        <v>2372</v>
      </c>
      <c r="AC322" s="124" t="s">
        <v>12</v>
      </c>
      <c r="AD322" s="110">
        <f>COUNTIF('KK1. Movies'!AI:AI,'TK 15661.Bản quyền phim '!F322)</f>
        <v>1</v>
      </c>
      <c r="AE322" s="110">
        <f>COUNTIF('KK2. Series'!AM:AM,'TK 15661.Bản quyền phim '!F322)</f>
        <v>0</v>
      </c>
      <c r="AF322" s="110">
        <f>COUNTIF('KK3. Kids'!AF:AF,'TK 15661.Bản quyền phim '!F322)</f>
        <v>0</v>
      </c>
      <c r="AG322" s="110"/>
      <c r="AH322" s="110" t="str">
        <f t="shared" si="39"/>
        <v>OK</v>
      </c>
    </row>
    <row r="323" spans="1:34" hidden="1" x14ac:dyDescent="0.2">
      <c r="B323" s="108" t="s">
        <v>2657</v>
      </c>
      <c r="C323" s="94" t="s">
        <v>2493</v>
      </c>
      <c r="D323" s="94" t="s">
        <v>2649</v>
      </c>
      <c r="E323" s="94" t="s">
        <v>2648</v>
      </c>
      <c r="F323" s="94" t="s">
        <v>2656</v>
      </c>
      <c r="G323" s="94" t="s">
        <v>2417</v>
      </c>
      <c r="H323" s="119">
        <v>1</v>
      </c>
      <c r="I323" s="119">
        <v>3</v>
      </c>
      <c r="J323" s="119">
        <f t="shared" si="33"/>
        <v>3</v>
      </c>
      <c r="K323" s="119">
        <v>85714286</v>
      </c>
      <c r="L323" s="119">
        <v>28571428.666666668</v>
      </c>
      <c r="M323" s="119">
        <f t="shared" si="34"/>
        <v>3</v>
      </c>
      <c r="N323" s="119">
        <f t="shared" si="35"/>
        <v>85714286</v>
      </c>
      <c r="O323" s="120">
        <v>45681</v>
      </c>
      <c r="P323" s="120">
        <v>46775</v>
      </c>
      <c r="Q323" s="119">
        <v>0</v>
      </c>
      <c r="R323" s="121">
        <v>0</v>
      </c>
      <c r="S323" s="119">
        <v>3</v>
      </c>
      <c r="T323" s="121">
        <v>85714286</v>
      </c>
      <c r="U323" s="119">
        <v>1</v>
      </c>
      <c r="V323" s="121">
        <f t="shared" si="36"/>
        <v>28571428.666666668</v>
      </c>
      <c r="W323" s="119">
        <f t="shared" si="37"/>
        <v>2</v>
      </c>
      <c r="X323" s="121">
        <f t="shared" si="38"/>
        <v>57142857.333333328</v>
      </c>
      <c r="Y323" s="122" t="s">
        <v>2416</v>
      </c>
      <c r="Z323" s="123" t="s">
        <v>2407</v>
      </c>
      <c r="AA323" s="123" t="s">
        <v>2406</v>
      </c>
      <c r="AB323" s="123" t="s">
        <v>2372</v>
      </c>
      <c r="AC323" s="123"/>
      <c r="AD323" s="110">
        <f>COUNTIF('KK1. Movies'!AI:AI,'TK 15661.Bản quyền phim '!F323)</f>
        <v>0</v>
      </c>
      <c r="AE323" s="110">
        <f>COUNTIF('KK2. Series'!AM:AM,'TK 15661.Bản quyền phim '!F323)</f>
        <v>0</v>
      </c>
      <c r="AF323" s="110">
        <f>COUNTIF('KK3. Kids'!AF:AF,'TK 15661.Bản quyền phim '!F323)</f>
        <v>0</v>
      </c>
      <c r="AG323" s="110"/>
      <c r="AH323" s="110">
        <f t="shared" si="39"/>
        <v>0</v>
      </c>
    </row>
    <row r="324" spans="1:34" ht="15.6" hidden="1" x14ac:dyDescent="0.3">
      <c r="B324" s="108" t="s">
        <v>2655</v>
      </c>
      <c r="C324" s="94" t="s">
        <v>2493</v>
      </c>
      <c r="D324" s="94" t="s">
        <v>2649</v>
      </c>
      <c r="E324" s="94" t="s">
        <v>2648</v>
      </c>
      <c r="F324" s="94" t="s">
        <v>2189</v>
      </c>
      <c r="G324" s="94" t="s">
        <v>2417</v>
      </c>
      <c r="H324" s="119">
        <v>1</v>
      </c>
      <c r="I324" s="119">
        <v>3</v>
      </c>
      <c r="J324" s="119">
        <f t="shared" si="33"/>
        <v>3</v>
      </c>
      <c r="K324" s="119">
        <v>90476190</v>
      </c>
      <c r="L324" s="119">
        <v>30158730</v>
      </c>
      <c r="M324" s="119">
        <f t="shared" si="34"/>
        <v>3</v>
      </c>
      <c r="N324" s="119">
        <f t="shared" si="35"/>
        <v>90476190</v>
      </c>
      <c r="O324" s="120">
        <v>45694</v>
      </c>
      <c r="P324" s="120">
        <v>46788</v>
      </c>
      <c r="Q324" s="119">
        <v>0</v>
      </c>
      <c r="R324" s="121">
        <v>0</v>
      </c>
      <c r="S324" s="119">
        <v>3</v>
      </c>
      <c r="T324" s="121">
        <v>90476190</v>
      </c>
      <c r="U324" s="119">
        <v>1</v>
      </c>
      <c r="V324" s="121">
        <f t="shared" si="36"/>
        <v>30158730</v>
      </c>
      <c r="W324" s="119">
        <f t="shared" si="37"/>
        <v>2</v>
      </c>
      <c r="X324" s="121">
        <f t="shared" si="38"/>
        <v>60317460</v>
      </c>
      <c r="Y324" s="122" t="s">
        <v>2416</v>
      </c>
      <c r="Z324" s="123" t="s">
        <v>2407</v>
      </c>
      <c r="AA324" s="123" t="s">
        <v>2406</v>
      </c>
      <c r="AB324" s="123" t="s">
        <v>2372</v>
      </c>
      <c r="AC324" s="124" t="s">
        <v>12</v>
      </c>
      <c r="AD324" s="110">
        <f>COUNTIF('KK1. Movies'!AI:AI,'TK 15661.Bản quyền phim '!F324)</f>
        <v>1</v>
      </c>
      <c r="AE324" s="110">
        <f>COUNTIF('KK2. Series'!AM:AM,'TK 15661.Bản quyền phim '!F324)</f>
        <v>0</v>
      </c>
      <c r="AF324" s="110">
        <f>COUNTIF('KK3. Kids'!AF:AF,'TK 15661.Bản quyền phim '!F324)</f>
        <v>0</v>
      </c>
      <c r="AG324" s="110"/>
      <c r="AH324" s="110" t="str">
        <f t="shared" si="39"/>
        <v>OK</v>
      </c>
    </row>
    <row r="325" spans="1:34" ht="15.6" hidden="1" x14ac:dyDescent="0.3">
      <c r="B325" s="108" t="s">
        <v>2654</v>
      </c>
      <c r="C325" s="94" t="s">
        <v>2493</v>
      </c>
      <c r="D325" s="94" t="s">
        <v>2649</v>
      </c>
      <c r="E325" s="94" t="s">
        <v>2648</v>
      </c>
      <c r="F325" s="94" t="s">
        <v>1971</v>
      </c>
      <c r="G325" s="94" t="s">
        <v>2417</v>
      </c>
      <c r="H325" s="119">
        <v>1</v>
      </c>
      <c r="I325" s="119">
        <v>3</v>
      </c>
      <c r="J325" s="119">
        <f t="shared" si="33"/>
        <v>3</v>
      </c>
      <c r="K325" s="119">
        <v>68571429</v>
      </c>
      <c r="L325" s="119">
        <v>22857143</v>
      </c>
      <c r="M325" s="119">
        <f t="shared" si="34"/>
        <v>3</v>
      </c>
      <c r="N325" s="119">
        <f t="shared" si="35"/>
        <v>68571429</v>
      </c>
      <c r="O325" s="120">
        <v>45699</v>
      </c>
      <c r="P325" s="120">
        <v>46793</v>
      </c>
      <c r="Q325" s="119">
        <v>0</v>
      </c>
      <c r="R325" s="121">
        <v>0</v>
      </c>
      <c r="S325" s="119">
        <v>3</v>
      </c>
      <c r="T325" s="121">
        <v>68571429</v>
      </c>
      <c r="U325" s="119">
        <v>1</v>
      </c>
      <c r="V325" s="121">
        <f t="shared" si="36"/>
        <v>22857143</v>
      </c>
      <c r="W325" s="119">
        <f t="shared" si="37"/>
        <v>2</v>
      </c>
      <c r="X325" s="121">
        <f t="shared" si="38"/>
        <v>45714286</v>
      </c>
      <c r="Y325" s="122" t="s">
        <v>2416</v>
      </c>
      <c r="Z325" s="123" t="s">
        <v>2407</v>
      </c>
      <c r="AA325" s="123" t="s">
        <v>2406</v>
      </c>
      <c r="AB325" s="123" t="s">
        <v>2372</v>
      </c>
      <c r="AC325" s="124" t="s">
        <v>12</v>
      </c>
      <c r="AD325" s="110">
        <f>COUNTIF('KK1. Movies'!AI:AI,'TK 15661.Bản quyền phim '!F325)</f>
        <v>1</v>
      </c>
      <c r="AE325" s="110">
        <f>COUNTIF('KK2. Series'!AM:AM,'TK 15661.Bản quyền phim '!F325)</f>
        <v>0</v>
      </c>
      <c r="AF325" s="110">
        <f>COUNTIF('KK3. Kids'!AF:AF,'TK 15661.Bản quyền phim '!F325)</f>
        <v>0</v>
      </c>
      <c r="AG325" s="110"/>
      <c r="AH325" s="110" t="str">
        <f t="shared" si="39"/>
        <v>OK</v>
      </c>
    </row>
    <row r="326" spans="1:34" ht="15.6" hidden="1" x14ac:dyDescent="0.3">
      <c r="B326" s="108" t="s">
        <v>2653</v>
      </c>
      <c r="C326" s="94" t="s">
        <v>2493</v>
      </c>
      <c r="D326" s="94" t="s">
        <v>2649</v>
      </c>
      <c r="E326" s="94" t="s">
        <v>2648</v>
      </c>
      <c r="F326" s="94" t="s">
        <v>1344</v>
      </c>
      <c r="G326" s="94" t="s">
        <v>2417</v>
      </c>
      <c r="H326" s="119">
        <v>1</v>
      </c>
      <c r="I326" s="119">
        <v>3</v>
      </c>
      <c r="J326" s="119">
        <f t="shared" ref="J326:J389" si="41">H326*I326</f>
        <v>3</v>
      </c>
      <c r="K326" s="119">
        <v>85714286</v>
      </c>
      <c r="L326" s="119">
        <v>28571428.666666668</v>
      </c>
      <c r="M326" s="119">
        <f t="shared" ref="M326:M389" si="42">J326-Q326</f>
        <v>3</v>
      </c>
      <c r="N326" s="119">
        <f t="shared" ref="N326:N389" si="43">K326-R326</f>
        <v>85714286</v>
      </c>
      <c r="O326" s="120">
        <v>45700</v>
      </c>
      <c r="P326" s="120">
        <v>46794</v>
      </c>
      <c r="Q326" s="119">
        <v>0</v>
      </c>
      <c r="R326" s="121">
        <v>0</v>
      </c>
      <c r="S326" s="119">
        <v>3</v>
      </c>
      <c r="T326" s="121">
        <v>85714286</v>
      </c>
      <c r="U326" s="119">
        <v>1</v>
      </c>
      <c r="V326" s="121">
        <f t="shared" ref="V326:V389" si="44">U326*L326</f>
        <v>28571428.666666668</v>
      </c>
      <c r="W326" s="119">
        <f t="shared" ref="W326:W389" si="45">Q326+S326-U326</f>
        <v>2</v>
      </c>
      <c r="X326" s="121">
        <f t="shared" ref="X326:X389" si="46">R326+T326-V326</f>
        <v>57142857.333333328</v>
      </c>
      <c r="Y326" s="122" t="s">
        <v>2416</v>
      </c>
      <c r="Z326" s="123" t="s">
        <v>2407</v>
      </c>
      <c r="AA326" s="123" t="s">
        <v>2406</v>
      </c>
      <c r="AB326" s="123" t="s">
        <v>2372</v>
      </c>
      <c r="AC326" s="124" t="s">
        <v>12</v>
      </c>
      <c r="AD326" s="110">
        <f>COUNTIF('KK1. Movies'!AI:AI,'TK 15661.Bản quyền phim '!F326)</f>
        <v>1</v>
      </c>
      <c r="AE326" s="110">
        <f>COUNTIF('KK2. Series'!AM:AM,'TK 15661.Bản quyền phim '!F326)</f>
        <v>0</v>
      </c>
      <c r="AF326" s="110">
        <f>COUNTIF('KK3. Kids'!AF:AF,'TK 15661.Bản quyền phim '!F326)</f>
        <v>0</v>
      </c>
      <c r="AG326" s="110"/>
      <c r="AH326" s="110" t="str">
        <f t="shared" si="39"/>
        <v>OK</v>
      </c>
    </row>
    <row r="327" spans="1:34" ht="15.6" hidden="1" x14ac:dyDescent="0.3">
      <c r="B327" s="108" t="s">
        <v>2652</v>
      </c>
      <c r="C327" s="94" t="s">
        <v>2493</v>
      </c>
      <c r="D327" s="94" t="s">
        <v>2649</v>
      </c>
      <c r="E327" s="94" t="s">
        <v>2648</v>
      </c>
      <c r="F327" s="94" t="s">
        <v>1963</v>
      </c>
      <c r="G327" s="94" t="s">
        <v>2417</v>
      </c>
      <c r="H327" s="119">
        <v>1</v>
      </c>
      <c r="I327" s="119">
        <v>3</v>
      </c>
      <c r="J327" s="119">
        <f t="shared" si="41"/>
        <v>3</v>
      </c>
      <c r="K327" s="119">
        <v>85714286</v>
      </c>
      <c r="L327" s="119">
        <v>28571428.666666668</v>
      </c>
      <c r="M327" s="119">
        <f t="shared" si="42"/>
        <v>3</v>
      </c>
      <c r="N327" s="119">
        <f t="shared" si="43"/>
        <v>85714286</v>
      </c>
      <c r="O327" s="120">
        <v>45715</v>
      </c>
      <c r="P327" s="120">
        <v>46809</v>
      </c>
      <c r="Q327" s="119">
        <v>0</v>
      </c>
      <c r="R327" s="121">
        <v>0</v>
      </c>
      <c r="S327" s="119">
        <v>3</v>
      </c>
      <c r="T327" s="121">
        <v>85714286</v>
      </c>
      <c r="U327" s="119">
        <v>1</v>
      </c>
      <c r="V327" s="121">
        <f t="shared" si="44"/>
        <v>28571428.666666668</v>
      </c>
      <c r="W327" s="119">
        <f t="shared" si="45"/>
        <v>2</v>
      </c>
      <c r="X327" s="121">
        <f t="shared" si="46"/>
        <v>57142857.333333328</v>
      </c>
      <c r="Y327" s="122" t="s">
        <v>2416</v>
      </c>
      <c r="Z327" s="123" t="s">
        <v>2407</v>
      </c>
      <c r="AA327" s="123" t="s">
        <v>2406</v>
      </c>
      <c r="AB327" s="123" t="s">
        <v>2372</v>
      </c>
      <c r="AC327" s="124" t="s">
        <v>12</v>
      </c>
      <c r="AD327" s="110">
        <f>COUNTIF('KK1. Movies'!AI:AI,'TK 15661.Bản quyền phim '!F327)</f>
        <v>1</v>
      </c>
      <c r="AE327" s="110">
        <f>COUNTIF('KK2. Series'!AM:AM,'TK 15661.Bản quyền phim '!F327)</f>
        <v>0</v>
      </c>
      <c r="AF327" s="110">
        <f>COUNTIF('KK3. Kids'!AF:AF,'TK 15661.Bản quyền phim '!F327)</f>
        <v>0</v>
      </c>
      <c r="AG327" s="110"/>
      <c r="AH327" s="110" t="str">
        <f t="shared" ref="AH327:AH390" si="47">IF(SUM(AD327:AG327)&gt;0,"OK",0)</f>
        <v>OK</v>
      </c>
    </row>
    <row r="328" spans="1:34" ht="15.6" hidden="1" x14ac:dyDescent="0.3">
      <c r="B328" s="108" t="s">
        <v>2651</v>
      </c>
      <c r="C328" s="94" t="s">
        <v>2493</v>
      </c>
      <c r="D328" s="94" t="s">
        <v>2649</v>
      </c>
      <c r="E328" s="94" t="s">
        <v>2648</v>
      </c>
      <c r="F328" s="94" t="s">
        <v>1776</v>
      </c>
      <c r="G328" s="94" t="s">
        <v>2417</v>
      </c>
      <c r="H328" s="119">
        <v>1</v>
      </c>
      <c r="I328" s="119">
        <v>3</v>
      </c>
      <c r="J328" s="119">
        <f t="shared" si="41"/>
        <v>3</v>
      </c>
      <c r="K328" s="119">
        <v>80476190</v>
      </c>
      <c r="L328" s="119">
        <v>26825396.666666668</v>
      </c>
      <c r="M328" s="119">
        <f t="shared" si="42"/>
        <v>3</v>
      </c>
      <c r="N328" s="119">
        <f t="shared" si="43"/>
        <v>80476190</v>
      </c>
      <c r="O328" s="120">
        <v>45728</v>
      </c>
      <c r="P328" s="120">
        <v>46823</v>
      </c>
      <c r="Q328" s="119">
        <v>0</v>
      </c>
      <c r="R328" s="121">
        <v>0</v>
      </c>
      <c r="S328" s="119">
        <v>3</v>
      </c>
      <c r="T328" s="121">
        <v>80476190</v>
      </c>
      <c r="U328" s="119">
        <v>1</v>
      </c>
      <c r="V328" s="121">
        <f t="shared" si="44"/>
        <v>26825396.666666668</v>
      </c>
      <c r="W328" s="119">
        <f t="shared" si="45"/>
        <v>2</v>
      </c>
      <c r="X328" s="121">
        <f t="shared" si="46"/>
        <v>53650793.333333328</v>
      </c>
      <c r="Y328" s="122" t="s">
        <v>2416</v>
      </c>
      <c r="Z328" s="123" t="s">
        <v>2407</v>
      </c>
      <c r="AA328" s="123" t="s">
        <v>2406</v>
      </c>
      <c r="AB328" s="123" t="s">
        <v>2372</v>
      </c>
      <c r="AC328" s="124" t="s">
        <v>12</v>
      </c>
      <c r="AD328" s="110">
        <f>COUNTIF('KK1. Movies'!AI:AI,'TK 15661.Bản quyền phim '!F328)</f>
        <v>1</v>
      </c>
      <c r="AE328" s="110">
        <f>COUNTIF('KK2. Series'!AM:AM,'TK 15661.Bản quyền phim '!F328)</f>
        <v>0</v>
      </c>
      <c r="AF328" s="110">
        <f>COUNTIF('KK3. Kids'!AF:AF,'TK 15661.Bản quyền phim '!F328)</f>
        <v>0</v>
      </c>
      <c r="AG328" s="110"/>
      <c r="AH328" s="110" t="str">
        <f t="shared" si="47"/>
        <v>OK</v>
      </c>
    </row>
    <row r="329" spans="1:34" ht="15.6" hidden="1" x14ac:dyDescent="0.3">
      <c r="B329" s="108" t="s">
        <v>2650</v>
      </c>
      <c r="C329" s="94" t="s">
        <v>2493</v>
      </c>
      <c r="D329" s="94" t="s">
        <v>2649</v>
      </c>
      <c r="E329" s="94" t="s">
        <v>2648</v>
      </c>
      <c r="F329" s="94" t="s">
        <v>1339</v>
      </c>
      <c r="G329" s="94" t="s">
        <v>2417</v>
      </c>
      <c r="H329" s="119">
        <v>1</v>
      </c>
      <c r="I329" s="119">
        <v>3</v>
      </c>
      <c r="J329" s="119">
        <f t="shared" si="41"/>
        <v>3</v>
      </c>
      <c r="K329" s="119">
        <v>76190476</v>
      </c>
      <c r="L329" s="119">
        <v>25396825.333333332</v>
      </c>
      <c r="M329" s="119">
        <f t="shared" si="42"/>
        <v>3</v>
      </c>
      <c r="N329" s="119">
        <f t="shared" si="43"/>
        <v>76190476</v>
      </c>
      <c r="O329" s="120">
        <v>45932</v>
      </c>
      <c r="P329" s="120">
        <v>46965</v>
      </c>
      <c r="Q329" s="119">
        <v>0</v>
      </c>
      <c r="R329" s="121">
        <v>0</v>
      </c>
      <c r="S329" s="119">
        <v>3</v>
      </c>
      <c r="T329" s="121">
        <v>76190476</v>
      </c>
      <c r="U329" s="119">
        <v>1</v>
      </c>
      <c r="V329" s="121">
        <f t="shared" si="44"/>
        <v>25396825.333333332</v>
      </c>
      <c r="W329" s="119">
        <f t="shared" si="45"/>
        <v>2</v>
      </c>
      <c r="X329" s="121">
        <f t="shared" si="46"/>
        <v>50793650.666666672</v>
      </c>
      <c r="Y329" s="122" t="s">
        <v>2416</v>
      </c>
      <c r="Z329" s="123" t="s">
        <v>2407</v>
      </c>
      <c r="AA329" s="123" t="s">
        <v>2406</v>
      </c>
      <c r="AB329" s="123" t="s">
        <v>2372</v>
      </c>
      <c r="AC329" s="124" t="s">
        <v>12</v>
      </c>
      <c r="AD329" s="110">
        <f>COUNTIF('KK1. Movies'!AI:AI,'TK 15661.Bản quyền phim '!F329)</f>
        <v>1</v>
      </c>
      <c r="AE329" s="110">
        <f>COUNTIF('KK2. Series'!AM:AM,'TK 15661.Bản quyền phim '!F329)</f>
        <v>0</v>
      </c>
      <c r="AF329" s="110">
        <f>COUNTIF('KK3. Kids'!AF:AF,'TK 15661.Bản quyền phim '!F329)</f>
        <v>0</v>
      </c>
      <c r="AG329" s="110"/>
      <c r="AH329" s="110" t="str">
        <f t="shared" si="47"/>
        <v>OK</v>
      </c>
    </row>
    <row r="330" spans="1:34" hidden="1" x14ac:dyDescent="0.2">
      <c r="A330" s="47">
        <f>(U330-H330)*L330</f>
        <v>0</v>
      </c>
      <c r="B330" s="108" t="s">
        <v>2647</v>
      </c>
      <c r="C330" s="94" t="s">
        <v>2412</v>
      </c>
      <c r="D330" s="94" t="s">
        <v>2645</v>
      </c>
      <c r="E330" s="94" t="s">
        <v>2644</v>
      </c>
      <c r="F330" s="94" t="s">
        <v>138</v>
      </c>
      <c r="G330" s="94" t="s">
        <v>2409</v>
      </c>
      <c r="H330" s="119">
        <v>26</v>
      </c>
      <c r="I330" s="119">
        <v>3</v>
      </c>
      <c r="J330" s="119">
        <f t="shared" si="41"/>
        <v>78</v>
      </c>
      <c r="K330" s="119">
        <v>140390250</v>
      </c>
      <c r="L330" s="119">
        <v>1799874.9999999998</v>
      </c>
      <c r="M330" s="119">
        <f t="shared" si="42"/>
        <v>78</v>
      </c>
      <c r="N330" s="119">
        <f t="shared" si="43"/>
        <v>140390250</v>
      </c>
      <c r="O330" s="120">
        <v>45738</v>
      </c>
      <c r="P330" s="120">
        <v>46833</v>
      </c>
      <c r="Q330" s="119">
        <v>0</v>
      </c>
      <c r="R330" s="121">
        <v>0</v>
      </c>
      <c r="S330" s="119">
        <v>78</v>
      </c>
      <c r="T330" s="121">
        <v>140390250</v>
      </c>
      <c r="U330" s="119">
        <v>26</v>
      </c>
      <c r="V330" s="121">
        <f t="shared" si="44"/>
        <v>46796749.999999993</v>
      </c>
      <c r="W330" s="119">
        <f t="shared" si="45"/>
        <v>52</v>
      </c>
      <c r="X330" s="121">
        <f t="shared" si="46"/>
        <v>93593500</v>
      </c>
      <c r="Y330" s="122" t="s">
        <v>2408</v>
      </c>
      <c r="Z330" s="123" t="s">
        <v>2407</v>
      </c>
      <c r="AA330" s="123" t="s">
        <v>2406</v>
      </c>
      <c r="AB330" s="123" t="s">
        <v>2372</v>
      </c>
      <c r="AC330" s="123" t="s">
        <v>8</v>
      </c>
      <c r="AD330" s="110">
        <f>COUNTIF('KK1. Movies'!AI:AI,'TK 15661.Bản quyền phim '!F330)</f>
        <v>0</v>
      </c>
      <c r="AE330" s="110">
        <f>COUNTIF('KK2. Series'!AM:AM,'TK 15661.Bản quyền phim '!F330)</f>
        <v>0</v>
      </c>
      <c r="AF330" s="110">
        <f>COUNTIF('KK3. Kids'!AF:AF,'TK 15661.Bản quyền phim '!F330)</f>
        <v>1</v>
      </c>
      <c r="AG330" s="110"/>
      <c r="AH330" s="110" t="str">
        <f t="shared" si="47"/>
        <v>OK</v>
      </c>
    </row>
    <row r="331" spans="1:34" hidden="1" x14ac:dyDescent="0.2">
      <c r="A331" s="47">
        <f>(U331-H331)*L331</f>
        <v>0</v>
      </c>
      <c r="B331" s="108" t="s">
        <v>2646</v>
      </c>
      <c r="C331" s="94" t="s">
        <v>2412</v>
      </c>
      <c r="D331" s="94" t="s">
        <v>2645</v>
      </c>
      <c r="E331" s="94" t="s">
        <v>2644</v>
      </c>
      <c r="F331" s="94" t="s">
        <v>128</v>
      </c>
      <c r="G331" s="94" t="s">
        <v>2409</v>
      </c>
      <c r="H331" s="119">
        <v>26</v>
      </c>
      <c r="I331" s="119">
        <v>3</v>
      </c>
      <c r="J331" s="119">
        <f t="shared" si="41"/>
        <v>78</v>
      </c>
      <c r="K331" s="119">
        <v>140390250</v>
      </c>
      <c r="L331" s="119">
        <v>1799874.9999999998</v>
      </c>
      <c r="M331" s="119">
        <f t="shared" si="42"/>
        <v>78</v>
      </c>
      <c r="N331" s="119">
        <f t="shared" si="43"/>
        <v>140390250</v>
      </c>
      <c r="O331" s="120">
        <v>45759</v>
      </c>
      <c r="P331" s="120">
        <v>46854</v>
      </c>
      <c r="Q331" s="119">
        <v>0</v>
      </c>
      <c r="R331" s="121">
        <v>0</v>
      </c>
      <c r="S331" s="119">
        <v>78</v>
      </c>
      <c r="T331" s="121">
        <v>140390250</v>
      </c>
      <c r="U331" s="119">
        <v>26</v>
      </c>
      <c r="V331" s="121">
        <f t="shared" si="44"/>
        <v>46796749.999999993</v>
      </c>
      <c r="W331" s="119">
        <f t="shared" si="45"/>
        <v>52</v>
      </c>
      <c r="X331" s="121">
        <f t="shared" si="46"/>
        <v>93593500</v>
      </c>
      <c r="Y331" s="122" t="s">
        <v>2408</v>
      </c>
      <c r="Z331" s="123" t="s">
        <v>2407</v>
      </c>
      <c r="AA331" s="123" t="s">
        <v>2406</v>
      </c>
      <c r="AB331" s="123" t="s">
        <v>2372</v>
      </c>
      <c r="AC331" s="123" t="s">
        <v>8</v>
      </c>
      <c r="AD331" s="110">
        <f>COUNTIF('KK1. Movies'!AI:AI,'TK 15661.Bản quyền phim '!F331)</f>
        <v>0</v>
      </c>
      <c r="AE331" s="110">
        <f>COUNTIF('KK2. Series'!AM:AM,'TK 15661.Bản quyền phim '!F331)</f>
        <v>0</v>
      </c>
      <c r="AF331" s="110">
        <f>COUNTIF('KK3. Kids'!AF:AF,'TK 15661.Bản quyền phim '!F331)</f>
        <v>1</v>
      </c>
      <c r="AG331" s="110"/>
      <c r="AH331" s="110" t="str">
        <f t="shared" si="47"/>
        <v>OK</v>
      </c>
    </row>
    <row r="332" spans="1:34" ht="15.6" hidden="1" x14ac:dyDescent="0.3">
      <c r="B332" s="108" t="s">
        <v>2643</v>
      </c>
      <c r="C332" s="94" t="s">
        <v>2493</v>
      </c>
      <c r="D332" s="94" t="s">
        <v>2634</v>
      </c>
      <c r="E332" s="94" t="s">
        <v>2633</v>
      </c>
      <c r="F332" s="94" t="s">
        <v>1819</v>
      </c>
      <c r="G332" s="94" t="s">
        <v>2417</v>
      </c>
      <c r="H332" s="119">
        <v>1</v>
      </c>
      <c r="I332" s="119">
        <v>3</v>
      </c>
      <c r="J332" s="119">
        <f t="shared" si="41"/>
        <v>3</v>
      </c>
      <c r="K332" s="119">
        <v>97142857</v>
      </c>
      <c r="L332" s="119">
        <v>32380952.333333332</v>
      </c>
      <c r="M332" s="119">
        <f t="shared" si="42"/>
        <v>3</v>
      </c>
      <c r="N332" s="119">
        <f t="shared" si="43"/>
        <v>97142857</v>
      </c>
      <c r="O332" s="120">
        <v>45688</v>
      </c>
      <c r="P332" s="120">
        <v>46782</v>
      </c>
      <c r="Q332" s="119">
        <v>0</v>
      </c>
      <c r="R332" s="121">
        <v>0</v>
      </c>
      <c r="S332" s="119">
        <v>3</v>
      </c>
      <c r="T332" s="121">
        <v>97142857</v>
      </c>
      <c r="U332" s="119">
        <v>1</v>
      </c>
      <c r="V332" s="121">
        <f t="shared" si="44"/>
        <v>32380952.333333332</v>
      </c>
      <c r="W332" s="119">
        <f t="shared" si="45"/>
        <v>2</v>
      </c>
      <c r="X332" s="121">
        <f t="shared" si="46"/>
        <v>64761904.666666672</v>
      </c>
      <c r="Y332" s="122" t="s">
        <v>2416</v>
      </c>
      <c r="Z332" s="123" t="s">
        <v>2407</v>
      </c>
      <c r="AA332" s="123" t="s">
        <v>2406</v>
      </c>
      <c r="AB332" s="123" t="s">
        <v>2372</v>
      </c>
      <c r="AC332" s="124" t="s">
        <v>12</v>
      </c>
      <c r="AD332" s="110">
        <f>COUNTIF('KK1. Movies'!AI:AI,'TK 15661.Bản quyền phim '!F332)</f>
        <v>1</v>
      </c>
      <c r="AE332" s="110">
        <f>COUNTIF('KK2. Series'!AM:AM,'TK 15661.Bản quyền phim '!F332)</f>
        <v>0</v>
      </c>
      <c r="AF332" s="110">
        <f>COUNTIF('KK3. Kids'!AF:AF,'TK 15661.Bản quyền phim '!F332)</f>
        <v>0</v>
      </c>
      <c r="AG332" s="110"/>
      <c r="AH332" s="110" t="str">
        <f t="shared" si="47"/>
        <v>OK</v>
      </c>
    </row>
    <row r="333" spans="1:34" ht="15.6" hidden="1" x14ac:dyDescent="0.3">
      <c r="B333" s="108" t="s">
        <v>2642</v>
      </c>
      <c r="C333" s="94" t="s">
        <v>2493</v>
      </c>
      <c r="D333" s="94" t="s">
        <v>2634</v>
      </c>
      <c r="E333" s="94" t="s">
        <v>2633</v>
      </c>
      <c r="F333" s="94" t="s">
        <v>1602</v>
      </c>
      <c r="G333" s="94" t="s">
        <v>2417</v>
      </c>
      <c r="H333" s="119">
        <v>1</v>
      </c>
      <c r="I333" s="119">
        <v>3</v>
      </c>
      <c r="J333" s="119">
        <f t="shared" si="41"/>
        <v>3</v>
      </c>
      <c r="K333" s="119">
        <v>121428571</v>
      </c>
      <c r="L333" s="119">
        <v>40476190.333333336</v>
      </c>
      <c r="M333" s="119">
        <f t="shared" si="42"/>
        <v>3</v>
      </c>
      <c r="N333" s="119">
        <f t="shared" si="43"/>
        <v>121428571</v>
      </c>
      <c r="O333" s="120">
        <v>45723</v>
      </c>
      <c r="P333" s="120">
        <v>46818</v>
      </c>
      <c r="Q333" s="119">
        <v>0</v>
      </c>
      <c r="R333" s="121">
        <v>0</v>
      </c>
      <c r="S333" s="119">
        <v>3</v>
      </c>
      <c r="T333" s="121">
        <v>121428571</v>
      </c>
      <c r="U333" s="119">
        <v>1</v>
      </c>
      <c r="V333" s="121">
        <f t="shared" si="44"/>
        <v>40476190.333333336</v>
      </c>
      <c r="W333" s="119">
        <f t="shared" si="45"/>
        <v>2</v>
      </c>
      <c r="X333" s="121">
        <f t="shared" si="46"/>
        <v>80952380.666666657</v>
      </c>
      <c r="Y333" s="122" t="s">
        <v>2416</v>
      </c>
      <c r="Z333" s="123" t="s">
        <v>2407</v>
      </c>
      <c r="AA333" s="123" t="s">
        <v>2406</v>
      </c>
      <c r="AB333" s="123" t="s">
        <v>2372</v>
      </c>
      <c r="AC333" s="124" t="s">
        <v>12</v>
      </c>
      <c r="AD333" s="110">
        <f>COUNTIF('KK1. Movies'!AI:AI,'TK 15661.Bản quyền phim '!F333)</f>
        <v>1</v>
      </c>
      <c r="AE333" s="110">
        <f>COUNTIF('KK2. Series'!AM:AM,'TK 15661.Bản quyền phim '!F333)</f>
        <v>0</v>
      </c>
      <c r="AF333" s="110">
        <f>COUNTIF('KK3. Kids'!AF:AF,'TK 15661.Bản quyền phim '!F333)</f>
        <v>0</v>
      </c>
      <c r="AG333" s="110"/>
      <c r="AH333" s="110" t="str">
        <f t="shared" si="47"/>
        <v>OK</v>
      </c>
    </row>
    <row r="334" spans="1:34" ht="15.6" hidden="1" x14ac:dyDescent="0.3">
      <c r="B334" s="108" t="s">
        <v>2641</v>
      </c>
      <c r="C334" s="94" t="s">
        <v>2493</v>
      </c>
      <c r="D334" s="94" t="s">
        <v>2634</v>
      </c>
      <c r="E334" s="94" t="s">
        <v>2633</v>
      </c>
      <c r="F334" s="94" t="s">
        <v>1525</v>
      </c>
      <c r="G334" s="94" t="s">
        <v>2417</v>
      </c>
      <c r="H334" s="119">
        <v>1</v>
      </c>
      <c r="I334" s="119">
        <v>3</v>
      </c>
      <c r="J334" s="119">
        <f t="shared" si="41"/>
        <v>3</v>
      </c>
      <c r="K334" s="119">
        <v>121428571</v>
      </c>
      <c r="L334" s="119">
        <v>40476190.333333336</v>
      </c>
      <c r="M334" s="119">
        <f t="shared" si="42"/>
        <v>3</v>
      </c>
      <c r="N334" s="119">
        <f t="shared" si="43"/>
        <v>121428571</v>
      </c>
      <c r="O334" s="120">
        <v>45730</v>
      </c>
      <c r="P334" s="120">
        <v>46825</v>
      </c>
      <c r="Q334" s="119">
        <v>0</v>
      </c>
      <c r="R334" s="121">
        <v>0</v>
      </c>
      <c r="S334" s="119">
        <v>3</v>
      </c>
      <c r="T334" s="121">
        <v>121428571</v>
      </c>
      <c r="U334" s="119">
        <v>1</v>
      </c>
      <c r="V334" s="121">
        <f t="shared" si="44"/>
        <v>40476190.333333336</v>
      </c>
      <c r="W334" s="119">
        <f t="shared" si="45"/>
        <v>2</v>
      </c>
      <c r="X334" s="121">
        <f t="shared" si="46"/>
        <v>80952380.666666657</v>
      </c>
      <c r="Y334" s="122" t="s">
        <v>2416</v>
      </c>
      <c r="Z334" s="123" t="s">
        <v>2407</v>
      </c>
      <c r="AA334" s="123" t="s">
        <v>2406</v>
      </c>
      <c r="AB334" s="123" t="s">
        <v>2372</v>
      </c>
      <c r="AC334" s="124" t="s">
        <v>12</v>
      </c>
      <c r="AD334" s="110">
        <f>COUNTIF('KK1. Movies'!AI:AI,'TK 15661.Bản quyền phim '!F334)</f>
        <v>1</v>
      </c>
      <c r="AE334" s="110">
        <f>COUNTIF('KK2. Series'!AM:AM,'TK 15661.Bản quyền phim '!F334)</f>
        <v>0</v>
      </c>
      <c r="AF334" s="110">
        <f>COUNTIF('KK3. Kids'!AF:AF,'TK 15661.Bản quyền phim '!F334)</f>
        <v>0</v>
      </c>
      <c r="AG334" s="110"/>
      <c r="AH334" s="110" t="str">
        <f t="shared" si="47"/>
        <v>OK</v>
      </c>
    </row>
    <row r="335" spans="1:34" ht="15.6" hidden="1" x14ac:dyDescent="0.3">
      <c r="B335" s="108" t="s">
        <v>2640</v>
      </c>
      <c r="C335" s="94" t="s">
        <v>2493</v>
      </c>
      <c r="D335" s="94" t="s">
        <v>2634</v>
      </c>
      <c r="E335" s="94" t="s">
        <v>2633</v>
      </c>
      <c r="F335" s="94" t="s">
        <v>1533</v>
      </c>
      <c r="G335" s="94" t="s">
        <v>2417</v>
      </c>
      <c r="H335" s="119">
        <v>1</v>
      </c>
      <c r="I335" s="119">
        <v>3</v>
      </c>
      <c r="J335" s="119">
        <f t="shared" si="41"/>
        <v>3</v>
      </c>
      <c r="K335" s="119">
        <v>42857143</v>
      </c>
      <c r="L335" s="119">
        <v>14285714.333333334</v>
      </c>
      <c r="M335" s="119">
        <f t="shared" si="42"/>
        <v>3</v>
      </c>
      <c r="N335" s="119">
        <f t="shared" si="43"/>
        <v>42857143</v>
      </c>
      <c r="O335" s="120">
        <v>45743</v>
      </c>
      <c r="P335" s="120">
        <v>46838</v>
      </c>
      <c r="Q335" s="119">
        <v>0</v>
      </c>
      <c r="R335" s="121">
        <v>0</v>
      </c>
      <c r="S335" s="119">
        <v>3</v>
      </c>
      <c r="T335" s="121">
        <v>42857143</v>
      </c>
      <c r="U335" s="119">
        <v>1</v>
      </c>
      <c r="V335" s="121">
        <f t="shared" si="44"/>
        <v>14285714.333333334</v>
      </c>
      <c r="W335" s="119">
        <f t="shared" si="45"/>
        <v>2</v>
      </c>
      <c r="X335" s="121">
        <f t="shared" si="46"/>
        <v>28571428.666666664</v>
      </c>
      <c r="Y335" s="122" t="s">
        <v>2416</v>
      </c>
      <c r="Z335" s="123" t="s">
        <v>2407</v>
      </c>
      <c r="AA335" s="123" t="s">
        <v>2406</v>
      </c>
      <c r="AB335" s="123" t="s">
        <v>2372</v>
      </c>
      <c r="AC335" s="124" t="s">
        <v>12</v>
      </c>
      <c r="AD335" s="110">
        <f>COUNTIF('KK1. Movies'!AI:AI,'TK 15661.Bản quyền phim '!F335)</f>
        <v>1</v>
      </c>
      <c r="AE335" s="110">
        <f>COUNTIF('KK2. Series'!AM:AM,'TK 15661.Bản quyền phim '!F335)</f>
        <v>0</v>
      </c>
      <c r="AF335" s="110">
        <f>COUNTIF('KK3. Kids'!AF:AF,'TK 15661.Bản quyền phim '!F335)</f>
        <v>0</v>
      </c>
      <c r="AG335" s="110"/>
      <c r="AH335" s="110" t="str">
        <f t="shared" si="47"/>
        <v>OK</v>
      </c>
    </row>
    <row r="336" spans="1:34" ht="15.6" hidden="1" x14ac:dyDescent="0.3">
      <c r="B336" s="108" t="s">
        <v>2639</v>
      </c>
      <c r="C336" s="94" t="s">
        <v>2493</v>
      </c>
      <c r="D336" s="94" t="s">
        <v>2634</v>
      </c>
      <c r="E336" s="94" t="s">
        <v>2633</v>
      </c>
      <c r="F336" s="94" t="s">
        <v>2182</v>
      </c>
      <c r="G336" s="94" t="s">
        <v>2417</v>
      </c>
      <c r="H336" s="119">
        <v>1</v>
      </c>
      <c r="I336" s="119">
        <v>3</v>
      </c>
      <c r="J336" s="119">
        <f t="shared" si="41"/>
        <v>3</v>
      </c>
      <c r="K336" s="119">
        <v>71428571</v>
      </c>
      <c r="L336" s="119">
        <v>23809523.666666668</v>
      </c>
      <c r="M336" s="119">
        <f t="shared" si="42"/>
        <v>3</v>
      </c>
      <c r="N336" s="119">
        <f t="shared" si="43"/>
        <v>71428571</v>
      </c>
      <c r="O336" s="120">
        <v>45751</v>
      </c>
      <c r="P336" s="120">
        <v>46846</v>
      </c>
      <c r="Q336" s="119">
        <v>0</v>
      </c>
      <c r="R336" s="121">
        <v>0</v>
      </c>
      <c r="S336" s="119">
        <v>3</v>
      </c>
      <c r="T336" s="121">
        <v>71428571</v>
      </c>
      <c r="U336" s="119">
        <v>1</v>
      </c>
      <c r="V336" s="121">
        <f t="shared" si="44"/>
        <v>23809523.666666668</v>
      </c>
      <c r="W336" s="119">
        <f t="shared" si="45"/>
        <v>2</v>
      </c>
      <c r="X336" s="121">
        <f t="shared" si="46"/>
        <v>47619047.333333328</v>
      </c>
      <c r="Y336" s="122" t="s">
        <v>2416</v>
      </c>
      <c r="Z336" s="123" t="s">
        <v>2407</v>
      </c>
      <c r="AA336" s="123" t="s">
        <v>2406</v>
      </c>
      <c r="AB336" s="123" t="s">
        <v>2372</v>
      </c>
      <c r="AC336" s="124" t="s">
        <v>12</v>
      </c>
      <c r="AD336" s="110">
        <f>COUNTIF('KK1. Movies'!AI:AI,'TK 15661.Bản quyền phim '!F336)</f>
        <v>1</v>
      </c>
      <c r="AE336" s="110">
        <f>COUNTIF('KK2. Series'!AM:AM,'TK 15661.Bản quyền phim '!F336)</f>
        <v>0</v>
      </c>
      <c r="AF336" s="110">
        <f>COUNTIF('KK3. Kids'!AF:AF,'TK 15661.Bản quyền phim '!F336)</f>
        <v>0</v>
      </c>
      <c r="AG336" s="110"/>
      <c r="AH336" s="110" t="str">
        <f t="shared" si="47"/>
        <v>OK</v>
      </c>
    </row>
    <row r="337" spans="1:34" ht="15.6" hidden="1" x14ac:dyDescent="0.3">
      <c r="B337" s="108" t="s">
        <v>2638</v>
      </c>
      <c r="C337" s="94" t="s">
        <v>2493</v>
      </c>
      <c r="D337" s="94" t="s">
        <v>2634</v>
      </c>
      <c r="E337" s="94" t="s">
        <v>2633</v>
      </c>
      <c r="F337" s="94" t="s">
        <v>2153</v>
      </c>
      <c r="G337" s="94" t="s">
        <v>2417</v>
      </c>
      <c r="H337" s="119">
        <v>1</v>
      </c>
      <c r="I337" s="119">
        <v>3</v>
      </c>
      <c r="J337" s="119">
        <f t="shared" si="41"/>
        <v>3</v>
      </c>
      <c r="K337" s="119">
        <v>66666667</v>
      </c>
      <c r="L337" s="119">
        <v>22222222.333333332</v>
      </c>
      <c r="M337" s="119">
        <f t="shared" si="42"/>
        <v>3</v>
      </c>
      <c r="N337" s="119">
        <f t="shared" si="43"/>
        <v>66666667</v>
      </c>
      <c r="O337" s="120">
        <v>45757</v>
      </c>
      <c r="P337" s="120">
        <v>46852</v>
      </c>
      <c r="Q337" s="119">
        <v>0</v>
      </c>
      <c r="R337" s="121">
        <v>0</v>
      </c>
      <c r="S337" s="119">
        <v>3</v>
      </c>
      <c r="T337" s="121">
        <v>66666667</v>
      </c>
      <c r="U337" s="119">
        <v>1</v>
      </c>
      <c r="V337" s="121">
        <f t="shared" si="44"/>
        <v>22222222.333333332</v>
      </c>
      <c r="W337" s="119">
        <f t="shared" si="45"/>
        <v>2</v>
      </c>
      <c r="X337" s="121">
        <f t="shared" si="46"/>
        <v>44444444.666666672</v>
      </c>
      <c r="Y337" s="122" t="s">
        <v>2416</v>
      </c>
      <c r="Z337" s="123" t="s">
        <v>2407</v>
      </c>
      <c r="AA337" s="123" t="s">
        <v>2406</v>
      </c>
      <c r="AB337" s="123" t="s">
        <v>2372</v>
      </c>
      <c r="AC337" s="124" t="s">
        <v>12</v>
      </c>
      <c r="AD337" s="110">
        <f>COUNTIF('KK1. Movies'!AI:AI,'TK 15661.Bản quyền phim '!F337)</f>
        <v>1</v>
      </c>
      <c r="AE337" s="110">
        <f>COUNTIF('KK2. Series'!AM:AM,'TK 15661.Bản quyền phim '!F337)</f>
        <v>0</v>
      </c>
      <c r="AF337" s="110">
        <f>COUNTIF('KK3. Kids'!AF:AF,'TK 15661.Bản quyền phim '!F337)</f>
        <v>0</v>
      </c>
      <c r="AG337" s="110"/>
      <c r="AH337" s="110" t="str">
        <f t="shared" si="47"/>
        <v>OK</v>
      </c>
    </row>
    <row r="338" spans="1:34" ht="15.6" hidden="1" x14ac:dyDescent="0.3">
      <c r="B338" s="108" t="s">
        <v>2637</v>
      </c>
      <c r="C338" s="94" t="s">
        <v>2493</v>
      </c>
      <c r="D338" s="94" t="s">
        <v>2634</v>
      </c>
      <c r="E338" s="94" t="s">
        <v>2633</v>
      </c>
      <c r="F338" s="94" t="s">
        <v>2116</v>
      </c>
      <c r="G338" s="94" t="s">
        <v>2417</v>
      </c>
      <c r="H338" s="119">
        <v>1</v>
      </c>
      <c r="I338" s="119">
        <v>3</v>
      </c>
      <c r="J338" s="119">
        <f t="shared" si="41"/>
        <v>3</v>
      </c>
      <c r="K338" s="119">
        <v>85714286</v>
      </c>
      <c r="L338" s="119">
        <v>28571428.666666668</v>
      </c>
      <c r="M338" s="119">
        <f t="shared" si="42"/>
        <v>3</v>
      </c>
      <c r="N338" s="119">
        <f t="shared" si="43"/>
        <v>85714286</v>
      </c>
      <c r="O338" s="120">
        <v>45764</v>
      </c>
      <c r="P338" s="120">
        <v>46859</v>
      </c>
      <c r="Q338" s="119">
        <v>0</v>
      </c>
      <c r="R338" s="121">
        <v>0</v>
      </c>
      <c r="S338" s="119">
        <v>3</v>
      </c>
      <c r="T338" s="121">
        <v>85714286</v>
      </c>
      <c r="U338" s="119">
        <v>1</v>
      </c>
      <c r="V338" s="121">
        <f t="shared" si="44"/>
        <v>28571428.666666668</v>
      </c>
      <c r="W338" s="119">
        <f t="shared" si="45"/>
        <v>2</v>
      </c>
      <c r="X338" s="121">
        <f t="shared" si="46"/>
        <v>57142857.333333328</v>
      </c>
      <c r="Y338" s="122" t="s">
        <v>2416</v>
      </c>
      <c r="Z338" s="123" t="s">
        <v>2407</v>
      </c>
      <c r="AA338" s="123" t="s">
        <v>2406</v>
      </c>
      <c r="AB338" s="123" t="s">
        <v>2372</v>
      </c>
      <c r="AC338" s="124" t="s">
        <v>12</v>
      </c>
      <c r="AD338" s="110">
        <f>COUNTIF('KK1. Movies'!AI:AI,'TK 15661.Bản quyền phim '!F338)</f>
        <v>1</v>
      </c>
      <c r="AE338" s="110">
        <f>COUNTIF('KK2. Series'!AM:AM,'TK 15661.Bản quyền phim '!F338)</f>
        <v>0</v>
      </c>
      <c r="AF338" s="110">
        <f>COUNTIF('KK3. Kids'!AF:AF,'TK 15661.Bản quyền phim '!F338)</f>
        <v>0</v>
      </c>
      <c r="AG338" s="110"/>
      <c r="AH338" s="110" t="str">
        <f t="shared" si="47"/>
        <v>OK</v>
      </c>
    </row>
    <row r="339" spans="1:34" ht="15.6" hidden="1" x14ac:dyDescent="0.3">
      <c r="B339" s="108" t="s">
        <v>2636</v>
      </c>
      <c r="C339" s="94" t="s">
        <v>2493</v>
      </c>
      <c r="D339" s="94" t="s">
        <v>2634</v>
      </c>
      <c r="E339" s="94" t="s">
        <v>2633</v>
      </c>
      <c r="F339" s="94" t="s">
        <v>1334</v>
      </c>
      <c r="G339" s="94" t="s">
        <v>2490</v>
      </c>
      <c r="H339" s="119">
        <v>1</v>
      </c>
      <c r="I339" s="119">
        <v>3</v>
      </c>
      <c r="J339" s="119">
        <f t="shared" si="41"/>
        <v>3</v>
      </c>
      <c r="K339" s="119">
        <v>66666667</v>
      </c>
      <c r="L339" s="119">
        <v>22222222.333333332</v>
      </c>
      <c r="M339" s="119">
        <f t="shared" si="42"/>
        <v>3</v>
      </c>
      <c r="N339" s="119">
        <f t="shared" si="43"/>
        <v>66666667</v>
      </c>
      <c r="O339" s="120">
        <v>45947</v>
      </c>
      <c r="P339" s="120">
        <v>47042</v>
      </c>
      <c r="Q339" s="119">
        <v>0</v>
      </c>
      <c r="R339" s="121">
        <v>0</v>
      </c>
      <c r="S339" s="119">
        <v>3</v>
      </c>
      <c r="T339" s="121">
        <v>66666667</v>
      </c>
      <c r="U339" s="119">
        <v>1</v>
      </c>
      <c r="V339" s="121">
        <f t="shared" si="44"/>
        <v>22222222.333333332</v>
      </c>
      <c r="W339" s="119">
        <f t="shared" si="45"/>
        <v>2</v>
      </c>
      <c r="X339" s="121">
        <f t="shared" si="46"/>
        <v>44444444.666666672</v>
      </c>
      <c r="Y339" s="122" t="s">
        <v>2489</v>
      </c>
      <c r="Z339" s="123" t="s">
        <v>2407</v>
      </c>
      <c r="AA339" s="123" t="s">
        <v>2406</v>
      </c>
      <c r="AB339" s="123" t="s">
        <v>2372</v>
      </c>
      <c r="AC339" s="124" t="s">
        <v>12</v>
      </c>
      <c r="AD339" s="110">
        <f>COUNTIF('KK1. Movies'!AI:AI,'TK 15661.Bản quyền phim '!F339)</f>
        <v>1</v>
      </c>
      <c r="AE339" s="110">
        <f>COUNTIF('KK2. Series'!AM:AM,'TK 15661.Bản quyền phim '!F339)</f>
        <v>0</v>
      </c>
      <c r="AF339" s="110">
        <f>COUNTIF('KK3. Kids'!AF:AF,'TK 15661.Bản quyền phim '!F339)</f>
        <v>0</v>
      </c>
      <c r="AG339" s="110"/>
      <c r="AH339" s="110" t="str">
        <f t="shared" si="47"/>
        <v>OK</v>
      </c>
    </row>
    <row r="340" spans="1:34" hidden="1" x14ac:dyDescent="0.2">
      <c r="B340" s="108" t="s">
        <v>2635</v>
      </c>
      <c r="C340" s="94" t="s">
        <v>2493</v>
      </c>
      <c r="D340" s="94" t="s">
        <v>2634</v>
      </c>
      <c r="E340" s="94" t="s">
        <v>2633</v>
      </c>
      <c r="F340" s="94" t="s">
        <v>2632</v>
      </c>
      <c r="G340" s="94" t="s">
        <v>2417</v>
      </c>
      <c r="H340" s="119">
        <v>1</v>
      </c>
      <c r="I340" s="119">
        <v>1</v>
      </c>
      <c r="J340" s="119">
        <f t="shared" si="41"/>
        <v>1</v>
      </c>
      <c r="K340" s="119">
        <v>-11428571</v>
      </c>
      <c r="L340" s="119">
        <v>-11428571</v>
      </c>
      <c r="M340" s="119">
        <f t="shared" si="42"/>
        <v>1</v>
      </c>
      <c r="N340" s="119">
        <f t="shared" si="43"/>
        <v>-11428571</v>
      </c>
      <c r="O340" s="120">
        <v>45688</v>
      </c>
      <c r="P340" s="120">
        <v>46052</v>
      </c>
      <c r="Q340" s="119">
        <v>0</v>
      </c>
      <c r="R340" s="121">
        <v>0</v>
      </c>
      <c r="S340" s="119">
        <v>1</v>
      </c>
      <c r="T340" s="121">
        <v>-11428571</v>
      </c>
      <c r="U340" s="119">
        <v>1</v>
      </c>
      <c r="V340" s="121">
        <f t="shared" si="44"/>
        <v>-11428571</v>
      </c>
      <c r="W340" s="119">
        <f t="shared" si="45"/>
        <v>0</v>
      </c>
      <c r="X340" s="121">
        <f t="shared" si="46"/>
        <v>0</v>
      </c>
      <c r="Y340" s="122" t="s">
        <v>2416</v>
      </c>
      <c r="Z340" s="123" t="s">
        <v>2407</v>
      </c>
      <c r="AA340" s="123" t="s">
        <v>2406</v>
      </c>
      <c r="AB340" s="123" t="s">
        <v>2372</v>
      </c>
      <c r="AC340" s="123"/>
      <c r="AD340" s="110">
        <f>COUNTIF('KK1. Movies'!AI:AI,'TK 15661.Bản quyền phim '!F340)</f>
        <v>0</v>
      </c>
      <c r="AE340" s="110">
        <f>COUNTIF('KK2. Series'!AM:AM,'TK 15661.Bản quyền phim '!F340)</f>
        <v>0</v>
      </c>
      <c r="AF340" s="110">
        <f>COUNTIF('KK3. Kids'!AF:AF,'TK 15661.Bản quyền phim '!F340)</f>
        <v>0</v>
      </c>
      <c r="AG340" s="110"/>
      <c r="AH340" s="110">
        <f t="shared" si="47"/>
        <v>0</v>
      </c>
    </row>
    <row r="341" spans="1:34" ht="15.6" hidden="1" x14ac:dyDescent="0.3">
      <c r="A341" s="47">
        <f>(U341-H341)*L341</f>
        <v>0</v>
      </c>
      <c r="B341" s="108" t="s">
        <v>2631</v>
      </c>
      <c r="C341" s="94" t="s">
        <v>2412</v>
      </c>
      <c r="D341" s="94" t="s">
        <v>2630</v>
      </c>
      <c r="E341" s="94" t="s">
        <v>2629</v>
      </c>
      <c r="F341" s="94" t="s">
        <v>546</v>
      </c>
      <c r="G341" s="94" t="s">
        <v>2428</v>
      </c>
      <c r="H341" s="119">
        <v>32</v>
      </c>
      <c r="I341" s="119">
        <v>5</v>
      </c>
      <c r="J341" s="119">
        <f t="shared" si="41"/>
        <v>160</v>
      </c>
      <c r="K341" s="119">
        <v>2710397289.5999999</v>
      </c>
      <c r="L341" s="119">
        <v>16939983.059999999</v>
      </c>
      <c r="M341" s="119">
        <f t="shared" si="42"/>
        <v>160</v>
      </c>
      <c r="N341" s="119">
        <f t="shared" si="43"/>
        <v>2710397289.5999999</v>
      </c>
      <c r="O341" s="120">
        <v>45665</v>
      </c>
      <c r="P341" s="120">
        <v>47490</v>
      </c>
      <c r="Q341" s="119">
        <v>0</v>
      </c>
      <c r="R341" s="121">
        <v>0</v>
      </c>
      <c r="S341" s="119">
        <v>160</v>
      </c>
      <c r="T341" s="121">
        <v>2710397289.5999999</v>
      </c>
      <c r="U341" s="119">
        <v>32</v>
      </c>
      <c r="V341" s="121">
        <f t="shared" si="44"/>
        <v>542079457.91999996</v>
      </c>
      <c r="W341" s="119">
        <f t="shared" si="45"/>
        <v>128</v>
      </c>
      <c r="X341" s="121">
        <f t="shared" si="46"/>
        <v>2168317831.6799998</v>
      </c>
      <c r="Y341" s="122" t="s">
        <v>2427</v>
      </c>
      <c r="Z341" s="123" t="s">
        <v>2407</v>
      </c>
      <c r="AA341" s="123" t="s">
        <v>2406</v>
      </c>
      <c r="AB341" s="123" t="s">
        <v>2372</v>
      </c>
      <c r="AC341" s="124" t="s">
        <v>10</v>
      </c>
      <c r="AD341" s="110">
        <f>COUNTIF('KK1. Movies'!AI:AI,'TK 15661.Bản quyền phim '!F341)</f>
        <v>0</v>
      </c>
      <c r="AE341" s="110">
        <f>COUNTIF('KK2. Series'!AM:AM,'TK 15661.Bản quyền phim '!F341)</f>
        <v>1</v>
      </c>
      <c r="AF341" s="110">
        <f>COUNTIF('KK3. Kids'!AF:AF,'TK 15661.Bản quyền phim '!F341)</f>
        <v>0</v>
      </c>
      <c r="AG341" s="110"/>
      <c r="AH341" s="110" t="str">
        <f t="shared" si="47"/>
        <v>OK</v>
      </c>
    </row>
    <row r="342" spans="1:34" ht="15.6" hidden="1" x14ac:dyDescent="0.3">
      <c r="B342" s="108" t="s">
        <v>2628</v>
      </c>
      <c r="C342" s="94" t="s">
        <v>2493</v>
      </c>
      <c r="D342" s="94" t="s">
        <v>2627</v>
      </c>
      <c r="E342" s="94" t="s">
        <v>2626</v>
      </c>
      <c r="F342" s="94" t="s">
        <v>2026</v>
      </c>
      <c r="G342" s="94" t="s">
        <v>2490</v>
      </c>
      <c r="H342" s="119">
        <v>1</v>
      </c>
      <c r="I342" s="119">
        <v>3</v>
      </c>
      <c r="J342" s="119">
        <f t="shared" si="41"/>
        <v>3</v>
      </c>
      <c r="K342" s="119">
        <v>75471000</v>
      </c>
      <c r="L342" s="119">
        <v>25157000</v>
      </c>
      <c r="M342" s="119">
        <f t="shared" si="42"/>
        <v>3</v>
      </c>
      <c r="N342" s="119">
        <f t="shared" si="43"/>
        <v>75471000</v>
      </c>
      <c r="O342" s="120">
        <v>45686</v>
      </c>
      <c r="P342" s="120">
        <v>46780</v>
      </c>
      <c r="Q342" s="119">
        <v>0</v>
      </c>
      <c r="R342" s="121">
        <v>0</v>
      </c>
      <c r="S342" s="119">
        <v>3</v>
      </c>
      <c r="T342" s="121">
        <v>75471000</v>
      </c>
      <c r="U342" s="119">
        <v>1</v>
      </c>
      <c r="V342" s="121">
        <f t="shared" si="44"/>
        <v>25157000</v>
      </c>
      <c r="W342" s="119">
        <f t="shared" si="45"/>
        <v>2</v>
      </c>
      <c r="X342" s="121">
        <f t="shared" si="46"/>
        <v>50314000</v>
      </c>
      <c r="Y342" s="122" t="s">
        <v>2489</v>
      </c>
      <c r="Z342" s="123" t="s">
        <v>2407</v>
      </c>
      <c r="AA342" s="123" t="s">
        <v>2406</v>
      </c>
      <c r="AB342" s="123" t="s">
        <v>2372</v>
      </c>
      <c r="AC342" s="124" t="s">
        <v>12</v>
      </c>
      <c r="AD342" s="110">
        <f>COUNTIF('KK1. Movies'!AI:AI,'TK 15661.Bản quyền phim '!F342)</f>
        <v>1</v>
      </c>
      <c r="AE342" s="110">
        <f>COUNTIF('KK2. Series'!AM:AM,'TK 15661.Bản quyền phim '!F342)</f>
        <v>0</v>
      </c>
      <c r="AF342" s="110">
        <f>COUNTIF('KK3. Kids'!AF:AF,'TK 15661.Bản quyền phim '!F342)</f>
        <v>0</v>
      </c>
      <c r="AG342" s="110"/>
      <c r="AH342" s="110" t="str">
        <f t="shared" si="47"/>
        <v>OK</v>
      </c>
    </row>
    <row r="343" spans="1:34" ht="15.6" hidden="1" x14ac:dyDescent="0.3">
      <c r="B343" s="108" t="s">
        <v>2625</v>
      </c>
      <c r="C343" s="94" t="s">
        <v>2493</v>
      </c>
      <c r="D343" s="94" t="s">
        <v>2604</v>
      </c>
      <c r="E343" s="94" t="s">
        <v>2603</v>
      </c>
      <c r="F343" s="94" t="s">
        <v>2362</v>
      </c>
      <c r="G343" s="94" t="s">
        <v>2417</v>
      </c>
      <c r="H343" s="119">
        <v>1</v>
      </c>
      <c r="I343" s="119">
        <v>3</v>
      </c>
      <c r="J343" s="119">
        <f t="shared" si="41"/>
        <v>3</v>
      </c>
      <c r="K343" s="119">
        <v>89899429</v>
      </c>
      <c r="L343" s="119">
        <v>29966476.333333332</v>
      </c>
      <c r="M343" s="119">
        <f t="shared" si="42"/>
        <v>3</v>
      </c>
      <c r="N343" s="119">
        <f t="shared" si="43"/>
        <v>89899429</v>
      </c>
      <c r="O343" s="120">
        <v>45674</v>
      </c>
      <c r="P343" s="120">
        <v>46768</v>
      </c>
      <c r="Q343" s="119">
        <v>0</v>
      </c>
      <c r="R343" s="121">
        <v>0</v>
      </c>
      <c r="S343" s="119">
        <v>3</v>
      </c>
      <c r="T343" s="121">
        <v>89899429</v>
      </c>
      <c r="U343" s="119">
        <v>1</v>
      </c>
      <c r="V343" s="121">
        <f t="shared" si="44"/>
        <v>29966476.333333332</v>
      </c>
      <c r="W343" s="119">
        <f t="shared" si="45"/>
        <v>2</v>
      </c>
      <c r="X343" s="121">
        <f t="shared" si="46"/>
        <v>59932952.666666672</v>
      </c>
      <c r="Y343" s="122" t="s">
        <v>2416</v>
      </c>
      <c r="Z343" s="123" t="s">
        <v>2407</v>
      </c>
      <c r="AA343" s="123" t="s">
        <v>2406</v>
      </c>
      <c r="AB343" s="123" t="s">
        <v>2372</v>
      </c>
      <c r="AC343" s="124" t="s">
        <v>12</v>
      </c>
      <c r="AD343" s="110">
        <f>COUNTIF('KK1. Movies'!AI:AI,'TK 15661.Bản quyền phim '!F343)</f>
        <v>1</v>
      </c>
      <c r="AE343" s="110">
        <f>COUNTIF('KK2. Series'!AM:AM,'TK 15661.Bản quyền phim '!F343)</f>
        <v>0</v>
      </c>
      <c r="AF343" s="110">
        <f>COUNTIF('KK3. Kids'!AF:AF,'TK 15661.Bản quyền phim '!F343)</f>
        <v>0</v>
      </c>
      <c r="AG343" s="110"/>
      <c r="AH343" s="110" t="str">
        <f t="shared" si="47"/>
        <v>OK</v>
      </c>
    </row>
    <row r="344" spans="1:34" ht="15.6" hidden="1" x14ac:dyDescent="0.3">
      <c r="B344" s="108" t="s">
        <v>2624</v>
      </c>
      <c r="C344" s="94" t="s">
        <v>2493</v>
      </c>
      <c r="D344" s="94" t="s">
        <v>2604</v>
      </c>
      <c r="E344" s="94" t="s">
        <v>2603</v>
      </c>
      <c r="F344" s="94" t="s">
        <v>1471</v>
      </c>
      <c r="G344" s="94" t="s">
        <v>2417</v>
      </c>
      <c r="H344" s="119">
        <v>1</v>
      </c>
      <c r="I344" s="119">
        <v>3</v>
      </c>
      <c r="J344" s="119">
        <f t="shared" si="41"/>
        <v>3</v>
      </c>
      <c r="K344" s="119">
        <v>89899429</v>
      </c>
      <c r="L344" s="119">
        <v>29966476.333333332</v>
      </c>
      <c r="M344" s="119">
        <f t="shared" si="42"/>
        <v>3</v>
      </c>
      <c r="N344" s="119">
        <f t="shared" si="43"/>
        <v>89899429</v>
      </c>
      <c r="O344" s="120">
        <v>45680</v>
      </c>
      <c r="P344" s="120">
        <v>46774</v>
      </c>
      <c r="Q344" s="119">
        <v>0</v>
      </c>
      <c r="R344" s="121">
        <v>0</v>
      </c>
      <c r="S344" s="119">
        <v>3</v>
      </c>
      <c r="T344" s="121">
        <v>89899429</v>
      </c>
      <c r="U344" s="119">
        <v>1</v>
      </c>
      <c r="V344" s="121">
        <f t="shared" si="44"/>
        <v>29966476.333333332</v>
      </c>
      <c r="W344" s="119">
        <f t="shared" si="45"/>
        <v>2</v>
      </c>
      <c r="X344" s="121">
        <f t="shared" si="46"/>
        <v>59932952.666666672</v>
      </c>
      <c r="Y344" s="122" t="s">
        <v>2416</v>
      </c>
      <c r="Z344" s="123" t="s">
        <v>2407</v>
      </c>
      <c r="AA344" s="123" t="s">
        <v>2406</v>
      </c>
      <c r="AB344" s="123" t="s">
        <v>2372</v>
      </c>
      <c r="AC344" s="124" t="s">
        <v>12</v>
      </c>
      <c r="AD344" s="110">
        <f>COUNTIF('KK1. Movies'!AI:AI,'TK 15661.Bản quyền phim '!F344)</f>
        <v>1</v>
      </c>
      <c r="AE344" s="110">
        <f>COUNTIF('KK2. Series'!AM:AM,'TK 15661.Bản quyền phim '!F344)</f>
        <v>0</v>
      </c>
      <c r="AF344" s="110">
        <f>COUNTIF('KK3. Kids'!AF:AF,'TK 15661.Bản quyền phim '!F344)</f>
        <v>0</v>
      </c>
      <c r="AG344" s="110"/>
      <c r="AH344" s="110" t="str">
        <f t="shared" si="47"/>
        <v>OK</v>
      </c>
    </row>
    <row r="345" spans="1:34" ht="15.6" hidden="1" x14ac:dyDescent="0.3">
      <c r="B345" s="108" t="s">
        <v>2623</v>
      </c>
      <c r="C345" s="94" t="s">
        <v>2493</v>
      </c>
      <c r="D345" s="94" t="s">
        <v>2604</v>
      </c>
      <c r="E345" s="94" t="s">
        <v>2603</v>
      </c>
      <c r="F345" s="94" t="s">
        <v>1543</v>
      </c>
      <c r="G345" s="94" t="s">
        <v>2490</v>
      </c>
      <c r="H345" s="119">
        <v>1</v>
      </c>
      <c r="I345" s="119">
        <v>3</v>
      </c>
      <c r="J345" s="119">
        <f t="shared" si="41"/>
        <v>3</v>
      </c>
      <c r="K345" s="119">
        <v>89899429</v>
      </c>
      <c r="L345" s="119">
        <v>29966476.333333332</v>
      </c>
      <c r="M345" s="119">
        <f t="shared" si="42"/>
        <v>3</v>
      </c>
      <c r="N345" s="119">
        <f t="shared" si="43"/>
        <v>89899429</v>
      </c>
      <c r="O345" s="120">
        <v>45685</v>
      </c>
      <c r="P345" s="120">
        <v>46779</v>
      </c>
      <c r="Q345" s="119">
        <v>0</v>
      </c>
      <c r="R345" s="121">
        <v>0</v>
      </c>
      <c r="S345" s="119">
        <v>3</v>
      </c>
      <c r="T345" s="121">
        <v>89899429</v>
      </c>
      <c r="U345" s="119">
        <v>1</v>
      </c>
      <c r="V345" s="121">
        <f t="shared" si="44"/>
        <v>29966476.333333332</v>
      </c>
      <c r="W345" s="119">
        <f t="shared" si="45"/>
        <v>2</v>
      </c>
      <c r="X345" s="121">
        <f t="shared" si="46"/>
        <v>59932952.666666672</v>
      </c>
      <c r="Y345" s="122" t="s">
        <v>2489</v>
      </c>
      <c r="Z345" s="123" t="s">
        <v>2407</v>
      </c>
      <c r="AA345" s="123" t="s">
        <v>2406</v>
      </c>
      <c r="AB345" s="123" t="s">
        <v>2372</v>
      </c>
      <c r="AC345" s="124" t="s">
        <v>12</v>
      </c>
      <c r="AD345" s="110">
        <f>COUNTIF('KK1. Movies'!AI:AI,'TK 15661.Bản quyền phim '!F345)</f>
        <v>1</v>
      </c>
      <c r="AE345" s="110">
        <f>COUNTIF('KK2. Series'!AM:AM,'TK 15661.Bản quyền phim '!F345)</f>
        <v>0</v>
      </c>
      <c r="AF345" s="110">
        <f>COUNTIF('KK3. Kids'!AF:AF,'TK 15661.Bản quyền phim '!F345)</f>
        <v>0</v>
      </c>
      <c r="AG345" s="110"/>
      <c r="AH345" s="110" t="str">
        <f t="shared" si="47"/>
        <v>OK</v>
      </c>
    </row>
    <row r="346" spans="1:34" ht="15.6" hidden="1" x14ac:dyDescent="0.3">
      <c r="B346" s="108" t="s">
        <v>2622</v>
      </c>
      <c r="C346" s="94" t="s">
        <v>2493</v>
      </c>
      <c r="D346" s="94" t="s">
        <v>2604</v>
      </c>
      <c r="E346" s="94" t="s">
        <v>2603</v>
      </c>
      <c r="F346" s="94" t="s">
        <v>2621</v>
      </c>
      <c r="G346" s="94" t="s">
        <v>2490</v>
      </c>
      <c r="H346" s="119">
        <v>1</v>
      </c>
      <c r="I346" s="119">
        <v>3</v>
      </c>
      <c r="J346" s="119">
        <f t="shared" si="41"/>
        <v>3</v>
      </c>
      <c r="K346" s="119">
        <v>89899429</v>
      </c>
      <c r="L346" s="119">
        <v>29966476.333333332</v>
      </c>
      <c r="M346" s="119">
        <f t="shared" si="42"/>
        <v>3</v>
      </c>
      <c r="N346" s="119">
        <f t="shared" si="43"/>
        <v>89899429</v>
      </c>
      <c r="O346" s="120">
        <v>45686</v>
      </c>
      <c r="P346" s="120">
        <v>46780</v>
      </c>
      <c r="Q346" s="119">
        <v>0</v>
      </c>
      <c r="R346" s="121">
        <v>0</v>
      </c>
      <c r="S346" s="119">
        <v>3</v>
      </c>
      <c r="T346" s="121">
        <v>89899429</v>
      </c>
      <c r="U346" s="119">
        <v>1</v>
      </c>
      <c r="V346" s="121">
        <f t="shared" si="44"/>
        <v>29966476.333333332</v>
      </c>
      <c r="W346" s="119">
        <f t="shared" si="45"/>
        <v>2</v>
      </c>
      <c r="X346" s="121">
        <f t="shared" si="46"/>
        <v>59932952.666666672</v>
      </c>
      <c r="Y346" s="122" t="s">
        <v>2489</v>
      </c>
      <c r="Z346" s="123" t="s">
        <v>2407</v>
      </c>
      <c r="AA346" s="123" t="s">
        <v>2406</v>
      </c>
      <c r="AB346" s="123" t="s">
        <v>2372</v>
      </c>
      <c r="AC346" s="124" t="s">
        <v>12</v>
      </c>
      <c r="AD346" s="110">
        <f>COUNTIF('KK1. Movies'!AI:AI,'TK 15661.Bản quyền phim '!F346)</f>
        <v>1</v>
      </c>
      <c r="AE346" s="110">
        <f>COUNTIF('KK2. Series'!AM:AM,'TK 15661.Bản quyền phim '!F346)</f>
        <v>0</v>
      </c>
      <c r="AF346" s="110">
        <f>COUNTIF('KK3. Kids'!AF:AF,'TK 15661.Bản quyền phim '!F346)</f>
        <v>0</v>
      </c>
      <c r="AG346" s="110"/>
      <c r="AH346" s="110" t="str">
        <f t="shared" si="47"/>
        <v>OK</v>
      </c>
    </row>
    <row r="347" spans="1:34" ht="15.6" hidden="1" x14ac:dyDescent="0.3">
      <c r="B347" s="108" t="s">
        <v>2620</v>
      </c>
      <c r="C347" s="94" t="s">
        <v>2493</v>
      </c>
      <c r="D347" s="94" t="s">
        <v>2604</v>
      </c>
      <c r="E347" s="94" t="s">
        <v>2603</v>
      </c>
      <c r="F347" s="94" t="s">
        <v>2619</v>
      </c>
      <c r="G347" s="94" t="s">
        <v>2417</v>
      </c>
      <c r="H347" s="119">
        <v>1</v>
      </c>
      <c r="I347" s="119">
        <v>3</v>
      </c>
      <c r="J347" s="119">
        <f t="shared" si="41"/>
        <v>3</v>
      </c>
      <c r="K347" s="119">
        <v>89899429</v>
      </c>
      <c r="L347" s="119">
        <v>29966476.333333332</v>
      </c>
      <c r="M347" s="119">
        <f t="shared" si="42"/>
        <v>3</v>
      </c>
      <c r="N347" s="119">
        <f t="shared" si="43"/>
        <v>89899429</v>
      </c>
      <c r="O347" s="120">
        <v>45696</v>
      </c>
      <c r="P347" s="120">
        <v>46790</v>
      </c>
      <c r="Q347" s="119">
        <v>0</v>
      </c>
      <c r="R347" s="121">
        <v>0</v>
      </c>
      <c r="S347" s="119">
        <v>3</v>
      </c>
      <c r="T347" s="121">
        <v>89899429</v>
      </c>
      <c r="U347" s="119">
        <v>1</v>
      </c>
      <c r="V347" s="121">
        <f t="shared" si="44"/>
        <v>29966476.333333332</v>
      </c>
      <c r="W347" s="119">
        <f t="shared" si="45"/>
        <v>2</v>
      </c>
      <c r="X347" s="121">
        <f t="shared" si="46"/>
        <v>59932952.666666672</v>
      </c>
      <c r="Y347" s="122" t="s">
        <v>2416</v>
      </c>
      <c r="Z347" s="123" t="s">
        <v>2407</v>
      </c>
      <c r="AA347" s="123" t="s">
        <v>2406</v>
      </c>
      <c r="AB347" s="123" t="s">
        <v>2372</v>
      </c>
      <c r="AC347" s="124" t="s">
        <v>12</v>
      </c>
      <c r="AD347" s="110">
        <f>COUNTIF('KK1. Movies'!AI:AI,'TK 15661.Bản quyền phim '!F347)</f>
        <v>1</v>
      </c>
      <c r="AE347" s="110">
        <f>COUNTIF('KK2. Series'!AM:AM,'TK 15661.Bản quyền phim '!F347)</f>
        <v>0</v>
      </c>
      <c r="AF347" s="110">
        <f>COUNTIF('KK3. Kids'!AF:AF,'TK 15661.Bản quyền phim '!F347)</f>
        <v>0</v>
      </c>
      <c r="AG347" s="110"/>
      <c r="AH347" s="110" t="str">
        <f t="shared" si="47"/>
        <v>OK</v>
      </c>
    </row>
    <row r="348" spans="1:34" ht="15.6" hidden="1" x14ac:dyDescent="0.3">
      <c r="B348" s="108" t="s">
        <v>2618</v>
      </c>
      <c r="C348" s="94" t="s">
        <v>2493</v>
      </c>
      <c r="D348" s="94" t="s">
        <v>2604</v>
      </c>
      <c r="E348" s="94" t="s">
        <v>2603</v>
      </c>
      <c r="F348" s="94" t="s">
        <v>1724</v>
      </c>
      <c r="G348" s="94" t="s">
        <v>2417</v>
      </c>
      <c r="H348" s="119">
        <v>1</v>
      </c>
      <c r="I348" s="119">
        <v>3</v>
      </c>
      <c r="J348" s="119">
        <f t="shared" si="41"/>
        <v>3</v>
      </c>
      <c r="K348" s="119">
        <v>89899429</v>
      </c>
      <c r="L348" s="119">
        <v>29966476.333333332</v>
      </c>
      <c r="M348" s="119">
        <f t="shared" si="42"/>
        <v>3</v>
      </c>
      <c r="N348" s="119">
        <f t="shared" si="43"/>
        <v>89899429</v>
      </c>
      <c r="O348" s="120">
        <v>45700</v>
      </c>
      <c r="P348" s="120">
        <v>46794</v>
      </c>
      <c r="Q348" s="119">
        <v>0</v>
      </c>
      <c r="R348" s="121">
        <v>0</v>
      </c>
      <c r="S348" s="119">
        <v>3</v>
      </c>
      <c r="T348" s="121">
        <v>89899429</v>
      </c>
      <c r="U348" s="119">
        <v>1</v>
      </c>
      <c r="V348" s="121">
        <f t="shared" si="44"/>
        <v>29966476.333333332</v>
      </c>
      <c r="W348" s="119">
        <f t="shared" si="45"/>
        <v>2</v>
      </c>
      <c r="X348" s="121">
        <f t="shared" si="46"/>
        <v>59932952.666666672</v>
      </c>
      <c r="Y348" s="122" t="s">
        <v>2416</v>
      </c>
      <c r="Z348" s="123" t="s">
        <v>2407</v>
      </c>
      <c r="AA348" s="123" t="s">
        <v>2406</v>
      </c>
      <c r="AB348" s="123" t="s">
        <v>2372</v>
      </c>
      <c r="AC348" s="124" t="s">
        <v>12</v>
      </c>
      <c r="AD348" s="110">
        <f>COUNTIF('KK1. Movies'!AI:AI,'TK 15661.Bản quyền phim '!F348)</f>
        <v>1</v>
      </c>
      <c r="AE348" s="110">
        <f>COUNTIF('KK2. Series'!AM:AM,'TK 15661.Bản quyền phim '!F348)</f>
        <v>0</v>
      </c>
      <c r="AF348" s="110">
        <f>COUNTIF('KK3. Kids'!AF:AF,'TK 15661.Bản quyền phim '!F348)</f>
        <v>0</v>
      </c>
      <c r="AG348" s="110"/>
      <c r="AH348" s="110" t="str">
        <f t="shared" si="47"/>
        <v>OK</v>
      </c>
    </row>
    <row r="349" spans="1:34" ht="15.6" hidden="1" x14ac:dyDescent="0.3">
      <c r="B349" s="108" t="s">
        <v>2617</v>
      </c>
      <c r="C349" s="94" t="s">
        <v>2493</v>
      </c>
      <c r="D349" s="94" t="s">
        <v>2604</v>
      </c>
      <c r="E349" s="94" t="s">
        <v>2603</v>
      </c>
      <c r="F349" s="94" t="s">
        <v>1728</v>
      </c>
      <c r="G349" s="94" t="s">
        <v>2417</v>
      </c>
      <c r="H349" s="119">
        <v>1</v>
      </c>
      <c r="I349" s="119">
        <v>3</v>
      </c>
      <c r="J349" s="119">
        <f t="shared" si="41"/>
        <v>3</v>
      </c>
      <c r="K349" s="119">
        <v>89899429</v>
      </c>
      <c r="L349" s="119">
        <v>29966476.333333332</v>
      </c>
      <c r="M349" s="119">
        <f t="shared" si="42"/>
        <v>3</v>
      </c>
      <c r="N349" s="119">
        <f t="shared" si="43"/>
        <v>89899429</v>
      </c>
      <c r="O349" s="120">
        <v>45701</v>
      </c>
      <c r="P349" s="120">
        <v>46795</v>
      </c>
      <c r="Q349" s="119">
        <v>0</v>
      </c>
      <c r="R349" s="121">
        <v>0</v>
      </c>
      <c r="S349" s="119">
        <v>3</v>
      </c>
      <c r="T349" s="121">
        <v>89899429</v>
      </c>
      <c r="U349" s="119">
        <v>1</v>
      </c>
      <c r="V349" s="121">
        <f t="shared" si="44"/>
        <v>29966476.333333332</v>
      </c>
      <c r="W349" s="119">
        <f t="shared" si="45"/>
        <v>2</v>
      </c>
      <c r="X349" s="121">
        <f t="shared" si="46"/>
        <v>59932952.666666672</v>
      </c>
      <c r="Y349" s="122" t="s">
        <v>2416</v>
      </c>
      <c r="Z349" s="123" t="s">
        <v>2407</v>
      </c>
      <c r="AA349" s="123" t="s">
        <v>2406</v>
      </c>
      <c r="AB349" s="123" t="s">
        <v>2372</v>
      </c>
      <c r="AC349" s="124" t="s">
        <v>12</v>
      </c>
      <c r="AD349" s="110">
        <f>COUNTIF('KK1. Movies'!AI:AI,'TK 15661.Bản quyền phim '!F349)</f>
        <v>1</v>
      </c>
      <c r="AE349" s="110">
        <f>COUNTIF('KK2. Series'!AM:AM,'TK 15661.Bản quyền phim '!F349)</f>
        <v>0</v>
      </c>
      <c r="AF349" s="110">
        <f>COUNTIF('KK3. Kids'!AF:AF,'TK 15661.Bản quyền phim '!F349)</f>
        <v>0</v>
      </c>
      <c r="AG349" s="110"/>
      <c r="AH349" s="110" t="str">
        <f t="shared" si="47"/>
        <v>OK</v>
      </c>
    </row>
    <row r="350" spans="1:34" ht="15.6" hidden="1" x14ac:dyDescent="0.3">
      <c r="B350" s="108" t="s">
        <v>2616</v>
      </c>
      <c r="C350" s="94" t="s">
        <v>2493</v>
      </c>
      <c r="D350" s="94" t="s">
        <v>2604</v>
      </c>
      <c r="E350" s="94" t="s">
        <v>2603</v>
      </c>
      <c r="F350" s="94" t="s">
        <v>1902</v>
      </c>
      <c r="G350" s="94" t="s">
        <v>2417</v>
      </c>
      <c r="H350" s="119">
        <v>1</v>
      </c>
      <c r="I350" s="119">
        <v>3</v>
      </c>
      <c r="J350" s="119">
        <f t="shared" si="41"/>
        <v>3</v>
      </c>
      <c r="K350" s="119">
        <v>89899429</v>
      </c>
      <c r="L350" s="119">
        <v>29966476.333333332</v>
      </c>
      <c r="M350" s="119">
        <f t="shared" si="42"/>
        <v>3</v>
      </c>
      <c r="N350" s="119">
        <f t="shared" si="43"/>
        <v>89899429</v>
      </c>
      <c r="O350" s="120">
        <v>45710</v>
      </c>
      <c r="P350" s="120">
        <v>46804</v>
      </c>
      <c r="Q350" s="119">
        <v>0</v>
      </c>
      <c r="R350" s="121">
        <v>0</v>
      </c>
      <c r="S350" s="119">
        <v>3</v>
      </c>
      <c r="T350" s="121">
        <v>89899429</v>
      </c>
      <c r="U350" s="119">
        <v>1</v>
      </c>
      <c r="V350" s="121">
        <f t="shared" si="44"/>
        <v>29966476.333333332</v>
      </c>
      <c r="W350" s="119">
        <f t="shared" si="45"/>
        <v>2</v>
      </c>
      <c r="X350" s="121">
        <f t="shared" si="46"/>
        <v>59932952.666666672</v>
      </c>
      <c r="Y350" s="122" t="s">
        <v>2416</v>
      </c>
      <c r="Z350" s="123" t="s">
        <v>2407</v>
      </c>
      <c r="AA350" s="123" t="s">
        <v>2406</v>
      </c>
      <c r="AB350" s="123" t="s">
        <v>2372</v>
      </c>
      <c r="AC350" s="124" t="s">
        <v>12</v>
      </c>
      <c r="AD350" s="110">
        <f>COUNTIF('KK1. Movies'!AI:AI,'TK 15661.Bản quyền phim '!F350)</f>
        <v>1</v>
      </c>
      <c r="AE350" s="110">
        <f>COUNTIF('KK2. Series'!AM:AM,'TK 15661.Bản quyền phim '!F350)</f>
        <v>0</v>
      </c>
      <c r="AF350" s="110">
        <f>COUNTIF('KK3. Kids'!AF:AF,'TK 15661.Bản quyền phim '!F350)</f>
        <v>0</v>
      </c>
      <c r="AG350" s="110"/>
      <c r="AH350" s="110" t="str">
        <f t="shared" si="47"/>
        <v>OK</v>
      </c>
    </row>
    <row r="351" spans="1:34" ht="15.6" hidden="1" x14ac:dyDescent="0.3">
      <c r="B351" s="108" t="s">
        <v>2615</v>
      </c>
      <c r="C351" s="94" t="s">
        <v>2493</v>
      </c>
      <c r="D351" s="94" t="s">
        <v>2604</v>
      </c>
      <c r="E351" s="94" t="s">
        <v>2603</v>
      </c>
      <c r="F351" s="94" t="s">
        <v>1994</v>
      </c>
      <c r="G351" s="94" t="s">
        <v>2417</v>
      </c>
      <c r="H351" s="119">
        <v>1</v>
      </c>
      <c r="I351" s="119">
        <v>3</v>
      </c>
      <c r="J351" s="119">
        <f t="shared" si="41"/>
        <v>3</v>
      </c>
      <c r="K351" s="119">
        <v>89899429</v>
      </c>
      <c r="L351" s="119">
        <v>29966476.333333332</v>
      </c>
      <c r="M351" s="119">
        <f t="shared" si="42"/>
        <v>3</v>
      </c>
      <c r="N351" s="119">
        <f t="shared" si="43"/>
        <v>89899429</v>
      </c>
      <c r="O351" s="120">
        <v>45715</v>
      </c>
      <c r="P351" s="120">
        <v>46809</v>
      </c>
      <c r="Q351" s="119">
        <v>0</v>
      </c>
      <c r="R351" s="121">
        <v>0</v>
      </c>
      <c r="S351" s="119">
        <v>3</v>
      </c>
      <c r="T351" s="121">
        <v>89899429</v>
      </c>
      <c r="U351" s="119">
        <v>1</v>
      </c>
      <c r="V351" s="121">
        <f t="shared" si="44"/>
        <v>29966476.333333332</v>
      </c>
      <c r="W351" s="119">
        <f t="shared" si="45"/>
        <v>2</v>
      </c>
      <c r="X351" s="121">
        <f t="shared" si="46"/>
        <v>59932952.666666672</v>
      </c>
      <c r="Y351" s="122" t="s">
        <v>2416</v>
      </c>
      <c r="Z351" s="123" t="s">
        <v>2407</v>
      </c>
      <c r="AA351" s="123" t="s">
        <v>2406</v>
      </c>
      <c r="AB351" s="123" t="s">
        <v>2372</v>
      </c>
      <c r="AC351" s="124" t="s">
        <v>12</v>
      </c>
      <c r="AD351" s="110">
        <f>COUNTIF('KK1. Movies'!AI:AI,'TK 15661.Bản quyền phim '!F351)</f>
        <v>1</v>
      </c>
      <c r="AE351" s="110">
        <f>COUNTIF('KK2. Series'!AM:AM,'TK 15661.Bản quyền phim '!F351)</f>
        <v>0</v>
      </c>
      <c r="AF351" s="110">
        <f>COUNTIF('KK3. Kids'!AF:AF,'TK 15661.Bản quyền phim '!F351)</f>
        <v>0</v>
      </c>
      <c r="AG351" s="110"/>
      <c r="AH351" s="110" t="str">
        <f t="shared" si="47"/>
        <v>OK</v>
      </c>
    </row>
    <row r="352" spans="1:34" ht="15.6" hidden="1" x14ac:dyDescent="0.3">
      <c r="B352" s="108" t="s">
        <v>2614</v>
      </c>
      <c r="C352" s="94" t="s">
        <v>2493</v>
      </c>
      <c r="D352" s="94" t="s">
        <v>2604</v>
      </c>
      <c r="E352" s="94" t="s">
        <v>2603</v>
      </c>
      <c r="F352" s="94" t="s">
        <v>1508</v>
      </c>
      <c r="G352" s="94" t="s">
        <v>2417</v>
      </c>
      <c r="H352" s="119">
        <v>1</v>
      </c>
      <c r="I352" s="119">
        <v>3</v>
      </c>
      <c r="J352" s="119">
        <f t="shared" si="41"/>
        <v>3</v>
      </c>
      <c r="K352" s="119">
        <v>89899429</v>
      </c>
      <c r="L352" s="119">
        <v>29966476.333333332</v>
      </c>
      <c r="M352" s="119">
        <f t="shared" si="42"/>
        <v>3</v>
      </c>
      <c r="N352" s="119">
        <f t="shared" si="43"/>
        <v>89899429</v>
      </c>
      <c r="O352" s="120">
        <v>45735</v>
      </c>
      <c r="P352" s="120">
        <v>46830</v>
      </c>
      <c r="Q352" s="119">
        <v>0</v>
      </c>
      <c r="R352" s="121">
        <v>0</v>
      </c>
      <c r="S352" s="119">
        <v>3</v>
      </c>
      <c r="T352" s="121">
        <v>89899429</v>
      </c>
      <c r="U352" s="119">
        <v>1</v>
      </c>
      <c r="V352" s="121">
        <f t="shared" si="44"/>
        <v>29966476.333333332</v>
      </c>
      <c r="W352" s="119">
        <f t="shared" si="45"/>
        <v>2</v>
      </c>
      <c r="X352" s="121">
        <f t="shared" si="46"/>
        <v>59932952.666666672</v>
      </c>
      <c r="Y352" s="122" t="s">
        <v>2416</v>
      </c>
      <c r="Z352" s="123" t="s">
        <v>2407</v>
      </c>
      <c r="AA352" s="123" t="s">
        <v>2406</v>
      </c>
      <c r="AB352" s="123" t="s">
        <v>2372</v>
      </c>
      <c r="AC352" s="124" t="s">
        <v>12</v>
      </c>
      <c r="AD352" s="110">
        <f>COUNTIF('KK1. Movies'!AI:AI,'TK 15661.Bản quyền phim '!F352)</f>
        <v>1</v>
      </c>
      <c r="AE352" s="110">
        <f>COUNTIF('KK2. Series'!AM:AM,'TK 15661.Bản quyền phim '!F352)</f>
        <v>0</v>
      </c>
      <c r="AF352" s="110">
        <f>COUNTIF('KK3. Kids'!AF:AF,'TK 15661.Bản quyền phim '!F352)</f>
        <v>0</v>
      </c>
      <c r="AG352" s="110"/>
      <c r="AH352" s="110" t="str">
        <f t="shared" si="47"/>
        <v>OK</v>
      </c>
    </row>
    <row r="353" spans="1:34" ht="15.6" hidden="1" x14ac:dyDescent="0.3">
      <c r="B353" s="108" t="s">
        <v>2613</v>
      </c>
      <c r="C353" s="94" t="s">
        <v>2493</v>
      </c>
      <c r="D353" s="94" t="s">
        <v>2604</v>
      </c>
      <c r="E353" s="94" t="s">
        <v>2603</v>
      </c>
      <c r="F353" s="94" t="s">
        <v>2048</v>
      </c>
      <c r="G353" s="94" t="s">
        <v>2417</v>
      </c>
      <c r="H353" s="119">
        <v>1</v>
      </c>
      <c r="I353" s="119">
        <v>3</v>
      </c>
      <c r="J353" s="119">
        <f t="shared" si="41"/>
        <v>3</v>
      </c>
      <c r="K353" s="119">
        <v>89899429</v>
      </c>
      <c r="L353" s="119">
        <v>29966476.333333332</v>
      </c>
      <c r="M353" s="119">
        <f t="shared" si="42"/>
        <v>3</v>
      </c>
      <c r="N353" s="119">
        <f t="shared" si="43"/>
        <v>89899429</v>
      </c>
      <c r="O353" s="120">
        <v>45737</v>
      </c>
      <c r="P353" s="120">
        <v>46832</v>
      </c>
      <c r="Q353" s="119">
        <v>0</v>
      </c>
      <c r="R353" s="121">
        <v>0</v>
      </c>
      <c r="S353" s="119">
        <v>3</v>
      </c>
      <c r="T353" s="121">
        <v>89899429</v>
      </c>
      <c r="U353" s="119">
        <v>1</v>
      </c>
      <c r="V353" s="121">
        <f t="shared" si="44"/>
        <v>29966476.333333332</v>
      </c>
      <c r="W353" s="119">
        <f t="shared" si="45"/>
        <v>2</v>
      </c>
      <c r="X353" s="121">
        <f t="shared" si="46"/>
        <v>59932952.666666672</v>
      </c>
      <c r="Y353" s="122" t="s">
        <v>2416</v>
      </c>
      <c r="Z353" s="123" t="s">
        <v>2407</v>
      </c>
      <c r="AA353" s="123" t="s">
        <v>2406</v>
      </c>
      <c r="AB353" s="123" t="s">
        <v>2372</v>
      </c>
      <c r="AC353" s="124" t="s">
        <v>12</v>
      </c>
      <c r="AD353" s="110">
        <f>COUNTIF('KK1. Movies'!AI:AI,'TK 15661.Bản quyền phim '!F353)</f>
        <v>1</v>
      </c>
      <c r="AE353" s="110">
        <f>COUNTIF('KK2. Series'!AM:AM,'TK 15661.Bản quyền phim '!F353)</f>
        <v>0</v>
      </c>
      <c r="AF353" s="110">
        <f>COUNTIF('KK3. Kids'!AF:AF,'TK 15661.Bản quyền phim '!F353)</f>
        <v>0</v>
      </c>
      <c r="AG353" s="110"/>
      <c r="AH353" s="110" t="str">
        <f t="shared" si="47"/>
        <v>OK</v>
      </c>
    </row>
    <row r="354" spans="1:34" ht="15.6" hidden="1" x14ac:dyDescent="0.3">
      <c r="B354" s="108" t="s">
        <v>2612</v>
      </c>
      <c r="C354" s="94" t="s">
        <v>2493</v>
      </c>
      <c r="D354" s="94" t="s">
        <v>2604</v>
      </c>
      <c r="E354" s="94" t="s">
        <v>2603</v>
      </c>
      <c r="F354" s="94" t="s">
        <v>1380</v>
      </c>
      <c r="G354" s="94" t="s">
        <v>2417</v>
      </c>
      <c r="H354" s="119">
        <v>1</v>
      </c>
      <c r="I354" s="119">
        <v>3</v>
      </c>
      <c r="J354" s="119">
        <f t="shared" si="41"/>
        <v>3</v>
      </c>
      <c r="K354" s="119">
        <v>52798858</v>
      </c>
      <c r="L354" s="119">
        <v>17599619.333333332</v>
      </c>
      <c r="M354" s="119">
        <f t="shared" si="42"/>
        <v>3</v>
      </c>
      <c r="N354" s="119">
        <f t="shared" si="43"/>
        <v>52798858</v>
      </c>
      <c r="O354" s="120">
        <v>45787</v>
      </c>
      <c r="P354" s="120">
        <v>46882</v>
      </c>
      <c r="Q354" s="119">
        <v>0</v>
      </c>
      <c r="R354" s="121">
        <v>0</v>
      </c>
      <c r="S354" s="119">
        <v>3</v>
      </c>
      <c r="T354" s="121">
        <v>52798858</v>
      </c>
      <c r="U354" s="119">
        <v>1</v>
      </c>
      <c r="V354" s="121">
        <f t="shared" si="44"/>
        <v>17599619.333333332</v>
      </c>
      <c r="W354" s="119">
        <f t="shared" si="45"/>
        <v>2</v>
      </c>
      <c r="X354" s="121">
        <f t="shared" si="46"/>
        <v>35199238.666666672</v>
      </c>
      <c r="Y354" s="122" t="s">
        <v>2416</v>
      </c>
      <c r="Z354" s="123" t="s">
        <v>2407</v>
      </c>
      <c r="AA354" s="123" t="s">
        <v>2406</v>
      </c>
      <c r="AB354" s="123" t="s">
        <v>2372</v>
      </c>
      <c r="AC354" s="124" t="s">
        <v>12</v>
      </c>
      <c r="AD354" s="110">
        <f>COUNTIF('KK1. Movies'!AI:AI,'TK 15661.Bản quyền phim '!F354)</f>
        <v>1</v>
      </c>
      <c r="AE354" s="110">
        <f>COUNTIF('KK2. Series'!AM:AM,'TK 15661.Bản quyền phim '!F354)</f>
        <v>0</v>
      </c>
      <c r="AF354" s="110">
        <f>COUNTIF('KK3. Kids'!AF:AF,'TK 15661.Bản quyền phim '!F354)</f>
        <v>0</v>
      </c>
      <c r="AG354" s="110"/>
      <c r="AH354" s="110" t="str">
        <f t="shared" si="47"/>
        <v>OK</v>
      </c>
    </row>
    <row r="355" spans="1:34" ht="15.6" hidden="1" x14ac:dyDescent="0.3">
      <c r="B355" s="108" t="s">
        <v>2611</v>
      </c>
      <c r="C355" s="94" t="s">
        <v>2493</v>
      </c>
      <c r="D355" s="94" t="s">
        <v>2604</v>
      </c>
      <c r="E355" s="94" t="s">
        <v>2603</v>
      </c>
      <c r="F355" s="94" t="s">
        <v>1831</v>
      </c>
      <c r="G355" s="94" t="s">
        <v>2417</v>
      </c>
      <c r="H355" s="119">
        <v>1</v>
      </c>
      <c r="I355" s="119">
        <v>3</v>
      </c>
      <c r="J355" s="119">
        <f t="shared" si="41"/>
        <v>3</v>
      </c>
      <c r="K355" s="119">
        <v>89899429</v>
      </c>
      <c r="L355" s="119">
        <v>29966476.333333332</v>
      </c>
      <c r="M355" s="119">
        <f t="shared" si="42"/>
        <v>3</v>
      </c>
      <c r="N355" s="119">
        <f t="shared" si="43"/>
        <v>89899429</v>
      </c>
      <c r="O355" s="120">
        <v>45800</v>
      </c>
      <c r="P355" s="120">
        <v>46895</v>
      </c>
      <c r="Q355" s="119">
        <v>0</v>
      </c>
      <c r="R355" s="121">
        <v>0</v>
      </c>
      <c r="S355" s="119">
        <v>3</v>
      </c>
      <c r="T355" s="121">
        <v>89899429</v>
      </c>
      <c r="U355" s="119">
        <v>1</v>
      </c>
      <c r="V355" s="121">
        <f t="shared" si="44"/>
        <v>29966476.333333332</v>
      </c>
      <c r="W355" s="119">
        <f t="shared" si="45"/>
        <v>2</v>
      </c>
      <c r="X355" s="121">
        <f t="shared" si="46"/>
        <v>59932952.666666672</v>
      </c>
      <c r="Y355" s="122" t="s">
        <v>2416</v>
      </c>
      <c r="Z355" s="123" t="s">
        <v>2407</v>
      </c>
      <c r="AA355" s="123" t="s">
        <v>2406</v>
      </c>
      <c r="AB355" s="123" t="s">
        <v>2372</v>
      </c>
      <c r="AC355" s="124" t="s">
        <v>12</v>
      </c>
      <c r="AD355" s="110">
        <f>COUNTIF('KK1. Movies'!AI:AI,'TK 15661.Bản quyền phim '!F355)</f>
        <v>1</v>
      </c>
      <c r="AE355" s="110">
        <f>COUNTIF('KK2. Series'!AM:AM,'TK 15661.Bản quyền phim '!F355)</f>
        <v>0</v>
      </c>
      <c r="AF355" s="110">
        <f>COUNTIF('KK3. Kids'!AF:AF,'TK 15661.Bản quyền phim '!F355)</f>
        <v>0</v>
      </c>
      <c r="AG355" s="110"/>
      <c r="AH355" s="110" t="str">
        <f t="shared" si="47"/>
        <v>OK</v>
      </c>
    </row>
    <row r="356" spans="1:34" hidden="1" x14ac:dyDescent="0.2">
      <c r="B356" s="108" t="s">
        <v>2610</v>
      </c>
      <c r="C356" s="94" t="s">
        <v>2493</v>
      </c>
      <c r="D356" s="94" t="s">
        <v>2604</v>
      </c>
      <c r="E356" s="94" t="s">
        <v>2603</v>
      </c>
      <c r="F356" s="94" t="s">
        <v>2609</v>
      </c>
      <c r="G356" s="94" t="s">
        <v>2417</v>
      </c>
      <c r="H356" s="119">
        <v>1</v>
      </c>
      <c r="I356" s="119">
        <v>3</v>
      </c>
      <c r="J356" s="119">
        <f t="shared" si="41"/>
        <v>3</v>
      </c>
      <c r="K356" s="119">
        <v>0</v>
      </c>
      <c r="L356" s="119">
        <v>0</v>
      </c>
      <c r="M356" s="119">
        <f t="shared" si="42"/>
        <v>3</v>
      </c>
      <c r="N356" s="119">
        <f t="shared" si="43"/>
        <v>0</v>
      </c>
      <c r="O356" s="120">
        <v>45807</v>
      </c>
      <c r="P356" s="120">
        <v>46902</v>
      </c>
      <c r="Q356" s="119">
        <v>0</v>
      </c>
      <c r="R356" s="121">
        <v>0</v>
      </c>
      <c r="S356" s="119">
        <v>3</v>
      </c>
      <c r="T356" s="121">
        <v>0</v>
      </c>
      <c r="U356" s="119">
        <v>0</v>
      </c>
      <c r="V356" s="121">
        <f t="shared" si="44"/>
        <v>0</v>
      </c>
      <c r="W356" s="119">
        <f t="shared" si="45"/>
        <v>3</v>
      </c>
      <c r="X356" s="121">
        <f t="shared" si="46"/>
        <v>0</v>
      </c>
      <c r="Y356" s="122" t="s">
        <v>2416</v>
      </c>
      <c r="Z356" s="123" t="s">
        <v>2407</v>
      </c>
      <c r="AA356" s="123" t="s">
        <v>2406</v>
      </c>
      <c r="AB356" s="123" t="s">
        <v>2372</v>
      </c>
      <c r="AC356" s="123"/>
      <c r="AD356" s="110">
        <f>COUNTIF('KK1. Movies'!AI:AI,'TK 15661.Bản quyền phim '!F356)</f>
        <v>0</v>
      </c>
      <c r="AE356" s="110">
        <f>COUNTIF('KK2. Series'!AM:AM,'TK 15661.Bản quyền phim '!F356)</f>
        <v>0</v>
      </c>
      <c r="AF356" s="110">
        <f>COUNTIF('KK3. Kids'!AF:AF,'TK 15661.Bản quyền phim '!F356)</f>
        <v>0</v>
      </c>
      <c r="AG356" s="110"/>
      <c r="AH356" s="110">
        <f t="shared" si="47"/>
        <v>0</v>
      </c>
    </row>
    <row r="357" spans="1:34" ht="15.6" hidden="1" x14ac:dyDescent="0.3">
      <c r="B357" s="108" t="s">
        <v>2608</v>
      </c>
      <c r="C357" s="94" t="s">
        <v>2493</v>
      </c>
      <c r="D357" s="94" t="s">
        <v>2604</v>
      </c>
      <c r="E357" s="94" t="s">
        <v>2603</v>
      </c>
      <c r="F357" s="94" t="s">
        <v>1759</v>
      </c>
      <c r="G357" s="94" t="s">
        <v>2417</v>
      </c>
      <c r="H357" s="119">
        <v>1</v>
      </c>
      <c r="I357" s="119">
        <v>3</v>
      </c>
      <c r="J357" s="119">
        <f t="shared" si="41"/>
        <v>3</v>
      </c>
      <c r="K357" s="119">
        <v>89899429</v>
      </c>
      <c r="L357" s="119">
        <v>29966476.333333332</v>
      </c>
      <c r="M357" s="119">
        <f t="shared" si="42"/>
        <v>3</v>
      </c>
      <c r="N357" s="119">
        <f t="shared" si="43"/>
        <v>89899429</v>
      </c>
      <c r="O357" s="120">
        <v>45870</v>
      </c>
      <c r="P357" s="120">
        <v>46965</v>
      </c>
      <c r="Q357" s="119">
        <v>0</v>
      </c>
      <c r="R357" s="121">
        <v>0</v>
      </c>
      <c r="S357" s="119">
        <v>3</v>
      </c>
      <c r="T357" s="121">
        <v>89899429</v>
      </c>
      <c r="U357" s="119">
        <v>1</v>
      </c>
      <c r="V357" s="121">
        <f t="shared" si="44"/>
        <v>29966476.333333332</v>
      </c>
      <c r="W357" s="119">
        <f t="shared" si="45"/>
        <v>2</v>
      </c>
      <c r="X357" s="121">
        <f t="shared" si="46"/>
        <v>59932952.666666672</v>
      </c>
      <c r="Y357" s="122" t="s">
        <v>2416</v>
      </c>
      <c r="Z357" s="123" t="s">
        <v>2407</v>
      </c>
      <c r="AA357" s="123" t="s">
        <v>2406</v>
      </c>
      <c r="AB357" s="123" t="s">
        <v>2372</v>
      </c>
      <c r="AC357" s="124" t="s">
        <v>12</v>
      </c>
      <c r="AD357" s="110">
        <f>COUNTIF('KK1. Movies'!AI:AI,'TK 15661.Bản quyền phim '!F357)</f>
        <v>1</v>
      </c>
      <c r="AE357" s="110">
        <f>COUNTIF('KK2. Series'!AM:AM,'TK 15661.Bản quyền phim '!F357)</f>
        <v>0</v>
      </c>
      <c r="AF357" s="110">
        <f>COUNTIF('KK3. Kids'!AF:AF,'TK 15661.Bản quyền phim '!F357)</f>
        <v>0</v>
      </c>
      <c r="AG357" s="110"/>
      <c r="AH357" s="110" t="str">
        <f t="shared" si="47"/>
        <v>OK</v>
      </c>
    </row>
    <row r="358" spans="1:34" ht="15.6" hidden="1" x14ac:dyDescent="0.3">
      <c r="B358" s="108" t="s">
        <v>2607</v>
      </c>
      <c r="C358" s="94" t="s">
        <v>2493</v>
      </c>
      <c r="D358" s="94" t="s">
        <v>2604</v>
      </c>
      <c r="E358" s="94" t="s">
        <v>2603</v>
      </c>
      <c r="F358" s="94" t="s">
        <v>1941</v>
      </c>
      <c r="G358" s="94" t="s">
        <v>2417</v>
      </c>
      <c r="H358" s="119">
        <v>1</v>
      </c>
      <c r="I358" s="119">
        <v>3</v>
      </c>
      <c r="J358" s="119">
        <f t="shared" si="41"/>
        <v>3</v>
      </c>
      <c r="K358" s="119">
        <v>89899429</v>
      </c>
      <c r="L358" s="119">
        <v>29966476.333333332</v>
      </c>
      <c r="M358" s="119">
        <f t="shared" si="42"/>
        <v>3</v>
      </c>
      <c r="N358" s="119">
        <f t="shared" si="43"/>
        <v>89899429</v>
      </c>
      <c r="O358" s="120">
        <v>45934</v>
      </c>
      <c r="P358" s="120">
        <v>47029</v>
      </c>
      <c r="Q358" s="119">
        <v>0</v>
      </c>
      <c r="R358" s="121">
        <v>0</v>
      </c>
      <c r="S358" s="119">
        <v>3</v>
      </c>
      <c r="T358" s="121">
        <v>89899429</v>
      </c>
      <c r="U358" s="119">
        <v>1</v>
      </c>
      <c r="V358" s="121">
        <f t="shared" si="44"/>
        <v>29966476.333333332</v>
      </c>
      <c r="W358" s="119">
        <f t="shared" si="45"/>
        <v>2</v>
      </c>
      <c r="X358" s="121">
        <f t="shared" si="46"/>
        <v>59932952.666666672</v>
      </c>
      <c r="Y358" s="122" t="s">
        <v>2416</v>
      </c>
      <c r="Z358" s="123" t="s">
        <v>2407</v>
      </c>
      <c r="AA358" s="123" t="s">
        <v>2406</v>
      </c>
      <c r="AB358" s="123" t="s">
        <v>2372</v>
      </c>
      <c r="AC358" s="124" t="s">
        <v>12</v>
      </c>
      <c r="AD358" s="110">
        <f>COUNTIF('KK1. Movies'!AI:AI,'TK 15661.Bản quyền phim '!F358)</f>
        <v>1</v>
      </c>
      <c r="AE358" s="110">
        <f>COUNTIF('KK2. Series'!AM:AM,'TK 15661.Bản quyền phim '!F358)</f>
        <v>0</v>
      </c>
      <c r="AF358" s="110">
        <f>COUNTIF('KK3. Kids'!AF:AF,'TK 15661.Bản quyền phim '!F358)</f>
        <v>0</v>
      </c>
      <c r="AG358" s="110"/>
      <c r="AH358" s="110" t="str">
        <f t="shared" si="47"/>
        <v>OK</v>
      </c>
    </row>
    <row r="359" spans="1:34" ht="15.6" hidden="1" x14ac:dyDescent="0.3">
      <c r="B359" s="108" t="s">
        <v>2606</v>
      </c>
      <c r="C359" s="94" t="s">
        <v>2493</v>
      </c>
      <c r="D359" s="94" t="s">
        <v>2604</v>
      </c>
      <c r="E359" s="94" t="s">
        <v>2603</v>
      </c>
      <c r="F359" s="94" t="s">
        <v>1376</v>
      </c>
      <c r="G359" s="94" t="s">
        <v>2417</v>
      </c>
      <c r="H359" s="119">
        <v>1</v>
      </c>
      <c r="I359" s="119">
        <v>3</v>
      </c>
      <c r="J359" s="119">
        <f t="shared" si="41"/>
        <v>3</v>
      </c>
      <c r="K359" s="119">
        <v>89899429</v>
      </c>
      <c r="L359" s="119">
        <v>29966476.333333332</v>
      </c>
      <c r="M359" s="119">
        <f t="shared" si="42"/>
        <v>3</v>
      </c>
      <c r="N359" s="119">
        <f t="shared" si="43"/>
        <v>89899429</v>
      </c>
      <c r="O359" s="120">
        <v>45983</v>
      </c>
      <c r="P359" s="120">
        <v>47078</v>
      </c>
      <c r="Q359" s="119">
        <v>0</v>
      </c>
      <c r="R359" s="121">
        <v>0</v>
      </c>
      <c r="S359" s="119">
        <v>3</v>
      </c>
      <c r="T359" s="121">
        <v>89899429</v>
      </c>
      <c r="U359" s="119">
        <v>1</v>
      </c>
      <c r="V359" s="121">
        <f t="shared" si="44"/>
        <v>29966476.333333332</v>
      </c>
      <c r="W359" s="119">
        <f t="shared" si="45"/>
        <v>2</v>
      </c>
      <c r="X359" s="121">
        <f t="shared" si="46"/>
        <v>59932952.666666672</v>
      </c>
      <c r="Y359" s="122" t="s">
        <v>2416</v>
      </c>
      <c r="Z359" s="123" t="s">
        <v>2407</v>
      </c>
      <c r="AA359" s="123" t="s">
        <v>2406</v>
      </c>
      <c r="AB359" s="123" t="s">
        <v>2372</v>
      </c>
      <c r="AC359" s="124" t="s">
        <v>12</v>
      </c>
      <c r="AD359" s="110">
        <f>COUNTIF('KK1. Movies'!AI:AI,'TK 15661.Bản quyền phim '!F359)</f>
        <v>1</v>
      </c>
      <c r="AE359" s="110">
        <f>COUNTIF('KK2. Series'!AM:AM,'TK 15661.Bản quyền phim '!F359)</f>
        <v>0</v>
      </c>
      <c r="AF359" s="110">
        <f>COUNTIF('KK3. Kids'!AF:AF,'TK 15661.Bản quyền phim '!F359)</f>
        <v>0</v>
      </c>
      <c r="AG359" s="110"/>
      <c r="AH359" s="110" t="str">
        <f t="shared" si="47"/>
        <v>OK</v>
      </c>
    </row>
    <row r="360" spans="1:34" ht="15.6" hidden="1" x14ac:dyDescent="0.3">
      <c r="B360" s="108" t="s">
        <v>2605</v>
      </c>
      <c r="C360" s="94" t="s">
        <v>2493</v>
      </c>
      <c r="D360" s="94" t="s">
        <v>2604</v>
      </c>
      <c r="E360" s="94" t="s">
        <v>2603</v>
      </c>
      <c r="F360" s="94" t="s">
        <v>1369</v>
      </c>
      <c r="G360" s="94" t="s">
        <v>2417</v>
      </c>
      <c r="H360" s="119">
        <v>1</v>
      </c>
      <c r="I360" s="119">
        <v>3</v>
      </c>
      <c r="J360" s="119">
        <f t="shared" si="41"/>
        <v>3</v>
      </c>
      <c r="K360" s="119">
        <v>89899429</v>
      </c>
      <c r="L360" s="119">
        <v>29966476.333333332</v>
      </c>
      <c r="M360" s="119">
        <f t="shared" si="42"/>
        <v>3</v>
      </c>
      <c r="N360" s="119">
        <f t="shared" si="43"/>
        <v>89899429</v>
      </c>
      <c r="O360" s="120">
        <v>45988</v>
      </c>
      <c r="P360" s="120">
        <v>47083</v>
      </c>
      <c r="Q360" s="119">
        <v>0</v>
      </c>
      <c r="R360" s="121">
        <v>0</v>
      </c>
      <c r="S360" s="119">
        <v>3</v>
      </c>
      <c r="T360" s="121">
        <v>89899429</v>
      </c>
      <c r="U360" s="119">
        <v>1</v>
      </c>
      <c r="V360" s="121">
        <f t="shared" si="44"/>
        <v>29966476.333333332</v>
      </c>
      <c r="W360" s="119">
        <f t="shared" si="45"/>
        <v>2</v>
      </c>
      <c r="X360" s="121">
        <f t="shared" si="46"/>
        <v>59932952.666666672</v>
      </c>
      <c r="Y360" s="122" t="s">
        <v>2416</v>
      </c>
      <c r="Z360" s="123" t="s">
        <v>2407</v>
      </c>
      <c r="AA360" s="123" t="s">
        <v>2406</v>
      </c>
      <c r="AB360" s="123" t="s">
        <v>2372</v>
      </c>
      <c r="AC360" s="124" t="s">
        <v>12</v>
      </c>
      <c r="AD360" s="110">
        <f>COUNTIF('KK1. Movies'!AI:AI,'TK 15661.Bản quyền phim '!F360)</f>
        <v>1</v>
      </c>
      <c r="AE360" s="110">
        <f>COUNTIF('KK2. Series'!AM:AM,'TK 15661.Bản quyền phim '!F360)</f>
        <v>0</v>
      </c>
      <c r="AF360" s="110">
        <f>COUNTIF('KK3. Kids'!AF:AF,'TK 15661.Bản quyền phim '!F360)</f>
        <v>0</v>
      </c>
      <c r="AG360" s="110"/>
      <c r="AH360" s="110" t="str">
        <f t="shared" si="47"/>
        <v>OK</v>
      </c>
    </row>
    <row r="361" spans="1:34" hidden="1" x14ac:dyDescent="0.2">
      <c r="A361" s="47">
        <f>(U361-H361)*L361</f>
        <v>0</v>
      </c>
      <c r="B361" s="108" t="s">
        <v>2602</v>
      </c>
      <c r="C361" s="94" t="s">
        <v>2493</v>
      </c>
      <c r="D361" s="94" t="s">
        <v>2601</v>
      </c>
      <c r="E361" s="94" t="s">
        <v>2600</v>
      </c>
      <c r="F361" s="94" t="s">
        <v>155</v>
      </c>
      <c r="G361" s="94" t="s">
        <v>2409</v>
      </c>
      <c r="H361" s="119">
        <v>400</v>
      </c>
      <c r="I361" s="119">
        <v>3</v>
      </c>
      <c r="J361" s="119">
        <f t="shared" si="41"/>
        <v>1200</v>
      </c>
      <c r="K361" s="119">
        <v>380952381</v>
      </c>
      <c r="L361" s="119">
        <v>317460.3175</v>
      </c>
      <c r="M361" s="119">
        <f t="shared" si="42"/>
        <v>1200</v>
      </c>
      <c r="N361" s="119">
        <f t="shared" si="43"/>
        <v>380952381</v>
      </c>
      <c r="O361" s="120">
        <v>45682</v>
      </c>
      <c r="P361" s="120">
        <v>46776</v>
      </c>
      <c r="Q361" s="119">
        <v>0</v>
      </c>
      <c r="R361" s="121">
        <v>0</v>
      </c>
      <c r="S361" s="119">
        <v>1200</v>
      </c>
      <c r="T361" s="121">
        <v>380952381</v>
      </c>
      <c r="U361" s="119">
        <v>400</v>
      </c>
      <c r="V361" s="121">
        <f t="shared" si="44"/>
        <v>126984127</v>
      </c>
      <c r="W361" s="119">
        <f t="shared" si="45"/>
        <v>800</v>
      </c>
      <c r="X361" s="121">
        <f t="shared" si="46"/>
        <v>253968254</v>
      </c>
      <c r="Y361" s="122" t="s">
        <v>2408</v>
      </c>
      <c r="Z361" s="123" t="s">
        <v>2407</v>
      </c>
      <c r="AA361" s="123" t="s">
        <v>2406</v>
      </c>
      <c r="AB361" s="123" t="s">
        <v>2372</v>
      </c>
      <c r="AC361" s="123" t="s">
        <v>8</v>
      </c>
      <c r="AD361" s="110">
        <f>COUNTIF('KK1. Movies'!AI:AI,'TK 15661.Bản quyền phim '!F361)</f>
        <v>0</v>
      </c>
      <c r="AE361" s="110">
        <f>COUNTIF('KK2. Series'!AM:AM,'TK 15661.Bản quyền phim '!F361)</f>
        <v>0</v>
      </c>
      <c r="AF361" s="110">
        <f>COUNTIF('KK3. Kids'!AF:AF,'TK 15661.Bản quyền phim '!F361)</f>
        <v>1</v>
      </c>
      <c r="AG361" s="110"/>
      <c r="AH361" s="110" t="str">
        <f t="shared" si="47"/>
        <v>OK</v>
      </c>
    </row>
    <row r="362" spans="1:34" ht="15.6" hidden="1" x14ac:dyDescent="0.3">
      <c r="B362" s="108" t="s">
        <v>2599</v>
      </c>
      <c r="C362" s="94" t="s">
        <v>2493</v>
      </c>
      <c r="D362" s="94" t="s">
        <v>2590</v>
      </c>
      <c r="E362" s="94" t="s">
        <v>2589</v>
      </c>
      <c r="F362" s="94" t="s">
        <v>1770</v>
      </c>
      <c r="G362" s="94" t="s">
        <v>2417</v>
      </c>
      <c r="H362" s="119">
        <v>1</v>
      </c>
      <c r="I362" s="119">
        <v>3</v>
      </c>
      <c r="J362" s="119">
        <f t="shared" si="41"/>
        <v>3</v>
      </c>
      <c r="K362" s="119">
        <v>123809524</v>
      </c>
      <c r="L362" s="119">
        <v>41269841.333333336</v>
      </c>
      <c r="M362" s="119">
        <f t="shared" si="42"/>
        <v>3</v>
      </c>
      <c r="N362" s="119">
        <f t="shared" si="43"/>
        <v>123809524</v>
      </c>
      <c r="O362" s="120">
        <v>45684</v>
      </c>
      <c r="P362" s="120">
        <v>46778</v>
      </c>
      <c r="Q362" s="119">
        <v>0</v>
      </c>
      <c r="R362" s="121">
        <v>0</v>
      </c>
      <c r="S362" s="119">
        <v>3</v>
      </c>
      <c r="T362" s="121">
        <v>123809524</v>
      </c>
      <c r="U362" s="119">
        <v>1</v>
      </c>
      <c r="V362" s="121">
        <f t="shared" si="44"/>
        <v>41269841.333333336</v>
      </c>
      <c r="W362" s="119">
        <f t="shared" si="45"/>
        <v>2</v>
      </c>
      <c r="X362" s="121">
        <f t="shared" si="46"/>
        <v>82539682.666666657</v>
      </c>
      <c r="Y362" s="122" t="s">
        <v>2416</v>
      </c>
      <c r="Z362" s="123" t="s">
        <v>2407</v>
      </c>
      <c r="AA362" s="123" t="s">
        <v>2406</v>
      </c>
      <c r="AB362" s="123" t="s">
        <v>2372</v>
      </c>
      <c r="AC362" s="124" t="s">
        <v>12</v>
      </c>
      <c r="AD362" s="110">
        <f>COUNTIF('KK1. Movies'!AI:AI,'TK 15661.Bản quyền phim '!F362)</f>
        <v>1</v>
      </c>
      <c r="AE362" s="110">
        <f>COUNTIF('KK2. Series'!AM:AM,'TK 15661.Bản quyền phim '!F362)</f>
        <v>0</v>
      </c>
      <c r="AF362" s="110">
        <f>COUNTIF('KK3. Kids'!AF:AF,'TK 15661.Bản quyền phim '!F362)</f>
        <v>0</v>
      </c>
      <c r="AG362" s="110"/>
      <c r="AH362" s="110" t="str">
        <f t="shared" si="47"/>
        <v>OK</v>
      </c>
    </row>
    <row r="363" spans="1:34" ht="15.6" hidden="1" x14ac:dyDescent="0.3">
      <c r="B363" s="108" t="s">
        <v>2598</v>
      </c>
      <c r="C363" s="94" t="s">
        <v>2493</v>
      </c>
      <c r="D363" s="94" t="s">
        <v>2590</v>
      </c>
      <c r="E363" s="94" t="s">
        <v>2589</v>
      </c>
      <c r="F363" s="94" t="s">
        <v>1822</v>
      </c>
      <c r="G363" s="94" t="s">
        <v>2417</v>
      </c>
      <c r="H363" s="119">
        <v>1</v>
      </c>
      <c r="I363" s="119">
        <v>3</v>
      </c>
      <c r="J363" s="119">
        <f t="shared" si="41"/>
        <v>3</v>
      </c>
      <c r="K363" s="119">
        <v>85714286</v>
      </c>
      <c r="L363" s="119">
        <v>28571428.666666668</v>
      </c>
      <c r="M363" s="119">
        <f t="shared" si="42"/>
        <v>3</v>
      </c>
      <c r="N363" s="119">
        <f t="shared" si="43"/>
        <v>85714286</v>
      </c>
      <c r="O363" s="120">
        <v>45687</v>
      </c>
      <c r="P363" s="120">
        <v>46781</v>
      </c>
      <c r="Q363" s="119">
        <v>0</v>
      </c>
      <c r="R363" s="121">
        <v>0</v>
      </c>
      <c r="S363" s="119">
        <v>3</v>
      </c>
      <c r="T363" s="121">
        <v>85714286</v>
      </c>
      <c r="U363" s="119">
        <v>1</v>
      </c>
      <c r="V363" s="121">
        <f t="shared" si="44"/>
        <v>28571428.666666668</v>
      </c>
      <c r="W363" s="119">
        <f t="shared" si="45"/>
        <v>2</v>
      </c>
      <c r="X363" s="121">
        <f t="shared" si="46"/>
        <v>57142857.333333328</v>
      </c>
      <c r="Y363" s="122" t="s">
        <v>2416</v>
      </c>
      <c r="Z363" s="123" t="s">
        <v>2407</v>
      </c>
      <c r="AA363" s="123" t="s">
        <v>2406</v>
      </c>
      <c r="AB363" s="123" t="s">
        <v>2372</v>
      </c>
      <c r="AC363" s="124" t="s">
        <v>12</v>
      </c>
      <c r="AD363" s="110">
        <f>COUNTIF('KK1. Movies'!AI:AI,'TK 15661.Bản quyền phim '!F363)</f>
        <v>1</v>
      </c>
      <c r="AE363" s="110">
        <f>COUNTIF('KK2. Series'!AM:AM,'TK 15661.Bản quyền phim '!F363)</f>
        <v>0</v>
      </c>
      <c r="AF363" s="110">
        <f>COUNTIF('KK3. Kids'!AF:AF,'TK 15661.Bản quyền phim '!F363)</f>
        <v>0</v>
      </c>
      <c r="AG363" s="110"/>
      <c r="AH363" s="110" t="str">
        <f t="shared" si="47"/>
        <v>OK</v>
      </c>
    </row>
    <row r="364" spans="1:34" ht="15.6" hidden="1" x14ac:dyDescent="0.3">
      <c r="B364" s="108" t="s">
        <v>2597</v>
      </c>
      <c r="C364" s="94" t="s">
        <v>2493</v>
      </c>
      <c r="D364" s="94" t="s">
        <v>2590</v>
      </c>
      <c r="E364" s="94" t="s">
        <v>2589</v>
      </c>
      <c r="F364" s="94" t="s">
        <v>2084</v>
      </c>
      <c r="G364" s="94" t="s">
        <v>2417</v>
      </c>
      <c r="H364" s="119">
        <v>1</v>
      </c>
      <c r="I364" s="119">
        <v>3</v>
      </c>
      <c r="J364" s="119">
        <f t="shared" si="41"/>
        <v>3</v>
      </c>
      <c r="K364" s="119">
        <v>114285714</v>
      </c>
      <c r="L364" s="119">
        <v>38095238</v>
      </c>
      <c r="M364" s="119">
        <f t="shared" si="42"/>
        <v>3</v>
      </c>
      <c r="N364" s="119">
        <f t="shared" si="43"/>
        <v>114285714</v>
      </c>
      <c r="O364" s="120">
        <v>45690</v>
      </c>
      <c r="P364" s="120">
        <v>46784</v>
      </c>
      <c r="Q364" s="119">
        <v>0</v>
      </c>
      <c r="R364" s="121">
        <v>0</v>
      </c>
      <c r="S364" s="119">
        <v>3</v>
      </c>
      <c r="T364" s="121">
        <v>114285714</v>
      </c>
      <c r="U364" s="119">
        <v>1</v>
      </c>
      <c r="V364" s="121">
        <f t="shared" si="44"/>
        <v>38095238</v>
      </c>
      <c r="W364" s="119">
        <f t="shared" si="45"/>
        <v>2</v>
      </c>
      <c r="X364" s="121">
        <f t="shared" si="46"/>
        <v>76190476</v>
      </c>
      <c r="Y364" s="122" t="s">
        <v>2416</v>
      </c>
      <c r="Z364" s="123" t="s">
        <v>2407</v>
      </c>
      <c r="AA364" s="123" t="s">
        <v>2406</v>
      </c>
      <c r="AB364" s="123" t="s">
        <v>2372</v>
      </c>
      <c r="AC364" s="124" t="s">
        <v>12</v>
      </c>
      <c r="AD364" s="110">
        <f>COUNTIF('KK1. Movies'!AI:AI,'TK 15661.Bản quyền phim '!F364)</f>
        <v>1</v>
      </c>
      <c r="AE364" s="110">
        <f>COUNTIF('KK2. Series'!AM:AM,'TK 15661.Bản quyền phim '!F364)</f>
        <v>0</v>
      </c>
      <c r="AF364" s="110">
        <f>COUNTIF('KK3. Kids'!AF:AF,'TK 15661.Bản quyền phim '!F364)</f>
        <v>0</v>
      </c>
      <c r="AG364" s="110"/>
      <c r="AH364" s="110" t="str">
        <f t="shared" si="47"/>
        <v>OK</v>
      </c>
    </row>
    <row r="365" spans="1:34" ht="15.6" hidden="1" x14ac:dyDescent="0.3">
      <c r="B365" s="108" t="s">
        <v>2596</v>
      </c>
      <c r="C365" s="94" t="s">
        <v>2493</v>
      </c>
      <c r="D365" s="94" t="s">
        <v>2590</v>
      </c>
      <c r="E365" s="94" t="s">
        <v>2589</v>
      </c>
      <c r="F365" s="94" t="s">
        <v>1460</v>
      </c>
      <c r="G365" s="94" t="s">
        <v>2417</v>
      </c>
      <c r="H365" s="119">
        <v>1</v>
      </c>
      <c r="I365" s="119">
        <v>3</v>
      </c>
      <c r="J365" s="119">
        <f t="shared" si="41"/>
        <v>3</v>
      </c>
      <c r="K365" s="119">
        <v>123809524</v>
      </c>
      <c r="L365" s="119">
        <v>41269841.333333336</v>
      </c>
      <c r="M365" s="119">
        <f t="shared" si="42"/>
        <v>3</v>
      </c>
      <c r="N365" s="119">
        <f t="shared" si="43"/>
        <v>123809524</v>
      </c>
      <c r="O365" s="120">
        <v>45702</v>
      </c>
      <c r="P365" s="120">
        <v>46796</v>
      </c>
      <c r="Q365" s="119">
        <v>0</v>
      </c>
      <c r="R365" s="121">
        <v>0</v>
      </c>
      <c r="S365" s="119">
        <v>3</v>
      </c>
      <c r="T365" s="121">
        <v>123809524</v>
      </c>
      <c r="U365" s="119">
        <v>1</v>
      </c>
      <c r="V365" s="121">
        <f t="shared" si="44"/>
        <v>41269841.333333336</v>
      </c>
      <c r="W365" s="119">
        <f t="shared" si="45"/>
        <v>2</v>
      </c>
      <c r="X365" s="121">
        <f t="shared" si="46"/>
        <v>82539682.666666657</v>
      </c>
      <c r="Y365" s="122" t="s">
        <v>2416</v>
      </c>
      <c r="Z365" s="123" t="s">
        <v>2407</v>
      </c>
      <c r="AA365" s="123" t="s">
        <v>2406</v>
      </c>
      <c r="AB365" s="123" t="s">
        <v>2372</v>
      </c>
      <c r="AC365" s="124" t="s">
        <v>12</v>
      </c>
      <c r="AD365" s="110">
        <f>COUNTIF('KK1. Movies'!AI:AI,'TK 15661.Bản quyền phim '!F365)</f>
        <v>1</v>
      </c>
      <c r="AE365" s="110">
        <f>COUNTIF('KK2. Series'!AM:AM,'TK 15661.Bản quyền phim '!F365)</f>
        <v>0</v>
      </c>
      <c r="AF365" s="110">
        <f>COUNTIF('KK3. Kids'!AF:AF,'TK 15661.Bản quyền phim '!F365)</f>
        <v>0</v>
      </c>
      <c r="AG365" s="110"/>
      <c r="AH365" s="110" t="str">
        <f t="shared" si="47"/>
        <v>OK</v>
      </c>
    </row>
    <row r="366" spans="1:34" ht="15.6" hidden="1" x14ac:dyDescent="0.3">
      <c r="B366" s="108" t="s">
        <v>2595</v>
      </c>
      <c r="C366" s="94" t="s">
        <v>2493</v>
      </c>
      <c r="D366" s="94" t="s">
        <v>2590</v>
      </c>
      <c r="E366" s="94" t="s">
        <v>2589</v>
      </c>
      <c r="F366" s="94" t="s">
        <v>2310</v>
      </c>
      <c r="G366" s="94" t="s">
        <v>2417</v>
      </c>
      <c r="H366" s="119">
        <v>1</v>
      </c>
      <c r="I366" s="119">
        <v>3</v>
      </c>
      <c r="J366" s="119">
        <f t="shared" si="41"/>
        <v>3</v>
      </c>
      <c r="K366" s="119">
        <v>90476190</v>
      </c>
      <c r="L366" s="119">
        <v>30158730</v>
      </c>
      <c r="M366" s="119">
        <f t="shared" si="42"/>
        <v>3</v>
      </c>
      <c r="N366" s="119">
        <f t="shared" si="43"/>
        <v>90476190</v>
      </c>
      <c r="O366" s="120">
        <v>45722</v>
      </c>
      <c r="P366" s="120">
        <v>46817</v>
      </c>
      <c r="Q366" s="119">
        <v>0</v>
      </c>
      <c r="R366" s="121">
        <v>0</v>
      </c>
      <c r="S366" s="119">
        <v>3</v>
      </c>
      <c r="T366" s="121">
        <v>90476190</v>
      </c>
      <c r="U366" s="119">
        <v>1</v>
      </c>
      <c r="V366" s="121">
        <f t="shared" si="44"/>
        <v>30158730</v>
      </c>
      <c r="W366" s="119">
        <f t="shared" si="45"/>
        <v>2</v>
      </c>
      <c r="X366" s="121">
        <f t="shared" si="46"/>
        <v>60317460</v>
      </c>
      <c r="Y366" s="122" t="s">
        <v>2416</v>
      </c>
      <c r="Z366" s="123" t="s">
        <v>2407</v>
      </c>
      <c r="AA366" s="123" t="s">
        <v>2406</v>
      </c>
      <c r="AB366" s="123" t="s">
        <v>2372</v>
      </c>
      <c r="AC366" s="124" t="s">
        <v>12</v>
      </c>
      <c r="AD366" s="110">
        <f>COUNTIF('KK1. Movies'!AI:AI,'TK 15661.Bản quyền phim '!F366)</f>
        <v>1</v>
      </c>
      <c r="AE366" s="110">
        <f>COUNTIF('KK2. Series'!AM:AM,'TK 15661.Bản quyền phim '!F366)</f>
        <v>0</v>
      </c>
      <c r="AF366" s="110">
        <f>COUNTIF('KK3. Kids'!AF:AF,'TK 15661.Bản quyền phim '!F366)</f>
        <v>0</v>
      </c>
      <c r="AG366" s="110"/>
      <c r="AH366" s="110" t="str">
        <f t="shared" si="47"/>
        <v>OK</v>
      </c>
    </row>
    <row r="367" spans="1:34" ht="15.6" hidden="1" x14ac:dyDescent="0.3">
      <c r="B367" s="108" t="s">
        <v>2594</v>
      </c>
      <c r="C367" s="94" t="s">
        <v>2493</v>
      </c>
      <c r="D367" s="94" t="s">
        <v>2590</v>
      </c>
      <c r="E367" s="94" t="s">
        <v>2589</v>
      </c>
      <c r="F367" s="94" t="s">
        <v>1331</v>
      </c>
      <c r="G367" s="94" t="s">
        <v>2417</v>
      </c>
      <c r="H367" s="119">
        <v>1</v>
      </c>
      <c r="I367" s="119">
        <v>3</v>
      </c>
      <c r="J367" s="119">
        <f t="shared" si="41"/>
        <v>3</v>
      </c>
      <c r="K367" s="119">
        <v>47619048</v>
      </c>
      <c r="L367" s="119">
        <v>15873016</v>
      </c>
      <c r="M367" s="119">
        <f t="shared" si="42"/>
        <v>3</v>
      </c>
      <c r="N367" s="119">
        <f t="shared" si="43"/>
        <v>47619048</v>
      </c>
      <c r="O367" s="120">
        <v>45882</v>
      </c>
      <c r="P367" s="120">
        <v>46977</v>
      </c>
      <c r="Q367" s="119">
        <v>0</v>
      </c>
      <c r="R367" s="121">
        <v>0</v>
      </c>
      <c r="S367" s="119">
        <v>3</v>
      </c>
      <c r="T367" s="121">
        <v>47619048</v>
      </c>
      <c r="U367" s="119">
        <v>1</v>
      </c>
      <c r="V367" s="121">
        <f t="shared" si="44"/>
        <v>15873016</v>
      </c>
      <c r="W367" s="119">
        <f t="shared" si="45"/>
        <v>2</v>
      </c>
      <c r="X367" s="121">
        <f t="shared" si="46"/>
        <v>31746032</v>
      </c>
      <c r="Y367" s="122" t="s">
        <v>2416</v>
      </c>
      <c r="Z367" s="123" t="s">
        <v>2407</v>
      </c>
      <c r="AA367" s="123" t="s">
        <v>2406</v>
      </c>
      <c r="AB367" s="123" t="s">
        <v>2372</v>
      </c>
      <c r="AC367" s="124" t="s">
        <v>12</v>
      </c>
      <c r="AD367" s="110">
        <f>COUNTIF('KK1. Movies'!AI:AI,'TK 15661.Bản quyền phim '!F367)</f>
        <v>1</v>
      </c>
      <c r="AE367" s="110">
        <f>COUNTIF('KK2. Series'!AM:AM,'TK 15661.Bản quyền phim '!F367)</f>
        <v>0</v>
      </c>
      <c r="AF367" s="110">
        <f>COUNTIF('KK3. Kids'!AF:AF,'TK 15661.Bản quyền phim '!F367)</f>
        <v>0</v>
      </c>
      <c r="AG367" s="110"/>
      <c r="AH367" s="110" t="str">
        <f t="shared" si="47"/>
        <v>OK</v>
      </c>
    </row>
    <row r="368" spans="1:34" ht="15.6" hidden="1" x14ac:dyDescent="0.3">
      <c r="B368" s="108" t="s">
        <v>2593</v>
      </c>
      <c r="C368" s="94" t="s">
        <v>2493</v>
      </c>
      <c r="D368" s="94" t="s">
        <v>2590</v>
      </c>
      <c r="E368" s="94" t="s">
        <v>2589</v>
      </c>
      <c r="F368" s="94" t="s">
        <v>1327</v>
      </c>
      <c r="G368" s="94" t="s">
        <v>2417</v>
      </c>
      <c r="H368" s="119">
        <v>1</v>
      </c>
      <c r="I368" s="119">
        <v>3</v>
      </c>
      <c r="J368" s="119">
        <f t="shared" si="41"/>
        <v>3</v>
      </c>
      <c r="K368" s="119">
        <v>85714286</v>
      </c>
      <c r="L368" s="119">
        <v>28571428.666666668</v>
      </c>
      <c r="M368" s="119">
        <f t="shared" si="42"/>
        <v>3</v>
      </c>
      <c r="N368" s="119">
        <f t="shared" si="43"/>
        <v>85714286</v>
      </c>
      <c r="O368" s="120">
        <v>46004</v>
      </c>
      <c r="P368" s="120">
        <v>47099</v>
      </c>
      <c r="Q368" s="119">
        <v>0</v>
      </c>
      <c r="R368" s="121">
        <v>0</v>
      </c>
      <c r="S368" s="119">
        <v>3</v>
      </c>
      <c r="T368" s="121">
        <v>85714286</v>
      </c>
      <c r="U368" s="119">
        <v>1</v>
      </c>
      <c r="V368" s="121">
        <f t="shared" si="44"/>
        <v>28571428.666666668</v>
      </c>
      <c r="W368" s="119">
        <f t="shared" si="45"/>
        <v>2</v>
      </c>
      <c r="X368" s="121">
        <f t="shared" si="46"/>
        <v>57142857.333333328</v>
      </c>
      <c r="Y368" s="122" t="s">
        <v>2416</v>
      </c>
      <c r="Z368" s="123" t="s">
        <v>2407</v>
      </c>
      <c r="AA368" s="123" t="s">
        <v>2406</v>
      </c>
      <c r="AB368" s="123" t="s">
        <v>2372</v>
      </c>
      <c r="AC368" s="124" t="s">
        <v>12</v>
      </c>
      <c r="AD368" s="110">
        <f>COUNTIF('KK1. Movies'!AI:AI,'TK 15661.Bản quyền phim '!F368)</f>
        <v>1</v>
      </c>
      <c r="AE368" s="110">
        <f>COUNTIF('KK2. Series'!AM:AM,'TK 15661.Bản quyền phim '!F368)</f>
        <v>0</v>
      </c>
      <c r="AF368" s="110">
        <f>COUNTIF('KK3. Kids'!AF:AF,'TK 15661.Bản quyền phim '!F368)</f>
        <v>0</v>
      </c>
      <c r="AG368" s="110"/>
      <c r="AH368" s="110" t="str">
        <f t="shared" si="47"/>
        <v>OK</v>
      </c>
    </row>
    <row r="369" spans="1:34" ht="15.6" hidden="1" x14ac:dyDescent="0.3">
      <c r="B369" s="108" t="s">
        <v>2592</v>
      </c>
      <c r="C369" s="94" t="s">
        <v>2493</v>
      </c>
      <c r="D369" s="94" t="s">
        <v>2590</v>
      </c>
      <c r="E369" s="94" t="s">
        <v>2589</v>
      </c>
      <c r="F369" s="94" t="s">
        <v>1456</v>
      </c>
      <c r="G369" s="94" t="s">
        <v>2417</v>
      </c>
      <c r="H369" s="119">
        <v>1</v>
      </c>
      <c r="I369" s="119">
        <v>3</v>
      </c>
      <c r="J369" s="119">
        <f t="shared" si="41"/>
        <v>3</v>
      </c>
      <c r="K369" s="119">
        <v>85714286</v>
      </c>
      <c r="L369" s="119">
        <v>28571428.666666668</v>
      </c>
      <c r="M369" s="119">
        <f t="shared" si="42"/>
        <v>3</v>
      </c>
      <c r="N369" s="119">
        <f t="shared" si="43"/>
        <v>85714286</v>
      </c>
      <c r="O369" s="120">
        <v>45997</v>
      </c>
      <c r="P369" s="120">
        <v>47092</v>
      </c>
      <c r="Q369" s="119">
        <v>0</v>
      </c>
      <c r="R369" s="121">
        <v>0</v>
      </c>
      <c r="S369" s="119">
        <v>3</v>
      </c>
      <c r="T369" s="121">
        <v>85714286</v>
      </c>
      <c r="U369" s="119">
        <v>1</v>
      </c>
      <c r="V369" s="121">
        <f t="shared" si="44"/>
        <v>28571428.666666668</v>
      </c>
      <c r="W369" s="119">
        <f t="shared" si="45"/>
        <v>2</v>
      </c>
      <c r="X369" s="121">
        <f t="shared" si="46"/>
        <v>57142857.333333328</v>
      </c>
      <c r="Y369" s="122" t="s">
        <v>2416</v>
      </c>
      <c r="Z369" s="123" t="s">
        <v>2407</v>
      </c>
      <c r="AA369" s="123" t="s">
        <v>2406</v>
      </c>
      <c r="AB369" s="123" t="s">
        <v>2372</v>
      </c>
      <c r="AC369" s="124" t="s">
        <v>12</v>
      </c>
      <c r="AD369" s="110">
        <f>COUNTIF('KK1. Movies'!AI:AI,'TK 15661.Bản quyền phim '!F369)</f>
        <v>1</v>
      </c>
      <c r="AE369" s="110">
        <f>COUNTIF('KK2. Series'!AM:AM,'TK 15661.Bản quyền phim '!F369)</f>
        <v>0</v>
      </c>
      <c r="AF369" s="110">
        <f>COUNTIF('KK3. Kids'!AF:AF,'TK 15661.Bản quyền phim '!F369)</f>
        <v>0</v>
      </c>
      <c r="AG369" s="110"/>
      <c r="AH369" s="110" t="str">
        <f t="shared" si="47"/>
        <v>OK</v>
      </c>
    </row>
    <row r="370" spans="1:34" ht="15.6" hidden="1" x14ac:dyDescent="0.3">
      <c r="B370" s="108" t="s">
        <v>2591</v>
      </c>
      <c r="C370" s="94" t="s">
        <v>2493</v>
      </c>
      <c r="D370" s="94" t="s">
        <v>2590</v>
      </c>
      <c r="E370" s="94" t="s">
        <v>2589</v>
      </c>
      <c r="F370" s="94" t="s">
        <v>1321</v>
      </c>
      <c r="G370" s="94" t="s">
        <v>2417</v>
      </c>
      <c r="H370" s="119">
        <v>1</v>
      </c>
      <c r="I370" s="119">
        <v>3</v>
      </c>
      <c r="J370" s="119">
        <f t="shared" si="41"/>
        <v>3</v>
      </c>
      <c r="K370" s="119">
        <v>47619048</v>
      </c>
      <c r="L370" s="119">
        <v>15873016</v>
      </c>
      <c r="M370" s="119">
        <f t="shared" si="42"/>
        <v>3</v>
      </c>
      <c r="N370" s="119">
        <f t="shared" si="43"/>
        <v>47619048</v>
      </c>
      <c r="O370" s="120">
        <v>46003</v>
      </c>
      <c r="P370" s="120">
        <v>47098</v>
      </c>
      <c r="Q370" s="119">
        <v>0</v>
      </c>
      <c r="R370" s="121">
        <v>0</v>
      </c>
      <c r="S370" s="119">
        <v>3</v>
      </c>
      <c r="T370" s="121">
        <v>47619048</v>
      </c>
      <c r="U370" s="119">
        <v>1</v>
      </c>
      <c r="V370" s="121">
        <f t="shared" si="44"/>
        <v>15873016</v>
      </c>
      <c r="W370" s="119">
        <f t="shared" si="45"/>
        <v>2</v>
      </c>
      <c r="X370" s="121">
        <f t="shared" si="46"/>
        <v>31746032</v>
      </c>
      <c r="Y370" s="122" t="s">
        <v>2416</v>
      </c>
      <c r="Z370" s="123" t="s">
        <v>2407</v>
      </c>
      <c r="AA370" s="123" t="s">
        <v>2406</v>
      </c>
      <c r="AB370" s="123" t="s">
        <v>2372</v>
      </c>
      <c r="AC370" s="124" t="s">
        <v>12</v>
      </c>
      <c r="AD370" s="110">
        <f>COUNTIF('KK1. Movies'!AI:AI,'TK 15661.Bản quyền phim '!F370)</f>
        <v>1</v>
      </c>
      <c r="AE370" s="110">
        <f>COUNTIF('KK2. Series'!AM:AM,'TK 15661.Bản quyền phim '!F370)</f>
        <v>0</v>
      </c>
      <c r="AF370" s="110">
        <f>COUNTIF('KK3. Kids'!AF:AF,'TK 15661.Bản quyền phim '!F370)</f>
        <v>0</v>
      </c>
      <c r="AG370" s="110"/>
      <c r="AH370" s="110" t="str">
        <f t="shared" si="47"/>
        <v>OK</v>
      </c>
    </row>
    <row r="371" spans="1:34" ht="15.6" hidden="1" x14ac:dyDescent="0.3">
      <c r="A371" s="47">
        <f t="shared" ref="A371:A377" si="48">(U371-H371)*L371</f>
        <v>0</v>
      </c>
      <c r="B371" s="108" t="s">
        <v>2588</v>
      </c>
      <c r="C371" s="94" t="s">
        <v>2412</v>
      </c>
      <c r="D371" s="94" t="s">
        <v>2587</v>
      </c>
      <c r="E371" s="94" t="s">
        <v>2586</v>
      </c>
      <c r="F371" s="94" t="s">
        <v>494</v>
      </c>
      <c r="G371" s="94" t="s">
        <v>2428</v>
      </c>
      <c r="H371" s="119">
        <v>11</v>
      </c>
      <c r="I371" s="119">
        <v>5</v>
      </c>
      <c r="J371" s="119">
        <f t="shared" si="41"/>
        <v>55</v>
      </c>
      <c r="K371" s="119">
        <v>559020000</v>
      </c>
      <c r="L371" s="119">
        <v>10164000</v>
      </c>
      <c r="M371" s="119">
        <f t="shared" si="42"/>
        <v>55</v>
      </c>
      <c r="N371" s="119">
        <f t="shared" si="43"/>
        <v>559020000</v>
      </c>
      <c r="O371" s="120">
        <v>45724</v>
      </c>
      <c r="P371" s="120">
        <v>47549</v>
      </c>
      <c r="Q371" s="119">
        <v>0</v>
      </c>
      <c r="R371" s="121">
        <v>0</v>
      </c>
      <c r="S371" s="119">
        <v>55</v>
      </c>
      <c r="T371" s="121">
        <v>559020000</v>
      </c>
      <c r="U371" s="119">
        <v>11</v>
      </c>
      <c r="V371" s="121">
        <f t="shared" si="44"/>
        <v>111804000</v>
      </c>
      <c r="W371" s="119">
        <f t="shared" si="45"/>
        <v>44</v>
      </c>
      <c r="X371" s="121">
        <f t="shared" si="46"/>
        <v>447216000</v>
      </c>
      <c r="Y371" s="122" t="s">
        <v>2427</v>
      </c>
      <c r="Z371" s="123" t="s">
        <v>2407</v>
      </c>
      <c r="AA371" s="123" t="s">
        <v>2406</v>
      </c>
      <c r="AB371" s="123" t="s">
        <v>2372</v>
      </c>
      <c r="AC371" s="124" t="s">
        <v>10</v>
      </c>
      <c r="AD371" s="110">
        <f>COUNTIF('KK1. Movies'!AI:AI,'TK 15661.Bản quyền phim '!F371)</f>
        <v>0</v>
      </c>
      <c r="AE371" s="110">
        <f>COUNTIF('KK2. Series'!AM:AM,'TK 15661.Bản quyền phim '!F371)</f>
        <v>1</v>
      </c>
      <c r="AF371" s="110">
        <f>COUNTIF('KK3. Kids'!AF:AF,'TK 15661.Bản quyền phim '!F371)</f>
        <v>0</v>
      </c>
      <c r="AG371" s="110"/>
      <c r="AH371" s="110" t="str">
        <f t="shared" si="47"/>
        <v>OK</v>
      </c>
    </row>
    <row r="372" spans="1:34" ht="15.6" hidden="1" x14ac:dyDescent="0.3">
      <c r="A372" s="47">
        <f t="shared" si="48"/>
        <v>0</v>
      </c>
      <c r="B372" s="108" t="s">
        <v>2585</v>
      </c>
      <c r="C372" s="94" t="s">
        <v>2412</v>
      </c>
      <c r="D372" s="94" t="s">
        <v>2583</v>
      </c>
      <c r="E372" s="94" t="s">
        <v>2582</v>
      </c>
      <c r="F372" s="94" t="s">
        <v>490</v>
      </c>
      <c r="G372" s="94" t="s">
        <v>2581</v>
      </c>
      <c r="H372" s="119">
        <v>10</v>
      </c>
      <c r="I372" s="119">
        <v>5</v>
      </c>
      <c r="J372" s="119">
        <f t="shared" si="41"/>
        <v>50</v>
      </c>
      <c r="K372" s="119">
        <v>0</v>
      </c>
      <c r="L372" s="119">
        <v>0</v>
      </c>
      <c r="M372" s="119">
        <f t="shared" si="42"/>
        <v>50</v>
      </c>
      <c r="N372" s="119">
        <f t="shared" si="43"/>
        <v>0</v>
      </c>
      <c r="O372" s="120">
        <v>45748</v>
      </c>
      <c r="P372" s="120">
        <v>47573</v>
      </c>
      <c r="Q372" s="119">
        <v>0</v>
      </c>
      <c r="R372" s="121">
        <v>0</v>
      </c>
      <c r="S372" s="119">
        <v>50</v>
      </c>
      <c r="T372" s="121">
        <v>0</v>
      </c>
      <c r="U372" s="119">
        <v>0</v>
      </c>
      <c r="V372" s="121">
        <f t="shared" si="44"/>
        <v>0</v>
      </c>
      <c r="W372" s="119">
        <f t="shared" si="45"/>
        <v>50</v>
      </c>
      <c r="X372" s="121">
        <f t="shared" si="46"/>
        <v>0</v>
      </c>
      <c r="Y372" s="122" t="s">
        <v>2427</v>
      </c>
      <c r="Z372" s="123" t="s">
        <v>2407</v>
      </c>
      <c r="AA372" s="123" t="s">
        <v>2406</v>
      </c>
      <c r="AB372" s="123" t="s">
        <v>2372</v>
      </c>
      <c r="AC372" s="124" t="s">
        <v>10</v>
      </c>
      <c r="AD372" s="110">
        <f>COUNTIF('KK1. Movies'!AI:AI,'TK 15661.Bản quyền phim '!F372)</f>
        <v>0</v>
      </c>
      <c r="AE372" s="110">
        <f>COUNTIF('KK2. Series'!AM:AM,'TK 15661.Bản quyền phim '!F372)</f>
        <v>1</v>
      </c>
      <c r="AF372" s="110">
        <f>COUNTIF('KK3. Kids'!AF:AF,'TK 15661.Bản quyền phim '!F372)</f>
        <v>0</v>
      </c>
      <c r="AG372" s="110"/>
      <c r="AH372" s="110" t="str">
        <f t="shared" si="47"/>
        <v>OK</v>
      </c>
    </row>
    <row r="373" spans="1:34" ht="15.6" hidden="1" x14ac:dyDescent="0.3">
      <c r="A373" s="47">
        <f t="shared" si="48"/>
        <v>0</v>
      </c>
      <c r="B373" s="108" t="s">
        <v>2584</v>
      </c>
      <c r="C373" s="94" t="s">
        <v>2412</v>
      </c>
      <c r="D373" s="94" t="s">
        <v>2583</v>
      </c>
      <c r="E373" s="94" t="s">
        <v>2582</v>
      </c>
      <c r="F373" s="94" t="s">
        <v>483</v>
      </c>
      <c r="G373" s="94" t="s">
        <v>2581</v>
      </c>
      <c r="H373" s="119">
        <v>30</v>
      </c>
      <c r="I373" s="119">
        <v>5</v>
      </c>
      <c r="J373" s="119">
        <f t="shared" si="41"/>
        <v>150</v>
      </c>
      <c r="K373" s="119">
        <v>0</v>
      </c>
      <c r="L373" s="119">
        <v>0</v>
      </c>
      <c r="M373" s="119">
        <f t="shared" si="42"/>
        <v>150</v>
      </c>
      <c r="N373" s="119">
        <f t="shared" si="43"/>
        <v>0</v>
      </c>
      <c r="O373" s="120">
        <v>45748</v>
      </c>
      <c r="P373" s="120">
        <v>47573</v>
      </c>
      <c r="Q373" s="119">
        <v>0</v>
      </c>
      <c r="R373" s="121">
        <v>0</v>
      </c>
      <c r="S373" s="119">
        <v>150</v>
      </c>
      <c r="T373" s="121">
        <v>0</v>
      </c>
      <c r="U373" s="119">
        <v>0</v>
      </c>
      <c r="V373" s="121">
        <f t="shared" si="44"/>
        <v>0</v>
      </c>
      <c r="W373" s="119">
        <f t="shared" si="45"/>
        <v>150</v>
      </c>
      <c r="X373" s="121">
        <f t="shared" si="46"/>
        <v>0</v>
      </c>
      <c r="Y373" s="122" t="s">
        <v>2427</v>
      </c>
      <c r="Z373" s="123" t="s">
        <v>2407</v>
      </c>
      <c r="AA373" s="123" t="s">
        <v>2406</v>
      </c>
      <c r="AB373" s="123" t="s">
        <v>2372</v>
      </c>
      <c r="AC373" s="124" t="s">
        <v>10</v>
      </c>
      <c r="AD373" s="110">
        <f>COUNTIF('KK1. Movies'!AI:AI,'TK 15661.Bản quyền phim '!F373)</f>
        <v>0</v>
      </c>
      <c r="AE373" s="110">
        <f>COUNTIF('KK2. Series'!AM:AM,'TK 15661.Bản quyền phim '!F373)</f>
        <v>1</v>
      </c>
      <c r="AF373" s="110">
        <f>COUNTIF('KK3. Kids'!AF:AF,'TK 15661.Bản quyền phim '!F373)</f>
        <v>0</v>
      </c>
      <c r="AG373" s="110"/>
      <c r="AH373" s="110" t="str">
        <f t="shared" si="47"/>
        <v>OK</v>
      </c>
    </row>
    <row r="374" spans="1:34" ht="15.6" hidden="1" x14ac:dyDescent="0.3">
      <c r="A374" s="47">
        <f t="shared" si="48"/>
        <v>0</v>
      </c>
      <c r="B374" s="108" t="s">
        <v>2580</v>
      </c>
      <c r="C374" s="94" t="s">
        <v>2412</v>
      </c>
      <c r="D374" s="94" t="s">
        <v>2570</v>
      </c>
      <c r="E374" s="94" t="s">
        <v>2569</v>
      </c>
      <c r="F374" s="94" t="s">
        <v>522</v>
      </c>
      <c r="G374" s="94" t="s">
        <v>2428</v>
      </c>
      <c r="H374" s="119">
        <v>29</v>
      </c>
      <c r="I374" s="119">
        <v>4</v>
      </c>
      <c r="J374" s="119">
        <f t="shared" si="41"/>
        <v>116</v>
      </c>
      <c r="K374" s="119">
        <v>957957000</v>
      </c>
      <c r="L374" s="119">
        <v>8258250</v>
      </c>
      <c r="M374" s="119">
        <f t="shared" si="42"/>
        <v>116</v>
      </c>
      <c r="N374" s="119">
        <f t="shared" si="43"/>
        <v>957957000</v>
      </c>
      <c r="O374" s="120">
        <v>45773</v>
      </c>
      <c r="P374" s="120">
        <v>47233</v>
      </c>
      <c r="Q374" s="119">
        <v>0</v>
      </c>
      <c r="R374" s="121">
        <v>0</v>
      </c>
      <c r="S374" s="119">
        <v>116</v>
      </c>
      <c r="T374" s="121">
        <v>957957000</v>
      </c>
      <c r="U374" s="119">
        <v>29</v>
      </c>
      <c r="V374" s="121">
        <f t="shared" si="44"/>
        <v>239489250</v>
      </c>
      <c r="W374" s="119">
        <f t="shared" si="45"/>
        <v>87</v>
      </c>
      <c r="X374" s="121">
        <f t="shared" si="46"/>
        <v>718467750</v>
      </c>
      <c r="Y374" s="122" t="s">
        <v>2427</v>
      </c>
      <c r="Z374" s="123" t="s">
        <v>2407</v>
      </c>
      <c r="AA374" s="123" t="s">
        <v>2406</v>
      </c>
      <c r="AB374" s="123" t="s">
        <v>2372</v>
      </c>
      <c r="AC374" s="124" t="s">
        <v>10</v>
      </c>
      <c r="AD374" s="110">
        <f>COUNTIF('KK1. Movies'!AI:AI,'TK 15661.Bản quyền phim '!F374)</f>
        <v>0</v>
      </c>
      <c r="AE374" s="110">
        <f>COUNTIF('KK2. Series'!AM:AM,'TK 15661.Bản quyền phim '!F374)</f>
        <v>1</v>
      </c>
      <c r="AF374" s="110">
        <f>COUNTIF('KK3. Kids'!AF:AF,'TK 15661.Bản quyền phim '!F374)</f>
        <v>0</v>
      </c>
      <c r="AG374" s="110"/>
      <c r="AH374" s="110" t="str">
        <f t="shared" si="47"/>
        <v>OK</v>
      </c>
    </row>
    <row r="375" spans="1:34" ht="15.6" hidden="1" x14ac:dyDescent="0.3">
      <c r="A375" s="47">
        <f t="shared" si="48"/>
        <v>0</v>
      </c>
      <c r="B375" s="108" t="s">
        <v>2579</v>
      </c>
      <c r="C375" s="94" t="s">
        <v>2412</v>
      </c>
      <c r="D375" s="94" t="s">
        <v>2570</v>
      </c>
      <c r="E375" s="94" t="s">
        <v>2569</v>
      </c>
      <c r="F375" s="94" t="s">
        <v>517</v>
      </c>
      <c r="G375" s="94" t="s">
        <v>2428</v>
      </c>
      <c r="H375" s="119">
        <v>16</v>
      </c>
      <c r="I375" s="119">
        <v>4</v>
      </c>
      <c r="J375" s="119">
        <f t="shared" si="41"/>
        <v>64</v>
      </c>
      <c r="K375" s="119">
        <v>451738980</v>
      </c>
      <c r="L375" s="119">
        <v>7058421.5625</v>
      </c>
      <c r="M375" s="119">
        <f t="shared" si="42"/>
        <v>64</v>
      </c>
      <c r="N375" s="119">
        <f t="shared" si="43"/>
        <v>451738980</v>
      </c>
      <c r="O375" s="120">
        <v>45817</v>
      </c>
      <c r="P375" s="120">
        <v>47277</v>
      </c>
      <c r="Q375" s="119">
        <v>0</v>
      </c>
      <c r="R375" s="121">
        <v>0</v>
      </c>
      <c r="S375" s="119">
        <v>64</v>
      </c>
      <c r="T375" s="121">
        <v>451738980</v>
      </c>
      <c r="U375" s="119">
        <v>16</v>
      </c>
      <c r="V375" s="121">
        <f t="shared" si="44"/>
        <v>112934745</v>
      </c>
      <c r="W375" s="119">
        <f t="shared" si="45"/>
        <v>48</v>
      </c>
      <c r="X375" s="121">
        <f t="shared" si="46"/>
        <v>338804235</v>
      </c>
      <c r="Y375" s="122" t="s">
        <v>2427</v>
      </c>
      <c r="Z375" s="123" t="s">
        <v>2407</v>
      </c>
      <c r="AA375" s="123" t="s">
        <v>2406</v>
      </c>
      <c r="AB375" s="123" t="s">
        <v>2372</v>
      </c>
      <c r="AC375" s="124" t="s">
        <v>10</v>
      </c>
      <c r="AD375" s="110">
        <f>COUNTIF('KK1. Movies'!AI:AI,'TK 15661.Bản quyền phim '!F375)</f>
        <v>0</v>
      </c>
      <c r="AE375" s="110">
        <f>COUNTIF('KK2. Series'!AM:AM,'TK 15661.Bản quyền phim '!F375)</f>
        <v>1</v>
      </c>
      <c r="AF375" s="110">
        <f>COUNTIF('KK3. Kids'!AF:AF,'TK 15661.Bản quyền phim '!F375)</f>
        <v>0</v>
      </c>
      <c r="AG375" s="110"/>
      <c r="AH375" s="110" t="str">
        <f t="shared" si="47"/>
        <v>OK</v>
      </c>
    </row>
    <row r="376" spans="1:34" ht="15.6" hidden="1" x14ac:dyDescent="0.3">
      <c r="A376" s="47">
        <f t="shared" si="48"/>
        <v>0</v>
      </c>
      <c r="B376" s="108" t="s">
        <v>2578</v>
      </c>
      <c r="C376" s="94" t="s">
        <v>2412</v>
      </c>
      <c r="D376" s="94" t="s">
        <v>2570</v>
      </c>
      <c r="E376" s="94" t="s">
        <v>2569</v>
      </c>
      <c r="F376" s="94" t="s">
        <v>510</v>
      </c>
      <c r="G376" s="94" t="s">
        <v>2428</v>
      </c>
      <c r="H376" s="119">
        <v>24</v>
      </c>
      <c r="I376" s="119">
        <v>4</v>
      </c>
      <c r="J376" s="119">
        <f t="shared" si="41"/>
        <v>96</v>
      </c>
      <c r="K376" s="119">
        <v>677608470</v>
      </c>
      <c r="L376" s="119">
        <v>7058421.5625</v>
      </c>
      <c r="M376" s="119">
        <f t="shared" si="42"/>
        <v>96</v>
      </c>
      <c r="N376" s="119">
        <f t="shared" si="43"/>
        <v>677608470</v>
      </c>
      <c r="O376" s="120">
        <v>45783</v>
      </c>
      <c r="P376" s="120">
        <v>47243</v>
      </c>
      <c r="Q376" s="119">
        <v>0</v>
      </c>
      <c r="R376" s="121">
        <v>0</v>
      </c>
      <c r="S376" s="119">
        <v>96</v>
      </c>
      <c r="T376" s="121">
        <v>677608470</v>
      </c>
      <c r="U376" s="119">
        <v>24</v>
      </c>
      <c r="V376" s="121">
        <f t="shared" si="44"/>
        <v>169402117.5</v>
      </c>
      <c r="W376" s="119">
        <f t="shared" si="45"/>
        <v>72</v>
      </c>
      <c r="X376" s="121">
        <f t="shared" si="46"/>
        <v>508206352.5</v>
      </c>
      <c r="Y376" s="122" t="s">
        <v>2427</v>
      </c>
      <c r="Z376" s="123" t="s">
        <v>2407</v>
      </c>
      <c r="AA376" s="123" t="s">
        <v>2406</v>
      </c>
      <c r="AB376" s="123" t="s">
        <v>2372</v>
      </c>
      <c r="AC376" s="124" t="s">
        <v>10</v>
      </c>
      <c r="AD376" s="110">
        <f>COUNTIF('KK1. Movies'!AI:AI,'TK 15661.Bản quyền phim '!F376)</f>
        <v>0</v>
      </c>
      <c r="AE376" s="110">
        <f>COUNTIF('KK2. Series'!AM:AM,'TK 15661.Bản quyền phim '!F376)</f>
        <v>1</v>
      </c>
      <c r="AF376" s="110">
        <f>COUNTIF('KK3. Kids'!AF:AF,'TK 15661.Bản quyền phim '!F376)</f>
        <v>0</v>
      </c>
      <c r="AG376" s="110"/>
      <c r="AH376" s="110" t="str">
        <f t="shared" si="47"/>
        <v>OK</v>
      </c>
    </row>
    <row r="377" spans="1:34" ht="15.6" hidden="1" x14ac:dyDescent="0.3">
      <c r="A377" s="47">
        <f t="shared" si="48"/>
        <v>0</v>
      </c>
      <c r="B377" s="108" t="s">
        <v>2577</v>
      </c>
      <c r="C377" s="94" t="s">
        <v>2412</v>
      </c>
      <c r="D377" s="94" t="s">
        <v>2570</v>
      </c>
      <c r="E377" s="94" t="s">
        <v>2569</v>
      </c>
      <c r="F377" s="94" t="s">
        <v>525</v>
      </c>
      <c r="G377" s="94" t="s">
        <v>2428</v>
      </c>
      <c r="H377" s="119">
        <v>40</v>
      </c>
      <c r="I377" s="119">
        <v>4</v>
      </c>
      <c r="J377" s="119">
        <f t="shared" si="41"/>
        <v>160</v>
      </c>
      <c r="K377" s="119">
        <v>355740000</v>
      </c>
      <c r="L377" s="119">
        <v>2223375</v>
      </c>
      <c r="M377" s="119">
        <f t="shared" si="42"/>
        <v>160</v>
      </c>
      <c r="N377" s="119">
        <f t="shared" si="43"/>
        <v>355740000</v>
      </c>
      <c r="O377" s="120">
        <v>45703</v>
      </c>
      <c r="P377" s="120">
        <v>47163</v>
      </c>
      <c r="Q377" s="119">
        <v>0</v>
      </c>
      <c r="R377" s="121">
        <v>0</v>
      </c>
      <c r="S377" s="119">
        <v>160</v>
      </c>
      <c r="T377" s="121">
        <v>355740000</v>
      </c>
      <c r="U377" s="119">
        <v>40</v>
      </c>
      <c r="V377" s="121">
        <f t="shared" si="44"/>
        <v>88935000</v>
      </c>
      <c r="W377" s="119">
        <f t="shared" si="45"/>
        <v>120</v>
      </c>
      <c r="X377" s="121">
        <f t="shared" si="46"/>
        <v>266805000</v>
      </c>
      <c r="Y377" s="122" t="s">
        <v>2427</v>
      </c>
      <c r="Z377" s="123" t="s">
        <v>2407</v>
      </c>
      <c r="AA377" s="123" t="s">
        <v>2406</v>
      </c>
      <c r="AB377" s="123" t="s">
        <v>2372</v>
      </c>
      <c r="AC377" s="124" t="s">
        <v>10</v>
      </c>
      <c r="AD377" s="110">
        <f>COUNTIF('KK1. Movies'!AI:AI,'TK 15661.Bản quyền phim '!F377)</f>
        <v>0</v>
      </c>
      <c r="AE377" s="110">
        <f>COUNTIF('KK2. Series'!AM:AM,'TK 15661.Bản quyền phim '!F377)</f>
        <v>1</v>
      </c>
      <c r="AF377" s="110">
        <f>COUNTIF('KK3. Kids'!AF:AF,'TK 15661.Bản quyền phim '!F377)</f>
        <v>0</v>
      </c>
      <c r="AG377" s="110"/>
      <c r="AH377" s="110" t="str">
        <f t="shared" si="47"/>
        <v>OK</v>
      </c>
    </row>
    <row r="378" spans="1:34" ht="15.6" hidden="1" x14ac:dyDescent="0.3">
      <c r="B378" s="108" t="s">
        <v>2576</v>
      </c>
      <c r="C378" s="94" t="s">
        <v>2412</v>
      </c>
      <c r="D378" s="94" t="s">
        <v>2570</v>
      </c>
      <c r="E378" s="94" t="s">
        <v>2569</v>
      </c>
      <c r="F378" s="94" t="s">
        <v>1773</v>
      </c>
      <c r="G378" s="94" t="s">
        <v>2417</v>
      </c>
      <c r="H378" s="119">
        <v>1</v>
      </c>
      <c r="I378" s="119">
        <v>3</v>
      </c>
      <c r="J378" s="119">
        <f t="shared" si="41"/>
        <v>3</v>
      </c>
      <c r="K378" s="119">
        <v>70588980</v>
      </c>
      <c r="L378" s="119">
        <v>23529660</v>
      </c>
      <c r="M378" s="119">
        <f t="shared" si="42"/>
        <v>3</v>
      </c>
      <c r="N378" s="119">
        <f t="shared" si="43"/>
        <v>70588980</v>
      </c>
      <c r="O378" s="120">
        <v>45805</v>
      </c>
      <c r="P378" s="120">
        <v>46901</v>
      </c>
      <c r="Q378" s="119">
        <v>0</v>
      </c>
      <c r="R378" s="121">
        <v>0</v>
      </c>
      <c r="S378" s="119">
        <v>3</v>
      </c>
      <c r="T378" s="121">
        <v>70588980</v>
      </c>
      <c r="U378" s="119">
        <v>1</v>
      </c>
      <c r="V378" s="121">
        <f t="shared" si="44"/>
        <v>23529660</v>
      </c>
      <c r="W378" s="119">
        <f t="shared" si="45"/>
        <v>2</v>
      </c>
      <c r="X378" s="121">
        <f t="shared" si="46"/>
        <v>47059320</v>
      </c>
      <c r="Y378" s="122" t="s">
        <v>2416</v>
      </c>
      <c r="Z378" s="123" t="s">
        <v>2407</v>
      </c>
      <c r="AA378" s="123" t="s">
        <v>2406</v>
      </c>
      <c r="AB378" s="123" t="s">
        <v>2372</v>
      </c>
      <c r="AC378" s="124" t="s">
        <v>12</v>
      </c>
      <c r="AD378" s="110">
        <f>COUNTIF('KK1. Movies'!AI:AI,'TK 15661.Bản quyền phim '!F378)</f>
        <v>1</v>
      </c>
      <c r="AE378" s="110">
        <f>COUNTIF('KK2. Series'!AM:AM,'TK 15661.Bản quyền phim '!F378)</f>
        <v>0</v>
      </c>
      <c r="AF378" s="110">
        <f>COUNTIF('KK3. Kids'!AF:AF,'TK 15661.Bản quyền phim '!F378)</f>
        <v>0</v>
      </c>
      <c r="AG378" s="110"/>
      <c r="AH378" s="110" t="str">
        <f t="shared" si="47"/>
        <v>OK</v>
      </c>
    </row>
    <row r="379" spans="1:34" ht="15.6" hidden="1" x14ac:dyDescent="0.3">
      <c r="B379" s="108" t="s">
        <v>2575</v>
      </c>
      <c r="C379" s="94" t="s">
        <v>2412</v>
      </c>
      <c r="D379" s="94" t="s">
        <v>2570</v>
      </c>
      <c r="E379" s="94" t="s">
        <v>2569</v>
      </c>
      <c r="F379" s="94" t="s">
        <v>1559</v>
      </c>
      <c r="G379" s="94" t="s">
        <v>2417</v>
      </c>
      <c r="H379" s="119">
        <v>1</v>
      </c>
      <c r="I379" s="119">
        <v>3</v>
      </c>
      <c r="J379" s="119">
        <f t="shared" si="41"/>
        <v>3</v>
      </c>
      <c r="K379" s="119">
        <v>91476000</v>
      </c>
      <c r="L379" s="119">
        <v>30492000</v>
      </c>
      <c r="M379" s="119">
        <f t="shared" si="42"/>
        <v>3</v>
      </c>
      <c r="N379" s="119">
        <f t="shared" si="43"/>
        <v>91476000</v>
      </c>
      <c r="O379" s="120">
        <v>45820</v>
      </c>
      <c r="P379" s="120">
        <v>46916</v>
      </c>
      <c r="Q379" s="119">
        <v>0</v>
      </c>
      <c r="R379" s="121">
        <v>0</v>
      </c>
      <c r="S379" s="119">
        <v>3</v>
      </c>
      <c r="T379" s="121">
        <v>91476000</v>
      </c>
      <c r="U379" s="119">
        <v>1</v>
      </c>
      <c r="V379" s="121">
        <f t="shared" si="44"/>
        <v>30492000</v>
      </c>
      <c r="W379" s="119">
        <f t="shared" si="45"/>
        <v>2</v>
      </c>
      <c r="X379" s="121">
        <f t="shared" si="46"/>
        <v>60984000</v>
      </c>
      <c r="Y379" s="122" t="s">
        <v>2416</v>
      </c>
      <c r="Z379" s="123" t="s">
        <v>2407</v>
      </c>
      <c r="AA379" s="123" t="s">
        <v>2406</v>
      </c>
      <c r="AB379" s="123" t="s">
        <v>2372</v>
      </c>
      <c r="AC379" s="124" t="s">
        <v>12</v>
      </c>
      <c r="AD379" s="110">
        <f>COUNTIF('KK1. Movies'!AI:AI,'TK 15661.Bản quyền phim '!F379)</f>
        <v>1</v>
      </c>
      <c r="AE379" s="110">
        <f>COUNTIF('KK2. Series'!AM:AM,'TK 15661.Bản quyền phim '!F379)</f>
        <v>0</v>
      </c>
      <c r="AF379" s="110">
        <f>COUNTIF('KK3. Kids'!AF:AF,'TK 15661.Bản quyền phim '!F379)</f>
        <v>0</v>
      </c>
      <c r="AG379" s="110"/>
      <c r="AH379" s="110" t="str">
        <f t="shared" si="47"/>
        <v>OK</v>
      </c>
    </row>
    <row r="380" spans="1:34" ht="15.6" hidden="1" x14ac:dyDescent="0.3">
      <c r="B380" s="108" t="s">
        <v>2574</v>
      </c>
      <c r="C380" s="94" t="s">
        <v>2412</v>
      </c>
      <c r="D380" s="94" t="s">
        <v>2570</v>
      </c>
      <c r="E380" s="94" t="s">
        <v>2569</v>
      </c>
      <c r="F380" s="94" t="s">
        <v>1426</v>
      </c>
      <c r="G380" s="94" t="s">
        <v>2417</v>
      </c>
      <c r="H380" s="119">
        <v>1</v>
      </c>
      <c r="I380" s="119">
        <v>3</v>
      </c>
      <c r="J380" s="119">
        <f t="shared" si="41"/>
        <v>3</v>
      </c>
      <c r="K380" s="119">
        <v>152460000</v>
      </c>
      <c r="L380" s="119">
        <v>50820000</v>
      </c>
      <c r="M380" s="119">
        <f t="shared" si="42"/>
        <v>3</v>
      </c>
      <c r="N380" s="119">
        <f t="shared" si="43"/>
        <v>152460000</v>
      </c>
      <c r="O380" s="120">
        <v>45834</v>
      </c>
      <c r="P380" s="120">
        <v>46930</v>
      </c>
      <c r="Q380" s="119">
        <v>0</v>
      </c>
      <c r="R380" s="121">
        <v>0</v>
      </c>
      <c r="S380" s="119">
        <v>3</v>
      </c>
      <c r="T380" s="121">
        <v>152460000</v>
      </c>
      <c r="U380" s="119">
        <v>1</v>
      </c>
      <c r="V380" s="121">
        <f t="shared" si="44"/>
        <v>50820000</v>
      </c>
      <c r="W380" s="119">
        <f t="shared" si="45"/>
        <v>2</v>
      </c>
      <c r="X380" s="121">
        <f t="shared" si="46"/>
        <v>101640000</v>
      </c>
      <c r="Y380" s="122" t="s">
        <v>2416</v>
      </c>
      <c r="Z380" s="123" t="s">
        <v>2407</v>
      </c>
      <c r="AA380" s="123" t="s">
        <v>2406</v>
      </c>
      <c r="AB380" s="123" t="s">
        <v>2372</v>
      </c>
      <c r="AC380" s="124" t="s">
        <v>12</v>
      </c>
      <c r="AD380" s="110">
        <f>COUNTIF('KK1. Movies'!AI:AI,'TK 15661.Bản quyền phim '!F380)</f>
        <v>1</v>
      </c>
      <c r="AE380" s="110">
        <f>COUNTIF('KK2. Series'!AM:AM,'TK 15661.Bản quyền phim '!F380)</f>
        <v>0</v>
      </c>
      <c r="AF380" s="110">
        <f>COUNTIF('KK3. Kids'!AF:AF,'TK 15661.Bản quyền phim '!F380)</f>
        <v>0</v>
      </c>
      <c r="AG380" s="110"/>
      <c r="AH380" s="110" t="str">
        <f t="shared" si="47"/>
        <v>OK</v>
      </c>
    </row>
    <row r="381" spans="1:34" ht="15.6" hidden="1" x14ac:dyDescent="0.3">
      <c r="B381" s="108" t="s">
        <v>2573</v>
      </c>
      <c r="C381" s="94" t="s">
        <v>2412</v>
      </c>
      <c r="D381" s="94" t="s">
        <v>2570</v>
      </c>
      <c r="E381" s="94" t="s">
        <v>2569</v>
      </c>
      <c r="F381" s="94" t="s">
        <v>1706</v>
      </c>
      <c r="G381" s="94" t="s">
        <v>2417</v>
      </c>
      <c r="H381" s="119">
        <v>1</v>
      </c>
      <c r="I381" s="119">
        <v>3</v>
      </c>
      <c r="J381" s="119">
        <f t="shared" si="41"/>
        <v>3</v>
      </c>
      <c r="K381" s="119">
        <v>70588980</v>
      </c>
      <c r="L381" s="119">
        <v>23529660</v>
      </c>
      <c r="M381" s="119">
        <f t="shared" si="42"/>
        <v>3</v>
      </c>
      <c r="N381" s="119">
        <f t="shared" si="43"/>
        <v>70588980</v>
      </c>
      <c r="O381" s="120">
        <v>45841</v>
      </c>
      <c r="P381" s="120">
        <v>46937</v>
      </c>
      <c r="Q381" s="119">
        <v>0</v>
      </c>
      <c r="R381" s="121">
        <v>0</v>
      </c>
      <c r="S381" s="119">
        <v>3</v>
      </c>
      <c r="T381" s="121">
        <v>70588980</v>
      </c>
      <c r="U381" s="119">
        <v>1</v>
      </c>
      <c r="V381" s="121">
        <f t="shared" si="44"/>
        <v>23529660</v>
      </c>
      <c r="W381" s="119">
        <f t="shared" si="45"/>
        <v>2</v>
      </c>
      <c r="X381" s="121">
        <f t="shared" si="46"/>
        <v>47059320</v>
      </c>
      <c r="Y381" s="122" t="s">
        <v>2416</v>
      </c>
      <c r="Z381" s="123" t="s">
        <v>2407</v>
      </c>
      <c r="AA381" s="123" t="s">
        <v>2406</v>
      </c>
      <c r="AB381" s="123" t="s">
        <v>2372</v>
      </c>
      <c r="AC381" s="124" t="s">
        <v>12</v>
      </c>
      <c r="AD381" s="110">
        <f>COUNTIF('KK1. Movies'!AI:AI,'TK 15661.Bản quyền phim '!F381)</f>
        <v>1</v>
      </c>
      <c r="AE381" s="110">
        <f>COUNTIF('KK2. Series'!AM:AM,'TK 15661.Bản quyền phim '!F381)</f>
        <v>0</v>
      </c>
      <c r="AF381" s="110">
        <f>COUNTIF('KK3. Kids'!AF:AF,'TK 15661.Bản quyền phim '!F381)</f>
        <v>0</v>
      </c>
      <c r="AG381" s="110"/>
      <c r="AH381" s="110" t="str">
        <f t="shared" si="47"/>
        <v>OK</v>
      </c>
    </row>
    <row r="382" spans="1:34" ht="15.6" hidden="1" x14ac:dyDescent="0.3">
      <c r="B382" s="108" t="s">
        <v>2572</v>
      </c>
      <c r="C382" s="94" t="s">
        <v>2412</v>
      </c>
      <c r="D382" s="94" t="s">
        <v>2570</v>
      </c>
      <c r="E382" s="94" t="s">
        <v>2569</v>
      </c>
      <c r="F382" s="94" t="s">
        <v>1489</v>
      </c>
      <c r="G382" s="94" t="s">
        <v>2417</v>
      </c>
      <c r="H382" s="119">
        <v>1</v>
      </c>
      <c r="I382" s="119">
        <v>3</v>
      </c>
      <c r="J382" s="119">
        <f t="shared" si="41"/>
        <v>3</v>
      </c>
      <c r="K382" s="119">
        <v>101640000</v>
      </c>
      <c r="L382" s="119">
        <v>33880000</v>
      </c>
      <c r="M382" s="119">
        <f t="shared" si="42"/>
        <v>3</v>
      </c>
      <c r="N382" s="119">
        <f t="shared" si="43"/>
        <v>101640000</v>
      </c>
      <c r="O382" s="120">
        <v>45869</v>
      </c>
      <c r="P382" s="120">
        <v>46965</v>
      </c>
      <c r="Q382" s="119">
        <v>0</v>
      </c>
      <c r="R382" s="121">
        <v>0</v>
      </c>
      <c r="S382" s="119">
        <v>3</v>
      </c>
      <c r="T382" s="121">
        <v>101640000</v>
      </c>
      <c r="U382" s="119">
        <v>1</v>
      </c>
      <c r="V382" s="121">
        <f t="shared" si="44"/>
        <v>33880000</v>
      </c>
      <c r="W382" s="119">
        <f t="shared" si="45"/>
        <v>2</v>
      </c>
      <c r="X382" s="121">
        <f t="shared" si="46"/>
        <v>67760000</v>
      </c>
      <c r="Y382" s="122" t="s">
        <v>2416</v>
      </c>
      <c r="Z382" s="123" t="s">
        <v>2407</v>
      </c>
      <c r="AA382" s="123" t="s">
        <v>2406</v>
      </c>
      <c r="AB382" s="123" t="s">
        <v>2372</v>
      </c>
      <c r="AC382" s="124" t="s">
        <v>12</v>
      </c>
      <c r="AD382" s="110">
        <f>COUNTIF('KK1. Movies'!AI:AI,'TK 15661.Bản quyền phim '!F382)</f>
        <v>1</v>
      </c>
      <c r="AE382" s="110">
        <f>COUNTIF('KK2. Series'!AM:AM,'TK 15661.Bản quyền phim '!F382)</f>
        <v>0</v>
      </c>
      <c r="AF382" s="110">
        <f>COUNTIF('KK3. Kids'!AF:AF,'TK 15661.Bản quyền phim '!F382)</f>
        <v>0</v>
      </c>
      <c r="AG382" s="110"/>
      <c r="AH382" s="110" t="str">
        <f t="shared" si="47"/>
        <v>OK</v>
      </c>
    </row>
    <row r="383" spans="1:34" ht="15.6" hidden="1" x14ac:dyDescent="0.3">
      <c r="B383" s="108" t="s">
        <v>2571</v>
      </c>
      <c r="C383" s="94" t="s">
        <v>2412</v>
      </c>
      <c r="D383" s="94" t="s">
        <v>2570</v>
      </c>
      <c r="E383" s="94" t="s">
        <v>2569</v>
      </c>
      <c r="F383" s="94" t="s">
        <v>1134</v>
      </c>
      <c r="G383" s="94" t="s">
        <v>2417</v>
      </c>
      <c r="H383" s="119">
        <v>1</v>
      </c>
      <c r="I383" s="119">
        <v>3</v>
      </c>
      <c r="J383" s="119">
        <f t="shared" si="41"/>
        <v>3</v>
      </c>
      <c r="K383" s="119">
        <v>84691530</v>
      </c>
      <c r="L383" s="119">
        <v>28230510</v>
      </c>
      <c r="M383" s="119">
        <f t="shared" si="42"/>
        <v>3</v>
      </c>
      <c r="N383" s="119">
        <f t="shared" si="43"/>
        <v>84691530</v>
      </c>
      <c r="O383" s="120">
        <v>45890</v>
      </c>
      <c r="P383" s="120">
        <v>46985</v>
      </c>
      <c r="Q383" s="119">
        <v>0</v>
      </c>
      <c r="R383" s="121">
        <v>0</v>
      </c>
      <c r="S383" s="119">
        <v>3</v>
      </c>
      <c r="T383" s="121">
        <v>84691530</v>
      </c>
      <c r="U383" s="119">
        <v>1</v>
      </c>
      <c r="V383" s="121">
        <f t="shared" si="44"/>
        <v>28230510</v>
      </c>
      <c r="W383" s="119">
        <f t="shared" si="45"/>
        <v>2</v>
      </c>
      <c r="X383" s="121">
        <f t="shared" si="46"/>
        <v>56461020</v>
      </c>
      <c r="Y383" s="122" t="s">
        <v>2416</v>
      </c>
      <c r="Z383" s="123" t="s">
        <v>2407</v>
      </c>
      <c r="AA383" s="123" t="s">
        <v>2406</v>
      </c>
      <c r="AB383" s="123" t="s">
        <v>2372</v>
      </c>
      <c r="AC383" s="124" t="s">
        <v>12</v>
      </c>
      <c r="AD383" s="110">
        <f>COUNTIF('KK1. Movies'!AI:AI,'TK 15661.Bản quyền phim '!F383)</f>
        <v>1</v>
      </c>
      <c r="AE383" s="110">
        <f>COUNTIF('KK2. Series'!AM:AM,'TK 15661.Bản quyền phim '!F383)</f>
        <v>0</v>
      </c>
      <c r="AF383" s="110">
        <f>COUNTIF('KK3. Kids'!AF:AF,'TK 15661.Bản quyền phim '!F383)</f>
        <v>0</v>
      </c>
      <c r="AG383" s="110"/>
      <c r="AH383" s="110" t="str">
        <f t="shared" si="47"/>
        <v>OK</v>
      </c>
    </row>
    <row r="384" spans="1:34" ht="15.6" hidden="1" x14ac:dyDescent="0.3">
      <c r="B384" s="108" t="s">
        <v>2568</v>
      </c>
      <c r="C384" s="94" t="s">
        <v>2412</v>
      </c>
      <c r="D384" s="94" t="s">
        <v>2422</v>
      </c>
      <c r="E384" s="94" t="s">
        <v>2421</v>
      </c>
      <c r="F384" s="94" t="s">
        <v>1763</v>
      </c>
      <c r="G384" s="94" t="s">
        <v>2417</v>
      </c>
      <c r="H384" s="119">
        <v>1</v>
      </c>
      <c r="I384" s="119">
        <v>1</v>
      </c>
      <c r="J384" s="119">
        <f t="shared" si="41"/>
        <v>1</v>
      </c>
      <c r="K384" s="119">
        <v>93254700</v>
      </c>
      <c r="L384" s="119">
        <v>93254700</v>
      </c>
      <c r="M384" s="119">
        <f t="shared" si="42"/>
        <v>1</v>
      </c>
      <c r="N384" s="119">
        <f t="shared" si="43"/>
        <v>93254700</v>
      </c>
      <c r="O384" s="120">
        <v>45736</v>
      </c>
      <c r="P384" s="120">
        <v>46041</v>
      </c>
      <c r="Q384" s="119">
        <v>0</v>
      </c>
      <c r="R384" s="121">
        <v>0</v>
      </c>
      <c r="S384" s="119">
        <v>1</v>
      </c>
      <c r="T384" s="121">
        <v>93254700</v>
      </c>
      <c r="U384" s="119">
        <v>1</v>
      </c>
      <c r="V384" s="121">
        <f t="shared" si="44"/>
        <v>93254700</v>
      </c>
      <c r="W384" s="119">
        <f t="shared" si="45"/>
        <v>0</v>
      </c>
      <c r="X384" s="121">
        <f t="shared" si="46"/>
        <v>0</v>
      </c>
      <c r="Y384" s="122" t="s">
        <v>2416</v>
      </c>
      <c r="Z384" s="123" t="s">
        <v>2407</v>
      </c>
      <c r="AA384" s="123" t="s">
        <v>2406</v>
      </c>
      <c r="AB384" s="123" t="s">
        <v>2372</v>
      </c>
      <c r="AC384" s="124" t="s">
        <v>12</v>
      </c>
      <c r="AD384" s="110">
        <f>COUNTIF('KK1. Movies'!AI:AI,'TK 15661.Bản quyền phim '!F384)</f>
        <v>1</v>
      </c>
      <c r="AE384" s="110">
        <f>COUNTIF('KK2. Series'!AM:AM,'TK 15661.Bản quyền phim '!F384)</f>
        <v>0</v>
      </c>
      <c r="AF384" s="110">
        <f>COUNTIF('KK3. Kids'!AF:AF,'TK 15661.Bản quyền phim '!F384)</f>
        <v>0</v>
      </c>
      <c r="AG384" s="110"/>
      <c r="AH384" s="110" t="str">
        <f t="shared" si="47"/>
        <v>OK</v>
      </c>
    </row>
    <row r="385" spans="2:34" ht="15.6" hidden="1" x14ac:dyDescent="0.3">
      <c r="B385" s="108" t="s">
        <v>2567</v>
      </c>
      <c r="C385" s="94" t="s">
        <v>2412</v>
      </c>
      <c r="D385" s="94" t="s">
        <v>2422</v>
      </c>
      <c r="E385" s="94" t="s">
        <v>2421</v>
      </c>
      <c r="F385" s="94" t="s">
        <v>1686</v>
      </c>
      <c r="G385" s="94" t="s">
        <v>2417</v>
      </c>
      <c r="H385" s="119">
        <v>1</v>
      </c>
      <c r="I385" s="119">
        <v>1</v>
      </c>
      <c r="J385" s="119">
        <f t="shared" si="41"/>
        <v>1</v>
      </c>
      <c r="K385" s="119">
        <v>93254700</v>
      </c>
      <c r="L385" s="119">
        <v>93254700</v>
      </c>
      <c r="M385" s="119">
        <f t="shared" si="42"/>
        <v>1</v>
      </c>
      <c r="N385" s="119">
        <f t="shared" si="43"/>
        <v>93254700</v>
      </c>
      <c r="O385" s="120">
        <v>45721</v>
      </c>
      <c r="P385" s="120">
        <v>46026</v>
      </c>
      <c r="Q385" s="119">
        <v>0</v>
      </c>
      <c r="R385" s="121">
        <v>0</v>
      </c>
      <c r="S385" s="119">
        <v>1</v>
      </c>
      <c r="T385" s="121">
        <v>93254700</v>
      </c>
      <c r="U385" s="119">
        <v>1</v>
      </c>
      <c r="V385" s="121">
        <f t="shared" si="44"/>
        <v>93254700</v>
      </c>
      <c r="W385" s="119">
        <f t="shared" si="45"/>
        <v>0</v>
      </c>
      <c r="X385" s="121">
        <f t="shared" si="46"/>
        <v>0</v>
      </c>
      <c r="Y385" s="122" t="s">
        <v>2416</v>
      </c>
      <c r="Z385" s="123" t="s">
        <v>2407</v>
      </c>
      <c r="AA385" s="123" t="s">
        <v>2406</v>
      </c>
      <c r="AB385" s="123" t="s">
        <v>2372</v>
      </c>
      <c r="AC385" s="124" t="s">
        <v>12</v>
      </c>
      <c r="AD385" s="110">
        <f>COUNTIF('KK1. Movies'!AI:AI,'TK 15661.Bản quyền phim '!F385)</f>
        <v>1</v>
      </c>
      <c r="AE385" s="110">
        <f>COUNTIF('KK2. Series'!AM:AM,'TK 15661.Bản quyền phim '!F385)</f>
        <v>0</v>
      </c>
      <c r="AF385" s="110">
        <f>COUNTIF('KK3. Kids'!AF:AF,'TK 15661.Bản quyền phim '!F385)</f>
        <v>0</v>
      </c>
      <c r="AG385" s="110"/>
      <c r="AH385" s="110" t="str">
        <f t="shared" si="47"/>
        <v>OK</v>
      </c>
    </row>
    <row r="386" spans="2:34" ht="15.6" hidden="1" x14ac:dyDescent="0.3">
      <c r="B386" s="108" t="s">
        <v>2566</v>
      </c>
      <c r="C386" s="94" t="s">
        <v>2412</v>
      </c>
      <c r="D386" s="94" t="s">
        <v>2422</v>
      </c>
      <c r="E386" s="94" t="s">
        <v>2421</v>
      </c>
      <c r="F386" s="94" t="s">
        <v>1703</v>
      </c>
      <c r="G386" s="94" t="s">
        <v>2417</v>
      </c>
      <c r="H386" s="119">
        <v>1</v>
      </c>
      <c r="I386" s="119">
        <v>2</v>
      </c>
      <c r="J386" s="119">
        <f t="shared" si="41"/>
        <v>2</v>
      </c>
      <c r="K386" s="119">
        <v>93254700</v>
      </c>
      <c r="L386" s="119">
        <v>46627350</v>
      </c>
      <c r="M386" s="119">
        <f t="shared" si="42"/>
        <v>2</v>
      </c>
      <c r="N386" s="119">
        <f t="shared" si="43"/>
        <v>93254700</v>
      </c>
      <c r="O386" s="120">
        <v>45701</v>
      </c>
      <c r="P386" s="120">
        <v>46430</v>
      </c>
      <c r="Q386" s="119">
        <v>0</v>
      </c>
      <c r="R386" s="121">
        <v>0</v>
      </c>
      <c r="S386" s="119">
        <v>2</v>
      </c>
      <c r="T386" s="121">
        <v>93254700</v>
      </c>
      <c r="U386" s="119">
        <v>1</v>
      </c>
      <c r="V386" s="121">
        <f t="shared" si="44"/>
        <v>46627350</v>
      </c>
      <c r="W386" s="119">
        <f t="shared" si="45"/>
        <v>1</v>
      </c>
      <c r="X386" s="121">
        <f t="shared" si="46"/>
        <v>46627350</v>
      </c>
      <c r="Y386" s="122" t="s">
        <v>2416</v>
      </c>
      <c r="Z386" s="123" t="s">
        <v>2407</v>
      </c>
      <c r="AA386" s="123" t="s">
        <v>2406</v>
      </c>
      <c r="AB386" s="123" t="s">
        <v>2372</v>
      </c>
      <c r="AC386" s="124" t="s">
        <v>12</v>
      </c>
      <c r="AD386" s="110">
        <f>COUNTIF('KK1. Movies'!AI:AI,'TK 15661.Bản quyền phim '!F386)</f>
        <v>1</v>
      </c>
      <c r="AE386" s="110">
        <f>COUNTIF('KK2. Series'!AM:AM,'TK 15661.Bản quyền phim '!F386)</f>
        <v>0</v>
      </c>
      <c r="AF386" s="110">
        <f>COUNTIF('KK3. Kids'!AF:AF,'TK 15661.Bản quyền phim '!F386)</f>
        <v>0</v>
      </c>
      <c r="AG386" s="110"/>
      <c r="AH386" s="110" t="str">
        <f t="shared" si="47"/>
        <v>OK</v>
      </c>
    </row>
    <row r="387" spans="2:34" ht="15.6" hidden="1" x14ac:dyDescent="0.3">
      <c r="B387" s="108" t="s">
        <v>2565</v>
      </c>
      <c r="C387" s="94" t="s">
        <v>2412</v>
      </c>
      <c r="D387" s="94" t="s">
        <v>2422</v>
      </c>
      <c r="E387" s="94" t="s">
        <v>2421</v>
      </c>
      <c r="F387" s="94" t="s">
        <v>1615</v>
      </c>
      <c r="G387" s="94" t="s">
        <v>2417</v>
      </c>
      <c r="H387" s="119">
        <v>1</v>
      </c>
      <c r="I387" s="119">
        <v>2</v>
      </c>
      <c r="J387" s="119">
        <f t="shared" si="41"/>
        <v>2</v>
      </c>
      <c r="K387" s="119">
        <v>93254700</v>
      </c>
      <c r="L387" s="119">
        <v>46627350</v>
      </c>
      <c r="M387" s="119">
        <f t="shared" si="42"/>
        <v>2</v>
      </c>
      <c r="N387" s="119">
        <f t="shared" si="43"/>
        <v>93254700</v>
      </c>
      <c r="O387" s="120">
        <v>45701</v>
      </c>
      <c r="P387" s="120">
        <v>46430</v>
      </c>
      <c r="Q387" s="119">
        <v>0</v>
      </c>
      <c r="R387" s="121">
        <v>0</v>
      </c>
      <c r="S387" s="119">
        <v>2</v>
      </c>
      <c r="T387" s="121">
        <v>93254700</v>
      </c>
      <c r="U387" s="119">
        <v>1</v>
      </c>
      <c r="V387" s="121">
        <f t="shared" si="44"/>
        <v>46627350</v>
      </c>
      <c r="W387" s="119">
        <f t="shared" si="45"/>
        <v>1</v>
      </c>
      <c r="X387" s="121">
        <f t="shared" si="46"/>
        <v>46627350</v>
      </c>
      <c r="Y387" s="122" t="s">
        <v>2416</v>
      </c>
      <c r="Z387" s="123" t="s">
        <v>2407</v>
      </c>
      <c r="AA387" s="123" t="s">
        <v>2406</v>
      </c>
      <c r="AB387" s="123" t="s">
        <v>2372</v>
      </c>
      <c r="AC387" s="124" t="s">
        <v>12</v>
      </c>
      <c r="AD387" s="110">
        <f>COUNTIF('KK1. Movies'!AI:AI,'TK 15661.Bản quyền phim '!F387)</f>
        <v>1</v>
      </c>
      <c r="AE387" s="110">
        <f>COUNTIF('KK2. Series'!AM:AM,'TK 15661.Bản quyền phim '!F387)</f>
        <v>0</v>
      </c>
      <c r="AF387" s="110">
        <f>COUNTIF('KK3. Kids'!AF:AF,'TK 15661.Bản quyền phim '!F387)</f>
        <v>0</v>
      </c>
      <c r="AG387" s="110"/>
      <c r="AH387" s="110" t="str">
        <f t="shared" si="47"/>
        <v>OK</v>
      </c>
    </row>
    <row r="388" spans="2:34" ht="15.6" hidden="1" x14ac:dyDescent="0.3">
      <c r="B388" s="108" t="s">
        <v>2564</v>
      </c>
      <c r="C388" s="94" t="s">
        <v>2412</v>
      </c>
      <c r="D388" s="94" t="s">
        <v>2422</v>
      </c>
      <c r="E388" s="94" t="s">
        <v>2421</v>
      </c>
      <c r="F388" s="94" t="s">
        <v>1575</v>
      </c>
      <c r="G388" s="94" t="s">
        <v>2417</v>
      </c>
      <c r="H388" s="119">
        <v>1</v>
      </c>
      <c r="I388" s="119">
        <v>2</v>
      </c>
      <c r="J388" s="119">
        <f t="shared" si="41"/>
        <v>2</v>
      </c>
      <c r="K388" s="119">
        <v>93254700</v>
      </c>
      <c r="L388" s="119">
        <v>46627350</v>
      </c>
      <c r="M388" s="119">
        <f t="shared" si="42"/>
        <v>2</v>
      </c>
      <c r="N388" s="119">
        <f t="shared" si="43"/>
        <v>93254700</v>
      </c>
      <c r="O388" s="120">
        <v>45736</v>
      </c>
      <c r="P388" s="120">
        <v>46465</v>
      </c>
      <c r="Q388" s="119">
        <v>0</v>
      </c>
      <c r="R388" s="121">
        <v>0</v>
      </c>
      <c r="S388" s="119">
        <v>2</v>
      </c>
      <c r="T388" s="121">
        <v>93254700</v>
      </c>
      <c r="U388" s="119">
        <v>1</v>
      </c>
      <c r="V388" s="121">
        <f t="shared" si="44"/>
        <v>46627350</v>
      </c>
      <c r="W388" s="119">
        <f t="shared" si="45"/>
        <v>1</v>
      </c>
      <c r="X388" s="121">
        <f t="shared" si="46"/>
        <v>46627350</v>
      </c>
      <c r="Y388" s="122" t="s">
        <v>2416</v>
      </c>
      <c r="Z388" s="123" t="s">
        <v>2407</v>
      </c>
      <c r="AA388" s="123" t="s">
        <v>2406</v>
      </c>
      <c r="AB388" s="123" t="s">
        <v>2372</v>
      </c>
      <c r="AC388" s="124" t="s">
        <v>12</v>
      </c>
      <c r="AD388" s="110">
        <f>COUNTIF('KK1. Movies'!AI:AI,'TK 15661.Bản quyền phim '!F388)</f>
        <v>1</v>
      </c>
      <c r="AE388" s="110">
        <f>COUNTIF('KK2. Series'!AM:AM,'TK 15661.Bản quyền phim '!F388)</f>
        <v>0</v>
      </c>
      <c r="AF388" s="110">
        <f>COUNTIF('KK3. Kids'!AF:AF,'TK 15661.Bản quyền phim '!F388)</f>
        <v>0</v>
      </c>
      <c r="AG388" s="110"/>
      <c r="AH388" s="110" t="str">
        <f t="shared" si="47"/>
        <v>OK</v>
      </c>
    </row>
    <row r="389" spans="2:34" ht="15.6" hidden="1" x14ac:dyDescent="0.3">
      <c r="B389" s="108" t="s">
        <v>2563</v>
      </c>
      <c r="C389" s="94" t="s">
        <v>2412</v>
      </c>
      <c r="D389" s="94" t="s">
        <v>2422</v>
      </c>
      <c r="E389" s="94" t="s">
        <v>2421</v>
      </c>
      <c r="F389" s="94" t="s">
        <v>2240</v>
      </c>
      <c r="G389" s="94" t="s">
        <v>2417</v>
      </c>
      <c r="H389" s="119">
        <v>1</v>
      </c>
      <c r="I389" s="119">
        <v>2</v>
      </c>
      <c r="J389" s="119">
        <f t="shared" si="41"/>
        <v>2</v>
      </c>
      <c r="K389" s="119">
        <v>93254700</v>
      </c>
      <c r="L389" s="119">
        <v>46627350</v>
      </c>
      <c r="M389" s="119">
        <f t="shared" si="42"/>
        <v>2</v>
      </c>
      <c r="N389" s="119">
        <f t="shared" si="43"/>
        <v>93254700</v>
      </c>
      <c r="O389" s="120">
        <v>45736</v>
      </c>
      <c r="P389" s="120">
        <v>46465</v>
      </c>
      <c r="Q389" s="119">
        <v>0</v>
      </c>
      <c r="R389" s="121">
        <v>0</v>
      </c>
      <c r="S389" s="119">
        <v>2</v>
      </c>
      <c r="T389" s="121">
        <v>93254700</v>
      </c>
      <c r="U389" s="119">
        <v>1</v>
      </c>
      <c r="V389" s="121">
        <f t="shared" si="44"/>
        <v>46627350</v>
      </c>
      <c r="W389" s="119">
        <f t="shared" si="45"/>
        <v>1</v>
      </c>
      <c r="X389" s="121">
        <f t="shared" si="46"/>
        <v>46627350</v>
      </c>
      <c r="Y389" s="122" t="s">
        <v>2416</v>
      </c>
      <c r="Z389" s="123" t="s">
        <v>2407</v>
      </c>
      <c r="AA389" s="123" t="s">
        <v>2406</v>
      </c>
      <c r="AB389" s="123" t="s">
        <v>2372</v>
      </c>
      <c r="AC389" s="124" t="s">
        <v>12</v>
      </c>
      <c r="AD389" s="110">
        <f>COUNTIF('KK1. Movies'!AI:AI,'TK 15661.Bản quyền phim '!F389)</f>
        <v>1</v>
      </c>
      <c r="AE389" s="110">
        <f>COUNTIF('KK2. Series'!AM:AM,'TK 15661.Bản quyền phim '!F389)</f>
        <v>0</v>
      </c>
      <c r="AF389" s="110">
        <f>COUNTIF('KK3. Kids'!AF:AF,'TK 15661.Bản quyền phim '!F389)</f>
        <v>0</v>
      </c>
      <c r="AG389" s="110"/>
      <c r="AH389" s="110" t="str">
        <f t="shared" si="47"/>
        <v>OK</v>
      </c>
    </row>
    <row r="390" spans="2:34" ht="15.6" hidden="1" x14ac:dyDescent="0.3">
      <c r="B390" s="108" t="s">
        <v>2562</v>
      </c>
      <c r="C390" s="94" t="s">
        <v>2412</v>
      </c>
      <c r="D390" s="94" t="s">
        <v>2422</v>
      </c>
      <c r="E390" s="94" t="s">
        <v>2421</v>
      </c>
      <c r="F390" s="94" t="s">
        <v>2345</v>
      </c>
      <c r="G390" s="94" t="s">
        <v>2417</v>
      </c>
      <c r="H390" s="119">
        <v>1</v>
      </c>
      <c r="I390" s="119">
        <v>2</v>
      </c>
      <c r="J390" s="119">
        <f t="shared" ref="J390:J453" si="49">H390*I390</f>
        <v>2</v>
      </c>
      <c r="K390" s="119">
        <v>93254700</v>
      </c>
      <c r="L390" s="119">
        <v>46627350</v>
      </c>
      <c r="M390" s="119">
        <f t="shared" ref="M390:M453" si="50">J390-Q390</f>
        <v>2</v>
      </c>
      <c r="N390" s="119">
        <f t="shared" ref="N390:N453" si="51">K390-R390</f>
        <v>93254700</v>
      </c>
      <c r="O390" s="120">
        <v>45701</v>
      </c>
      <c r="P390" s="120">
        <v>46430</v>
      </c>
      <c r="Q390" s="119">
        <v>0</v>
      </c>
      <c r="R390" s="121">
        <v>0</v>
      </c>
      <c r="S390" s="119">
        <v>2</v>
      </c>
      <c r="T390" s="121">
        <v>93254700</v>
      </c>
      <c r="U390" s="119">
        <v>1</v>
      </c>
      <c r="V390" s="121">
        <f t="shared" ref="V390:V453" si="52">U390*L390</f>
        <v>46627350</v>
      </c>
      <c r="W390" s="119">
        <f t="shared" ref="W390:W453" si="53">Q390+S390-U390</f>
        <v>1</v>
      </c>
      <c r="X390" s="121">
        <f t="shared" ref="X390:X453" si="54">R390+T390-V390</f>
        <v>46627350</v>
      </c>
      <c r="Y390" s="122" t="s">
        <v>2416</v>
      </c>
      <c r="Z390" s="123" t="s">
        <v>2407</v>
      </c>
      <c r="AA390" s="123" t="s">
        <v>2406</v>
      </c>
      <c r="AB390" s="123" t="s">
        <v>2372</v>
      </c>
      <c r="AC390" s="124" t="s">
        <v>12</v>
      </c>
      <c r="AD390" s="110">
        <f>COUNTIF('KK1. Movies'!AI:AI,'TK 15661.Bản quyền phim '!F390)</f>
        <v>1</v>
      </c>
      <c r="AE390" s="110">
        <f>COUNTIF('KK2. Series'!AM:AM,'TK 15661.Bản quyền phim '!F390)</f>
        <v>0</v>
      </c>
      <c r="AF390" s="110">
        <f>COUNTIF('KK3. Kids'!AF:AF,'TK 15661.Bản quyền phim '!F390)</f>
        <v>0</v>
      </c>
      <c r="AG390" s="110"/>
      <c r="AH390" s="110" t="str">
        <f t="shared" si="47"/>
        <v>OK</v>
      </c>
    </row>
    <row r="391" spans="2:34" ht="15.6" hidden="1" x14ac:dyDescent="0.3">
      <c r="B391" s="108" t="s">
        <v>2561</v>
      </c>
      <c r="C391" s="94" t="s">
        <v>2412</v>
      </c>
      <c r="D391" s="94" t="s">
        <v>2422</v>
      </c>
      <c r="E391" s="94" t="s">
        <v>2421</v>
      </c>
      <c r="F391" s="94" t="s">
        <v>1913</v>
      </c>
      <c r="G391" s="94" t="s">
        <v>2417</v>
      </c>
      <c r="H391" s="119">
        <v>1</v>
      </c>
      <c r="I391" s="119">
        <v>2</v>
      </c>
      <c r="J391" s="119">
        <f t="shared" si="49"/>
        <v>2</v>
      </c>
      <c r="K391" s="119">
        <v>93254700</v>
      </c>
      <c r="L391" s="119">
        <v>46627350</v>
      </c>
      <c r="M391" s="119">
        <f t="shared" si="50"/>
        <v>2</v>
      </c>
      <c r="N391" s="119">
        <f t="shared" si="51"/>
        <v>93254700</v>
      </c>
      <c r="O391" s="120">
        <v>45701</v>
      </c>
      <c r="P391" s="120">
        <v>46430</v>
      </c>
      <c r="Q391" s="119">
        <v>0</v>
      </c>
      <c r="R391" s="121">
        <v>0</v>
      </c>
      <c r="S391" s="119">
        <v>2</v>
      </c>
      <c r="T391" s="121">
        <v>93254700</v>
      </c>
      <c r="U391" s="119">
        <v>1</v>
      </c>
      <c r="V391" s="121">
        <f t="shared" si="52"/>
        <v>46627350</v>
      </c>
      <c r="W391" s="119">
        <f t="shared" si="53"/>
        <v>1</v>
      </c>
      <c r="X391" s="121">
        <f t="shared" si="54"/>
        <v>46627350</v>
      </c>
      <c r="Y391" s="122" t="s">
        <v>2416</v>
      </c>
      <c r="Z391" s="123" t="s">
        <v>2407</v>
      </c>
      <c r="AA391" s="123" t="s">
        <v>2406</v>
      </c>
      <c r="AB391" s="123" t="s">
        <v>2372</v>
      </c>
      <c r="AC391" s="124" t="s">
        <v>12</v>
      </c>
      <c r="AD391" s="110">
        <f>COUNTIF('KK1. Movies'!AI:AI,'TK 15661.Bản quyền phim '!F391)</f>
        <v>1</v>
      </c>
      <c r="AE391" s="110">
        <f>COUNTIF('KK2. Series'!AM:AM,'TK 15661.Bản quyền phim '!F391)</f>
        <v>0</v>
      </c>
      <c r="AF391" s="110">
        <f>COUNTIF('KK3. Kids'!AF:AF,'TK 15661.Bản quyền phim '!F391)</f>
        <v>0</v>
      </c>
      <c r="AG391" s="110"/>
      <c r="AH391" s="110" t="str">
        <f t="shared" ref="AH391:AH454" si="55">IF(SUM(AD391:AG391)&gt;0,"OK",0)</f>
        <v>OK</v>
      </c>
    </row>
    <row r="392" spans="2:34" ht="15.6" hidden="1" x14ac:dyDescent="0.3">
      <c r="B392" s="108" t="s">
        <v>2560</v>
      </c>
      <c r="C392" s="94" t="s">
        <v>2412</v>
      </c>
      <c r="D392" s="94" t="s">
        <v>2422</v>
      </c>
      <c r="E392" s="94" t="s">
        <v>2421</v>
      </c>
      <c r="F392" s="94" t="s">
        <v>1835</v>
      </c>
      <c r="G392" s="94" t="s">
        <v>2417</v>
      </c>
      <c r="H392" s="119">
        <v>1</v>
      </c>
      <c r="I392" s="119">
        <v>2</v>
      </c>
      <c r="J392" s="119">
        <f t="shared" si="49"/>
        <v>2</v>
      </c>
      <c r="K392" s="119">
        <v>93254700</v>
      </c>
      <c r="L392" s="119">
        <v>46627350</v>
      </c>
      <c r="M392" s="119">
        <f t="shared" si="50"/>
        <v>2</v>
      </c>
      <c r="N392" s="119">
        <f t="shared" si="51"/>
        <v>93254700</v>
      </c>
      <c r="O392" s="120">
        <v>45701</v>
      </c>
      <c r="P392" s="120">
        <v>46430</v>
      </c>
      <c r="Q392" s="119">
        <v>0</v>
      </c>
      <c r="R392" s="121">
        <v>0</v>
      </c>
      <c r="S392" s="119">
        <v>2</v>
      </c>
      <c r="T392" s="121">
        <v>93254700</v>
      </c>
      <c r="U392" s="119">
        <v>1</v>
      </c>
      <c r="V392" s="121">
        <f t="shared" si="52"/>
        <v>46627350</v>
      </c>
      <c r="W392" s="119">
        <f t="shared" si="53"/>
        <v>1</v>
      </c>
      <c r="X392" s="121">
        <f t="shared" si="54"/>
        <v>46627350</v>
      </c>
      <c r="Y392" s="122" t="s">
        <v>2416</v>
      </c>
      <c r="Z392" s="123" t="s">
        <v>2407</v>
      </c>
      <c r="AA392" s="123" t="s">
        <v>2406</v>
      </c>
      <c r="AB392" s="123" t="s">
        <v>2372</v>
      </c>
      <c r="AC392" s="124" t="s">
        <v>12</v>
      </c>
      <c r="AD392" s="110">
        <f>COUNTIF('KK1. Movies'!AI:AI,'TK 15661.Bản quyền phim '!F392)</f>
        <v>1</v>
      </c>
      <c r="AE392" s="110">
        <f>COUNTIF('KK2. Series'!AM:AM,'TK 15661.Bản quyền phim '!F392)</f>
        <v>0</v>
      </c>
      <c r="AF392" s="110">
        <f>COUNTIF('KK3. Kids'!AF:AF,'TK 15661.Bản quyền phim '!F392)</f>
        <v>0</v>
      </c>
      <c r="AG392" s="110"/>
      <c r="AH392" s="110" t="str">
        <f t="shared" si="55"/>
        <v>OK</v>
      </c>
    </row>
    <row r="393" spans="2:34" ht="15.6" hidden="1" x14ac:dyDescent="0.3">
      <c r="B393" s="108" t="s">
        <v>2559</v>
      </c>
      <c r="C393" s="94" t="s">
        <v>2412</v>
      </c>
      <c r="D393" s="94" t="s">
        <v>2422</v>
      </c>
      <c r="E393" s="94" t="s">
        <v>2421</v>
      </c>
      <c r="F393" s="94" t="s">
        <v>1807</v>
      </c>
      <c r="G393" s="94" t="s">
        <v>2417</v>
      </c>
      <c r="H393" s="119">
        <v>1</v>
      </c>
      <c r="I393" s="119">
        <v>2</v>
      </c>
      <c r="J393" s="119">
        <f t="shared" si="49"/>
        <v>2</v>
      </c>
      <c r="K393" s="119">
        <v>93254700</v>
      </c>
      <c r="L393" s="119">
        <v>46627350</v>
      </c>
      <c r="M393" s="119">
        <f t="shared" si="50"/>
        <v>2</v>
      </c>
      <c r="N393" s="119">
        <f t="shared" si="51"/>
        <v>93254700</v>
      </c>
      <c r="O393" s="120">
        <v>45701</v>
      </c>
      <c r="P393" s="120">
        <v>46430</v>
      </c>
      <c r="Q393" s="119">
        <v>0</v>
      </c>
      <c r="R393" s="121">
        <v>0</v>
      </c>
      <c r="S393" s="119">
        <v>2</v>
      </c>
      <c r="T393" s="121">
        <v>93254700</v>
      </c>
      <c r="U393" s="119">
        <v>1</v>
      </c>
      <c r="V393" s="121">
        <f t="shared" si="52"/>
        <v>46627350</v>
      </c>
      <c r="W393" s="119">
        <f t="shared" si="53"/>
        <v>1</v>
      </c>
      <c r="X393" s="121">
        <f t="shared" si="54"/>
        <v>46627350</v>
      </c>
      <c r="Y393" s="122" t="s">
        <v>2416</v>
      </c>
      <c r="Z393" s="123" t="s">
        <v>2407</v>
      </c>
      <c r="AA393" s="123" t="s">
        <v>2406</v>
      </c>
      <c r="AB393" s="123" t="s">
        <v>2372</v>
      </c>
      <c r="AC393" s="124" t="s">
        <v>12</v>
      </c>
      <c r="AD393" s="110">
        <f>COUNTIF('KK1. Movies'!AI:AI,'TK 15661.Bản quyền phim '!F393)</f>
        <v>1</v>
      </c>
      <c r="AE393" s="110">
        <f>COUNTIF('KK2. Series'!AM:AM,'TK 15661.Bản quyền phim '!F393)</f>
        <v>0</v>
      </c>
      <c r="AF393" s="110">
        <f>COUNTIF('KK3. Kids'!AF:AF,'TK 15661.Bản quyền phim '!F393)</f>
        <v>0</v>
      </c>
      <c r="AG393" s="110"/>
      <c r="AH393" s="110" t="str">
        <f t="shared" si="55"/>
        <v>OK</v>
      </c>
    </row>
    <row r="394" spans="2:34" ht="15.6" hidden="1" x14ac:dyDescent="0.3">
      <c r="B394" s="108" t="s">
        <v>2558</v>
      </c>
      <c r="C394" s="94" t="s">
        <v>2412</v>
      </c>
      <c r="D394" s="94" t="s">
        <v>2422</v>
      </c>
      <c r="E394" s="94" t="s">
        <v>2421</v>
      </c>
      <c r="F394" s="94" t="s">
        <v>1492</v>
      </c>
      <c r="G394" s="94" t="s">
        <v>2417</v>
      </c>
      <c r="H394" s="119">
        <v>1</v>
      </c>
      <c r="I394" s="119">
        <v>2</v>
      </c>
      <c r="J394" s="119">
        <f t="shared" si="49"/>
        <v>2</v>
      </c>
      <c r="K394" s="119">
        <v>93254700</v>
      </c>
      <c r="L394" s="119">
        <v>46627350</v>
      </c>
      <c r="M394" s="119">
        <f t="shared" si="50"/>
        <v>2</v>
      </c>
      <c r="N394" s="119">
        <f t="shared" si="51"/>
        <v>93254700</v>
      </c>
      <c r="O394" s="120">
        <v>45747</v>
      </c>
      <c r="P394" s="120">
        <v>46492</v>
      </c>
      <c r="Q394" s="119">
        <v>0</v>
      </c>
      <c r="R394" s="121">
        <v>0</v>
      </c>
      <c r="S394" s="119">
        <v>2</v>
      </c>
      <c r="T394" s="121">
        <v>93254700</v>
      </c>
      <c r="U394" s="119">
        <v>1</v>
      </c>
      <c r="V394" s="121">
        <f t="shared" si="52"/>
        <v>46627350</v>
      </c>
      <c r="W394" s="119">
        <f t="shared" si="53"/>
        <v>1</v>
      </c>
      <c r="X394" s="121">
        <f t="shared" si="54"/>
        <v>46627350</v>
      </c>
      <c r="Y394" s="122" t="s">
        <v>2416</v>
      </c>
      <c r="Z394" s="123" t="s">
        <v>2407</v>
      </c>
      <c r="AA394" s="123" t="s">
        <v>2406</v>
      </c>
      <c r="AB394" s="123" t="s">
        <v>2372</v>
      </c>
      <c r="AC394" s="124" t="s">
        <v>12</v>
      </c>
      <c r="AD394" s="110">
        <f>COUNTIF('KK1. Movies'!AI:AI,'TK 15661.Bản quyền phim '!F394)</f>
        <v>1</v>
      </c>
      <c r="AE394" s="110">
        <f>COUNTIF('KK2. Series'!AM:AM,'TK 15661.Bản quyền phim '!F394)</f>
        <v>0</v>
      </c>
      <c r="AF394" s="110">
        <f>COUNTIF('KK3. Kids'!AF:AF,'TK 15661.Bản quyền phim '!F394)</f>
        <v>0</v>
      </c>
      <c r="AG394" s="110"/>
      <c r="AH394" s="110" t="str">
        <f t="shared" si="55"/>
        <v>OK</v>
      </c>
    </row>
    <row r="395" spans="2:34" ht="15.6" hidden="1" x14ac:dyDescent="0.3">
      <c r="B395" s="108" t="s">
        <v>2557</v>
      </c>
      <c r="C395" s="94" t="s">
        <v>2412</v>
      </c>
      <c r="D395" s="94" t="s">
        <v>2422</v>
      </c>
      <c r="E395" s="94" t="s">
        <v>2421</v>
      </c>
      <c r="F395" s="94" t="s">
        <v>1309</v>
      </c>
      <c r="G395" s="94" t="s">
        <v>2417</v>
      </c>
      <c r="H395" s="119">
        <v>1</v>
      </c>
      <c r="I395" s="119">
        <v>2</v>
      </c>
      <c r="J395" s="119">
        <f t="shared" si="49"/>
        <v>2</v>
      </c>
      <c r="K395" s="119">
        <v>93254700</v>
      </c>
      <c r="L395" s="119">
        <v>46627350</v>
      </c>
      <c r="M395" s="119">
        <f t="shared" si="50"/>
        <v>2</v>
      </c>
      <c r="N395" s="119">
        <f t="shared" si="51"/>
        <v>93254700</v>
      </c>
      <c r="O395" s="120">
        <v>45747</v>
      </c>
      <c r="P395" s="120">
        <v>46600</v>
      </c>
      <c r="Q395" s="119">
        <v>0</v>
      </c>
      <c r="R395" s="121">
        <v>0</v>
      </c>
      <c r="S395" s="119">
        <v>2</v>
      </c>
      <c r="T395" s="121">
        <v>93254700</v>
      </c>
      <c r="U395" s="119">
        <v>1</v>
      </c>
      <c r="V395" s="121">
        <f t="shared" si="52"/>
        <v>46627350</v>
      </c>
      <c r="W395" s="119">
        <f t="shared" si="53"/>
        <v>1</v>
      </c>
      <c r="X395" s="121">
        <f t="shared" si="54"/>
        <v>46627350</v>
      </c>
      <c r="Y395" s="122" t="s">
        <v>2416</v>
      </c>
      <c r="Z395" s="123" t="s">
        <v>2407</v>
      </c>
      <c r="AA395" s="123" t="s">
        <v>2406</v>
      </c>
      <c r="AB395" s="123" t="s">
        <v>2372</v>
      </c>
      <c r="AC395" s="124" t="s">
        <v>12</v>
      </c>
      <c r="AD395" s="110">
        <f>COUNTIF('KK1. Movies'!AI:AI,'TK 15661.Bản quyền phim '!F395)</f>
        <v>1</v>
      </c>
      <c r="AE395" s="110">
        <f>COUNTIF('KK2. Series'!AM:AM,'TK 15661.Bản quyền phim '!F395)</f>
        <v>0</v>
      </c>
      <c r="AF395" s="110">
        <f>COUNTIF('KK3. Kids'!AF:AF,'TK 15661.Bản quyền phim '!F395)</f>
        <v>0</v>
      </c>
      <c r="AG395" s="110"/>
      <c r="AH395" s="110" t="str">
        <f t="shared" si="55"/>
        <v>OK</v>
      </c>
    </row>
    <row r="396" spans="2:34" ht="15.6" hidden="1" x14ac:dyDescent="0.3">
      <c r="B396" s="108" t="s">
        <v>2556</v>
      </c>
      <c r="C396" s="94" t="s">
        <v>2412</v>
      </c>
      <c r="D396" s="94" t="s">
        <v>2422</v>
      </c>
      <c r="E396" s="94" t="s">
        <v>2421</v>
      </c>
      <c r="F396" s="94" t="s">
        <v>2147</v>
      </c>
      <c r="G396" s="94" t="s">
        <v>2417</v>
      </c>
      <c r="H396" s="119">
        <v>1</v>
      </c>
      <c r="I396" s="119">
        <v>2</v>
      </c>
      <c r="J396" s="119">
        <f t="shared" si="49"/>
        <v>2</v>
      </c>
      <c r="K396" s="119">
        <v>93254700</v>
      </c>
      <c r="L396" s="119">
        <v>46627350</v>
      </c>
      <c r="M396" s="119">
        <f t="shared" si="50"/>
        <v>2</v>
      </c>
      <c r="N396" s="119">
        <f t="shared" si="51"/>
        <v>93254700</v>
      </c>
      <c r="O396" s="120">
        <v>45747</v>
      </c>
      <c r="P396" s="120">
        <v>46492</v>
      </c>
      <c r="Q396" s="119">
        <v>0</v>
      </c>
      <c r="R396" s="121">
        <v>0</v>
      </c>
      <c r="S396" s="119">
        <v>2</v>
      </c>
      <c r="T396" s="121">
        <v>93254700</v>
      </c>
      <c r="U396" s="119">
        <v>1</v>
      </c>
      <c r="V396" s="121">
        <f t="shared" si="52"/>
        <v>46627350</v>
      </c>
      <c r="W396" s="119">
        <f t="shared" si="53"/>
        <v>1</v>
      </c>
      <c r="X396" s="121">
        <f t="shared" si="54"/>
        <v>46627350</v>
      </c>
      <c r="Y396" s="122" t="s">
        <v>2416</v>
      </c>
      <c r="Z396" s="123" t="s">
        <v>2407</v>
      </c>
      <c r="AA396" s="123" t="s">
        <v>2406</v>
      </c>
      <c r="AB396" s="123" t="s">
        <v>2372</v>
      </c>
      <c r="AC396" s="124" t="s">
        <v>12</v>
      </c>
      <c r="AD396" s="110">
        <f>COUNTIF('KK1. Movies'!AI:AI,'TK 15661.Bản quyền phim '!F396)</f>
        <v>1</v>
      </c>
      <c r="AE396" s="110">
        <f>COUNTIF('KK2. Series'!AM:AM,'TK 15661.Bản quyền phim '!F396)</f>
        <v>0</v>
      </c>
      <c r="AF396" s="110">
        <f>COUNTIF('KK3. Kids'!AF:AF,'TK 15661.Bản quyền phim '!F396)</f>
        <v>0</v>
      </c>
      <c r="AG396" s="110"/>
      <c r="AH396" s="110" t="str">
        <f t="shared" si="55"/>
        <v>OK</v>
      </c>
    </row>
    <row r="397" spans="2:34" ht="15.6" hidden="1" x14ac:dyDescent="0.3">
      <c r="B397" s="108" t="s">
        <v>2555</v>
      </c>
      <c r="C397" s="94" t="s">
        <v>2412</v>
      </c>
      <c r="D397" s="94" t="s">
        <v>2422</v>
      </c>
      <c r="E397" s="94" t="s">
        <v>2421</v>
      </c>
      <c r="F397" s="94" t="s">
        <v>2161</v>
      </c>
      <c r="G397" s="94" t="s">
        <v>2417</v>
      </c>
      <c r="H397" s="119">
        <v>1</v>
      </c>
      <c r="I397" s="119">
        <v>2</v>
      </c>
      <c r="J397" s="119">
        <f t="shared" si="49"/>
        <v>2</v>
      </c>
      <c r="K397" s="119">
        <v>93254700</v>
      </c>
      <c r="L397" s="119">
        <v>46627350</v>
      </c>
      <c r="M397" s="119">
        <f t="shared" si="50"/>
        <v>2</v>
      </c>
      <c r="N397" s="119">
        <f t="shared" si="51"/>
        <v>93254700</v>
      </c>
      <c r="O397" s="120">
        <v>45747</v>
      </c>
      <c r="P397" s="120">
        <v>46485</v>
      </c>
      <c r="Q397" s="119">
        <v>0</v>
      </c>
      <c r="R397" s="121">
        <v>0</v>
      </c>
      <c r="S397" s="119">
        <v>2</v>
      </c>
      <c r="T397" s="121">
        <v>93254700</v>
      </c>
      <c r="U397" s="119">
        <v>1</v>
      </c>
      <c r="V397" s="121">
        <f t="shared" si="52"/>
        <v>46627350</v>
      </c>
      <c r="W397" s="119">
        <f t="shared" si="53"/>
        <v>1</v>
      </c>
      <c r="X397" s="121">
        <f t="shared" si="54"/>
        <v>46627350</v>
      </c>
      <c r="Y397" s="122" t="s">
        <v>2416</v>
      </c>
      <c r="Z397" s="123" t="s">
        <v>2407</v>
      </c>
      <c r="AA397" s="123" t="s">
        <v>2406</v>
      </c>
      <c r="AB397" s="123" t="s">
        <v>2372</v>
      </c>
      <c r="AC397" s="124" t="s">
        <v>12</v>
      </c>
      <c r="AD397" s="110">
        <f>COUNTIF('KK1. Movies'!AI:AI,'TK 15661.Bản quyền phim '!F397)</f>
        <v>1</v>
      </c>
      <c r="AE397" s="110">
        <f>COUNTIF('KK2. Series'!AM:AM,'TK 15661.Bản quyền phim '!F397)</f>
        <v>0</v>
      </c>
      <c r="AF397" s="110">
        <f>COUNTIF('KK3. Kids'!AF:AF,'TK 15661.Bản quyền phim '!F397)</f>
        <v>0</v>
      </c>
      <c r="AG397" s="110"/>
      <c r="AH397" s="110" t="str">
        <f t="shared" si="55"/>
        <v>OK</v>
      </c>
    </row>
    <row r="398" spans="2:34" ht="15.6" hidden="1" x14ac:dyDescent="0.3">
      <c r="B398" s="108" t="s">
        <v>2554</v>
      </c>
      <c r="C398" s="94" t="s">
        <v>2412</v>
      </c>
      <c r="D398" s="94" t="s">
        <v>2422</v>
      </c>
      <c r="E398" s="94" t="s">
        <v>2421</v>
      </c>
      <c r="F398" s="94" t="s">
        <v>1700</v>
      </c>
      <c r="G398" s="94" t="s">
        <v>2417</v>
      </c>
      <c r="H398" s="119">
        <v>1</v>
      </c>
      <c r="I398" s="119">
        <v>1</v>
      </c>
      <c r="J398" s="119">
        <f t="shared" si="49"/>
        <v>1</v>
      </c>
      <c r="K398" s="119">
        <v>93254700</v>
      </c>
      <c r="L398" s="119">
        <v>93254700</v>
      </c>
      <c r="M398" s="119">
        <f t="shared" si="50"/>
        <v>1</v>
      </c>
      <c r="N398" s="119">
        <f t="shared" si="51"/>
        <v>93254700</v>
      </c>
      <c r="O398" s="120">
        <v>45747</v>
      </c>
      <c r="P398" s="120">
        <v>46127</v>
      </c>
      <c r="Q398" s="119">
        <v>0</v>
      </c>
      <c r="R398" s="121">
        <v>0</v>
      </c>
      <c r="S398" s="119">
        <v>1</v>
      </c>
      <c r="T398" s="121">
        <v>93254700</v>
      </c>
      <c r="U398" s="119">
        <v>1</v>
      </c>
      <c r="V398" s="121">
        <f t="shared" si="52"/>
        <v>93254700</v>
      </c>
      <c r="W398" s="119">
        <f t="shared" si="53"/>
        <v>0</v>
      </c>
      <c r="X398" s="121">
        <f t="shared" si="54"/>
        <v>0</v>
      </c>
      <c r="Y398" s="122" t="s">
        <v>2416</v>
      </c>
      <c r="Z398" s="123" t="s">
        <v>2407</v>
      </c>
      <c r="AA398" s="123" t="s">
        <v>2406</v>
      </c>
      <c r="AB398" s="123" t="s">
        <v>2372</v>
      </c>
      <c r="AC398" s="124" t="s">
        <v>12</v>
      </c>
      <c r="AD398" s="110">
        <f>COUNTIF('KK1. Movies'!AI:AI,'TK 15661.Bản quyền phim '!F398)</f>
        <v>1</v>
      </c>
      <c r="AE398" s="110">
        <f>COUNTIF('KK2. Series'!AM:AM,'TK 15661.Bản quyền phim '!F398)</f>
        <v>0</v>
      </c>
      <c r="AF398" s="110">
        <f>COUNTIF('KK3. Kids'!AF:AF,'TK 15661.Bản quyền phim '!F398)</f>
        <v>0</v>
      </c>
      <c r="AG398" s="110"/>
      <c r="AH398" s="110" t="str">
        <f t="shared" si="55"/>
        <v>OK</v>
      </c>
    </row>
    <row r="399" spans="2:34" ht="15.6" hidden="1" x14ac:dyDescent="0.3">
      <c r="B399" s="108" t="s">
        <v>2553</v>
      </c>
      <c r="C399" s="94" t="s">
        <v>2412</v>
      </c>
      <c r="D399" s="94" t="s">
        <v>2422</v>
      </c>
      <c r="E399" s="94" t="s">
        <v>2421</v>
      </c>
      <c r="F399" s="94" t="s">
        <v>1303</v>
      </c>
      <c r="G399" s="94" t="s">
        <v>2417</v>
      </c>
      <c r="H399" s="119">
        <v>1</v>
      </c>
      <c r="I399" s="119">
        <v>2</v>
      </c>
      <c r="J399" s="119">
        <f t="shared" si="49"/>
        <v>2</v>
      </c>
      <c r="K399" s="119">
        <v>93254700</v>
      </c>
      <c r="L399" s="119">
        <v>46627350</v>
      </c>
      <c r="M399" s="119">
        <f t="shared" si="50"/>
        <v>2</v>
      </c>
      <c r="N399" s="119">
        <f t="shared" si="51"/>
        <v>93254700</v>
      </c>
      <c r="O399" s="120">
        <v>45747</v>
      </c>
      <c r="P399" s="120">
        <v>46604</v>
      </c>
      <c r="Q399" s="119">
        <v>0</v>
      </c>
      <c r="R399" s="121">
        <v>0</v>
      </c>
      <c r="S399" s="119">
        <v>2</v>
      </c>
      <c r="T399" s="121">
        <v>93254700</v>
      </c>
      <c r="U399" s="119">
        <v>1</v>
      </c>
      <c r="V399" s="121">
        <f t="shared" si="52"/>
        <v>46627350</v>
      </c>
      <c r="W399" s="119">
        <f t="shared" si="53"/>
        <v>1</v>
      </c>
      <c r="X399" s="121">
        <f t="shared" si="54"/>
        <v>46627350</v>
      </c>
      <c r="Y399" s="122" t="s">
        <v>2416</v>
      </c>
      <c r="Z399" s="123" t="s">
        <v>2407</v>
      </c>
      <c r="AA399" s="123" t="s">
        <v>2406</v>
      </c>
      <c r="AB399" s="123" t="s">
        <v>2372</v>
      </c>
      <c r="AC399" s="124" t="s">
        <v>12</v>
      </c>
      <c r="AD399" s="110">
        <f>COUNTIF('KK1. Movies'!AI:AI,'TK 15661.Bản quyền phim '!F399)</f>
        <v>1</v>
      </c>
      <c r="AE399" s="110">
        <f>COUNTIF('KK2. Series'!AM:AM,'TK 15661.Bản quyền phim '!F399)</f>
        <v>0</v>
      </c>
      <c r="AF399" s="110">
        <f>COUNTIF('KK3. Kids'!AF:AF,'TK 15661.Bản quyền phim '!F399)</f>
        <v>0</v>
      </c>
      <c r="AG399" s="110"/>
      <c r="AH399" s="110" t="str">
        <f t="shared" si="55"/>
        <v>OK</v>
      </c>
    </row>
    <row r="400" spans="2:34" ht="15.6" hidden="1" x14ac:dyDescent="0.3">
      <c r="B400" s="108" t="s">
        <v>2552</v>
      </c>
      <c r="C400" s="94" t="s">
        <v>2412</v>
      </c>
      <c r="D400" s="94" t="s">
        <v>2422</v>
      </c>
      <c r="E400" s="94" t="s">
        <v>2421</v>
      </c>
      <c r="F400" s="94" t="s">
        <v>1306</v>
      </c>
      <c r="G400" s="94" t="s">
        <v>2417</v>
      </c>
      <c r="H400" s="119">
        <v>1</v>
      </c>
      <c r="I400" s="119">
        <v>2</v>
      </c>
      <c r="J400" s="119">
        <f t="shared" si="49"/>
        <v>2</v>
      </c>
      <c r="K400" s="119">
        <v>93254700</v>
      </c>
      <c r="L400" s="119">
        <v>46627350</v>
      </c>
      <c r="M400" s="119">
        <f t="shared" si="50"/>
        <v>2</v>
      </c>
      <c r="N400" s="119">
        <f t="shared" si="51"/>
        <v>93254700</v>
      </c>
      <c r="O400" s="120">
        <v>45747</v>
      </c>
      <c r="P400" s="120">
        <v>46600</v>
      </c>
      <c r="Q400" s="119">
        <v>0</v>
      </c>
      <c r="R400" s="121">
        <v>0</v>
      </c>
      <c r="S400" s="119">
        <v>2</v>
      </c>
      <c r="T400" s="121">
        <v>93254700</v>
      </c>
      <c r="U400" s="119">
        <v>1</v>
      </c>
      <c r="V400" s="121">
        <f t="shared" si="52"/>
        <v>46627350</v>
      </c>
      <c r="W400" s="119">
        <f t="shared" si="53"/>
        <v>1</v>
      </c>
      <c r="X400" s="121">
        <f t="shared" si="54"/>
        <v>46627350</v>
      </c>
      <c r="Y400" s="122" t="s">
        <v>2416</v>
      </c>
      <c r="Z400" s="123" t="s">
        <v>2407</v>
      </c>
      <c r="AA400" s="123" t="s">
        <v>2406</v>
      </c>
      <c r="AB400" s="123" t="s">
        <v>2372</v>
      </c>
      <c r="AC400" s="124" t="s">
        <v>12</v>
      </c>
      <c r="AD400" s="110">
        <f>COUNTIF('KK1. Movies'!AI:AI,'TK 15661.Bản quyền phim '!F400)</f>
        <v>1</v>
      </c>
      <c r="AE400" s="110">
        <f>COUNTIF('KK2. Series'!AM:AM,'TK 15661.Bản quyền phim '!F400)</f>
        <v>0</v>
      </c>
      <c r="AF400" s="110">
        <f>COUNTIF('KK3. Kids'!AF:AF,'TK 15661.Bản quyền phim '!F400)</f>
        <v>0</v>
      </c>
      <c r="AG400" s="110"/>
      <c r="AH400" s="110" t="str">
        <f t="shared" si="55"/>
        <v>OK</v>
      </c>
    </row>
    <row r="401" spans="1:34" ht="15.6" hidden="1" x14ac:dyDescent="0.3">
      <c r="B401" s="108" t="s">
        <v>2551</v>
      </c>
      <c r="C401" s="94" t="s">
        <v>2412</v>
      </c>
      <c r="D401" s="94" t="s">
        <v>2422</v>
      </c>
      <c r="E401" s="94" t="s">
        <v>2421</v>
      </c>
      <c r="F401" s="94" t="s">
        <v>1960</v>
      </c>
      <c r="G401" s="94" t="s">
        <v>2417</v>
      </c>
      <c r="H401" s="119">
        <v>1</v>
      </c>
      <c r="I401" s="119">
        <v>2</v>
      </c>
      <c r="J401" s="119">
        <f t="shared" si="49"/>
        <v>2</v>
      </c>
      <c r="K401" s="119">
        <v>93254700</v>
      </c>
      <c r="L401" s="119">
        <v>46627350</v>
      </c>
      <c r="M401" s="119">
        <f t="shared" si="50"/>
        <v>2</v>
      </c>
      <c r="N401" s="119">
        <f t="shared" si="51"/>
        <v>93254700</v>
      </c>
      <c r="O401" s="120">
        <v>45747</v>
      </c>
      <c r="P401" s="120">
        <v>46535</v>
      </c>
      <c r="Q401" s="119">
        <v>0</v>
      </c>
      <c r="R401" s="121">
        <v>0</v>
      </c>
      <c r="S401" s="119">
        <v>2</v>
      </c>
      <c r="T401" s="121">
        <v>93254700</v>
      </c>
      <c r="U401" s="119">
        <v>1</v>
      </c>
      <c r="V401" s="121">
        <f t="shared" si="52"/>
        <v>46627350</v>
      </c>
      <c r="W401" s="119">
        <f t="shared" si="53"/>
        <v>1</v>
      </c>
      <c r="X401" s="121">
        <f t="shared" si="54"/>
        <v>46627350</v>
      </c>
      <c r="Y401" s="122" t="s">
        <v>2416</v>
      </c>
      <c r="Z401" s="123" t="s">
        <v>2407</v>
      </c>
      <c r="AA401" s="123" t="s">
        <v>2406</v>
      </c>
      <c r="AB401" s="123" t="s">
        <v>2372</v>
      </c>
      <c r="AC401" s="124" t="s">
        <v>12</v>
      </c>
      <c r="AD401" s="110">
        <f>COUNTIF('KK1. Movies'!AI:AI,'TK 15661.Bản quyền phim '!F401)</f>
        <v>1</v>
      </c>
      <c r="AE401" s="110">
        <f>COUNTIF('KK2. Series'!AM:AM,'TK 15661.Bản quyền phim '!F401)</f>
        <v>0</v>
      </c>
      <c r="AF401" s="110">
        <f>COUNTIF('KK3. Kids'!AF:AF,'TK 15661.Bản quyền phim '!F401)</f>
        <v>0</v>
      </c>
      <c r="AG401" s="110"/>
      <c r="AH401" s="110" t="str">
        <f t="shared" si="55"/>
        <v>OK</v>
      </c>
    </row>
    <row r="402" spans="1:34" ht="15.6" hidden="1" x14ac:dyDescent="0.3">
      <c r="B402" s="108" t="s">
        <v>2550</v>
      </c>
      <c r="C402" s="94" t="s">
        <v>2412</v>
      </c>
      <c r="D402" s="94" t="s">
        <v>2422</v>
      </c>
      <c r="E402" s="94" t="s">
        <v>2421</v>
      </c>
      <c r="F402" s="94" t="s">
        <v>1318</v>
      </c>
      <c r="G402" s="94" t="s">
        <v>2417</v>
      </c>
      <c r="H402" s="119">
        <v>1</v>
      </c>
      <c r="I402" s="119">
        <v>2</v>
      </c>
      <c r="J402" s="119">
        <f t="shared" si="49"/>
        <v>2</v>
      </c>
      <c r="K402" s="119">
        <v>93254700</v>
      </c>
      <c r="L402" s="119">
        <v>46627350</v>
      </c>
      <c r="M402" s="119">
        <f t="shared" si="50"/>
        <v>2</v>
      </c>
      <c r="N402" s="119">
        <f t="shared" si="51"/>
        <v>93254700</v>
      </c>
      <c r="O402" s="120">
        <v>45747</v>
      </c>
      <c r="P402" s="120">
        <v>46576</v>
      </c>
      <c r="Q402" s="119">
        <v>0</v>
      </c>
      <c r="R402" s="121">
        <v>0</v>
      </c>
      <c r="S402" s="119">
        <v>2</v>
      </c>
      <c r="T402" s="121">
        <v>93254700</v>
      </c>
      <c r="U402" s="119">
        <v>1</v>
      </c>
      <c r="V402" s="121">
        <f t="shared" si="52"/>
        <v>46627350</v>
      </c>
      <c r="W402" s="119">
        <f t="shared" si="53"/>
        <v>1</v>
      </c>
      <c r="X402" s="121">
        <f t="shared" si="54"/>
        <v>46627350</v>
      </c>
      <c r="Y402" s="122" t="s">
        <v>2416</v>
      </c>
      <c r="Z402" s="123" t="s">
        <v>2407</v>
      </c>
      <c r="AA402" s="123" t="s">
        <v>2406</v>
      </c>
      <c r="AB402" s="123" t="s">
        <v>2372</v>
      </c>
      <c r="AC402" s="124" t="s">
        <v>12</v>
      </c>
      <c r="AD402" s="110">
        <f>COUNTIF('KK1. Movies'!AI:AI,'TK 15661.Bản quyền phim '!F402)</f>
        <v>1</v>
      </c>
      <c r="AE402" s="110">
        <f>COUNTIF('KK2. Series'!AM:AM,'TK 15661.Bản quyền phim '!F402)</f>
        <v>0</v>
      </c>
      <c r="AF402" s="110">
        <f>COUNTIF('KK3. Kids'!AF:AF,'TK 15661.Bản quyền phim '!F402)</f>
        <v>0</v>
      </c>
      <c r="AG402" s="110"/>
      <c r="AH402" s="110" t="str">
        <f t="shared" si="55"/>
        <v>OK</v>
      </c>
    </row>
    <row r="403" spans="1:34" ht="15.6" hidden="1" x14ac:dyDescent="0.3">
      <c r="B403" s="108" t="s">
        <v>2549</v>
      </c>
      <c r="C403" s="94" t="s">
        <v>2412</v>
      </c>
      <c r="D403" s="94" t="s">
        <v>2422</v>
      </c>
      <c r="E403" s="94" t="s">
        <v>2421</v>
      </c>
      <c r="F403" s="94" t="s">
        <v>1315</v>
      </c>
      <c r="G403" s="94" t="s">
        <v>2417</v>
      </c>
      <c r="H403" s="119">
        <v>1</v>
      </c>
      <c r="I403" s="119">
        <v>2</v>
      </c>
      <c r="J403" s="119">
        <f t="shared" si="49"/>
        <v>2</v>
      </c>
      <c r="K403" s="119">
        <v>93254700</v>
      </c>
      <c r="L403" s="119">
        <v>46627350</v>
      </c>
      <c r="M403" s="119">
        <f t="shared" si="50"/>
        <v>2</v>
      </c>
      <c r="N403" s="119">
        <f t="shared" si="51"/>
        <v>93254700</v>
      </c>
      <c r="O403" s="120">
        <v>45747</v>
      </c>
      <c r="P403" s="120">
        <v>46576</v>
      </c>
      <c r="Q403" s="119">
        <v>0</v>
      </c>
      <c r="R403" s="121">
        <v>0</v>
      </c>
      <c r="S403" s="119">
        <v>2</v>
      </c>
      <c r="T403" s="121">
        <v>93254700</v>
      </c>
      <c r="U403" s="119">
        <v>1</v>
      </c>
      <c r="V403" s="121">
        <f t="shared" si="52"/>
        <v>46627350</v>
      </c>
      <c r="W403" s="119">
        <f t="shared" si="53"/>
        <v>1</v>
      </c>
      <c r="X403" s="121">
        <f t="shared" si="54"/>
        <v>46627350</v>
      </c>
      <c r="Y403" s="122" t="s">
        <v>2416</v>
      </c>
      <c r="Z403" s="123" t="s">
        <v>2407</v>
      </c>
      <c r="AA403" s="123" t="s">
        <v>2406</v>
      </c>
      <c r="AB403" s="123" t="s">
        <v>2372</v>
      </c>
      <c r="AC403" s="124" t="s">
        <v>12</v>
      </c>
      <c r="AD403" s="110">
        <f>COUNTIF('KK1. Movies'!AI:AI,'TK 15661.Bản quyền phim '!F403)</f>
        <v>1</v>
      </c>
      <c r="AE403" s="110">
        <f>COUNTIF('KK2. Series'!AM:AM,'TK 15661.Bản quyền phim '!F403)</f>
        <v>0</v>
      </c>
      <c r="AF403" s="110">
        <f>COUNTIF('KK3. Kids'!AF:AF,'TK 15661.Bản quyền phim '!F403)</f>
        <v>0</v>
      </c>
      <c r="AG403" s="110"/>
      <c r="AH403" s="110" t="str">
        <f t="shared" si="55"/>
        <v>OK</v>
      </c>
    </row>
    <row r="404" spans="1:34" ht="15.6" hidden="1" x14ac:dyDescent="0.3">
      <c r="B404" s="108" t="s">
        <v>2548</v>
      </c>
      <c r="C404" s="94" t="s">
        <v>2412</v>
      </c>
      <c r="D404" s="94" t="s">
        <v>2422</v>
      </c>
      <c r="E404" s="94" t="s">
        <v>2421</v>
      </c>
      <c r="F404" s="94" t="s">
        <v>1312</v>
      </c>
      <c r="G404" s="94" t="s">
        <v>2417</v>
      </c>
      <c r="H404" s="119">
        <v>1</v>
      </c>
      <c r="I404" s="119">
        <v>2</v>
      </c>
      <c r="J404" s="119">
        <f t="shared" si="49"/>
        <v>2</v>
      </c>
      <c r="K404" s="119">
        <v>93254700</v>
      </c>
      <c r="L404" s="119">
        <v>46627350</v>
      </c>
      <c r="M404" s="119">
        <f t="shared" si="50"/>
        <v>2</v>
      </c>
      <c r="N404" s="119">
        <f t="shared" si="51"/>
        <v>93254700</v>
      </c>
      <c r="O404" s="120">
        <v>45747</v>
      </c>
      <c r="P404" s="120">
        <v>46576</v>
      </c>
      <c r="Q404" s="119">
        <v>0</v>
      </c>
      <c r="R404" s="121">
        <v>0</v>
      </c>
      <c r="S404" s="119">
        <v>2</v>
      </c>
      <c r="T404" s="121">
        <v>93254700</v>
      </c>
      <c r="U404" s="119">
        <v>1</v>
      </c>
      <c r="V404" s="121">
        <f t="shared" si="52"/>
        <v>46627350</v>
      </c>
      <c r="W404" s="119">
        <f t="shared" si="53"/>
        <v>1</v>
      </c>
      <c r="X404" s="121">
        <f t="shared" si="54"/>
        <v>46627350</v>
      </c>
      <c r="Y404" s="122" t="s">
        <v>2416</v>
      </c>
      <c r="Z404" s="123" t="s">
        <v>2407</v>
      </c>
      <c r="AA404" s="123" t="s">
        <v>2406</v>
      </c>
      <c r="AB404" s="123" t="s">
        <v>2372</v>
      </c>
      <c r="AC404" s="124" t="s">
        <v>12</v>
      </c>
      <c r="AD404" s="110">
        <f>COUNTIF('KK1. Movies'!AI:AI,'TK 15661.Bản quyền phim '!F404)</f>
        <v>1</v>
      </c>
      <c r="AE404" s="110">
        <f>COUNTIF('KK2. Series'!AM:AM,'TK 15661.Bản quyền phim '!F404)</f>
        <v>0</v>
      </c>
      <c r="AF404" s="110">
        <f>COUNTIF('KK3. Kids'!AF:AF,'TK 15661.Bản quyền phim '!F404)</f>
        <v>0</v>
      </c>
      <c r="AG404" s="110"/>
      <c r="AH404" s="110" t="str">
        <f t="shared" si="55"/>
        <v>OK</v>
      </c>
    </row>
    <row r="405" spans="1:34" ht="15.6" hidden="1" x14ac:dyDescent="0.3">
      <c r="B405" s="108" t="s">
        <v>2547</v>
      </c>
      <c r="C405" s="94" t="s">
        <v>2412</v>
      </c>
      <c r="D405" s="94" t="s">
        <v>2422</v>
      </c>
      <c r="E405" s="94" t="s">
        <v>2421</v>
      </c>
      <c r="F405" s="94" t="s">
        <v>1285</v>
      </c>
      <c r="G405" s="94" t="s">
        <v>2417</v>
      </c>
      <c r="H405" s="119">
        <v>1</v>
      </c>
      <c r="I405" s="119">
        <v>2</v>
      </c>
      <c r="J405" s="119">
        <f t="shared" si="49"/>
        <v>2</v>
      </c>
      <c r="K405" s="119">
        <v>93254700</v>
      </c>
      <c r="L405" s="119">
        <v>46627350</v>
      </c>
      <c r="M405" s="119">
        <f t="shared" si="50"/>
        <v>2</v>
      </c>
      <c r="N405" s="119">
        <f t="shared" si="51"/>
        <v>93254700</v>
      </c>
      <c r="O405" s="120">
        <v>45884</v>
      </c>
      <c r="P405" s="120">
        <v>46613</v>
      </c>
      <c r="Q405" s="119">
        <v>0</v>
      </c>
      <c r="R405" s="121">
        <v>0</v>
      </c>
      <c r="S405" s="119">
        <v>2</v>
      </c>
      <c r="T405" s="121">
        <v>93254700</v>
      </c>
      <c r="U405" s="119">
        <v>1</v>
      </c>
      <c r="V405" s="121">
        <f t="shared" si="52"/>
        <v>46627350</v>
      </c>
      <c r="W405" s="119">
        <f t="shared" si="53"/>
        <v>1</v>
      </c>
      <c r="X405" s="121">
        <f t="shared" si="54"/>
        <v>46627350</v>
      </c>
      <c r="Y405" s="122" t="s">
        <v>2416</v>
      </c>
      <c r="Z405" s="123" t="s">
        <v>2407</v>
      </c>
      <c r="AA405" s="123" t="s">
        <v>2406</v>
      </c>
      <c r="AB405" s="123" t="s">
        <v>2372</v>
      </c>
      <c r="AC405" s="124" t="s">
        <v>12</v>
      </c>
      <c r="AD405" s="110">
        <f>COUNTIF('KK1. Movies'!AI:AI,'TK 15661.Bản quyền phim '!F405)</f>
        <v>1</v>
      </c>
      <c r="AE405" s="110">
        <f>COUNTIF('KK2. Series'!AM:AM,'TK 15661.Bản quyền phim '!F405)</f>
        <v>0</v>
      </c>
      <c r="AF405" s="110">
        <f>COUNTIF('KK3. Kids'!AF:AF,'TK 15661.Bản quyền phim '!F405)</f>
        <v>0</v>
      </c>
      <c r="AG405" s="110"/>
      <c r="AH405" s="110" t="str">
        <f t="shared" si="55"/>
        <v>OK</v>
      </c>
    </row>
    <row r="406" spans="1:34" ht="15.6" hidden="1" x14ac:dyDescent="0.3">
      <c r="B406" s="108" t="s">
        <v>2546</v>
      </c>
      <c r="C406" s="94" t="s">
        <v>2412</v>
      </c>
      <c r="D406" s="94" t="s">
        <v>2422</v>
      </c>
      <c r="E406" s="94" t="s">
        <v>2421</v>
      </c>
      <c r="F406" s="94" t="s">
        <v>1291</v>
      </c>
      <c r="G406" s="94" t="s">
        <v>2417</v>
      </c>
      <c r="H406" s="119">
        <v>1</v>
      </c>
      <c r="I406" s="119">
        <v>2</v>
      </c>
      <c r="J406" s="119">
        <f t="shared" si="49"/>
        <v>2</v>
      </c>
      <c r="K406" s="119">
        <v>93254700</v>
      </c>
      <c r="L406" s="119">
        <v>46627350</v>
      </c>
      <c r="M406" s="119">
        <f t="shared" si="50"/>
        <v>2</v>
      </c>
      <c r="N406" s="119">
        <f t="shared" si="51"/>
        <v>93254700</v>
      </c>
      <c r="O406" s="120">
        <v>45884</v>
      </c>
      <c r="P406" s="120">
        <v>46613</v>
      </c>
      <c r="Q406" s="119">
        <v>0</v>
      </c>
      <c r="R406" s="121">
        <v>0</v>
      </c>
      <c r="S406" s="119">
        <v>2</v>
      </c>
      <c r="T406" s="121">
        <v>93254700</v>
      </c>
      <c r="U406" s="119">
        <v>1</v>
      </c>
      <c r="V406" s="121">
        <f t="shared" si="52"/>
        <v>46627350</v>
      </c>
      <c r="W406" s="119">
        <f t="shared" si="53"/>
        <v>1</v>
      </c>
      <c r="X406" s="121">
        <f t="shared" si="54"/>
        <v>46627350</v>
      </c>
      <c r="Y406" s="122" t="s">
        <v>2416</v>
      </c>
      <c r="Z406" s="123" t="s">
        <v>2407</v>
      </c>
      <c r="AA406" s="123" t="s">
        <v>2406</v>
      </c>
      <c r="AB406" s="123" t="s">
        <v>2372</v>
      </c>
      <c r="AC406" s="124" t="s">
        <v>12</v>
      </c>
      <c r="AD406" s="110">
        <f>COUNTIF('KK1. Movies'!AI:AI,'TK 15661.Bản quyền phim '!F406)</f>
        <v>1</v>
      </c>
      <c r="AE406" s="110">
        <f>COUNTIF('KK2. Series'!AM:AM,'TK 15661.Bản quyền phim '!F406)</f>
        <v>0</v>
      </c>
      <c r="AF406" s="110">
        <f>COUNTIF('KK3. Kids'!AF:AF,'TK 15661.Bản quyền phim '!F406)</f>
        <v>0</v>
      </c>
      <c r="AG406" s="110"/>
      <c r="AH406" s="110" t="str">
        <f t="shared" si="55"/>
        <v>OK</v>
      </c>
    </row>
    <row r="407" spans="1:34" ht="15.6" hidden="1" x14ac:dyDescent="0.3">
      <c r="B407" s="108" t="s">
        <v>2545</v>
      </c>
      <c r="C407" s="94" t="s">
        <v>2412</v>
      </c>
      <c r="D407" s="94" t="s">
        <v>2422</v>
      </c>
      <c r="E407" s="94" t="s">
        <v>2421</v>
      </c>
      <c r="F407" s="94" t="s">
        <v>1288</v>
      </c>
      <c r="G407" s="94" t="s">
        <v>2417</v>
      </c>
      <c r="H407" s="119">
        <v>1</v>
      </c>
      <c r="I407" s="119">
        <v>2</v>
      </c>
      <c r="J407" s="119">
        <f t="shared" si="49"/>
        <v>2</v>
      </c>
      <c r="K407" s="119">
        <v>93254700</v>
      </c>
      <c r="L407" s="119">
        <v>46627350</v>
      </c>
      <c r="M407" s="119">
        <f t="shared" si="50"/>
        <v>2</v>
      </c>
      <c r="N407" s="119">
        <f t="shared" si="51"/>
        <v>93254700</v>
      </c>
      <c r="O407" s="120">
        <v>45884</v>
      </c>
      <c r="P407" s="120">
        <v>46613</v>
      </c>
      <c r="Q407" s="119">
        <v>0</v>
      </c>
      <c r="R407" s="121">
        <v>0</v>
      </c>
      <c r="S407" s="119">
        <v>2</v>
      </c>
      <c r="T407" s="121">
        <v>93254700</v>
      </c>
      <c r="U407" s="119">
        <v>1</v>
      </c>
      <c r="V407" s="121">
        <f t="shared" si="52"/>
        <v>46627350</v>
      </c>
      <c r="W407" s="119">
        <f t="shared" si="53"/>
        <v>1</v>
      </c>
      <c r="X407" s="121">
        <f t="shared" si="54"/>
        <v>46627350</v>
      </c>
      <c r="Y407" s="122" t="s">
        <v>2416</v>
      </c>
      <c r="Z407" s="123" t="s">
        <v>2407</v>
      </c>
      <c r="AA407" s="123" t="s">
        <v>2406</v>
      </c>
      <c r="AB407" s="123" t="s">
        <v>2372</v>
      </c>
      <c r="AC407" s="124" t="s">
        <v>12</v>
      </c>
      <c r="AD407" s="110">
        <f>COUNTIF('KK1. Movies'!AI:AI,'TK 15661.Bản quyền phim '!F407)</f>
        <v>1</v>
      </c>
      <c r="AE407" s="110">
        <f>COUNTIF('KK2. Series'!AM:AM,'TK 15661.Bản quyền phim '!F407)</f>
        <v>0</v>
      </c>
      <c r="AF407" s="110">
        <f>COUNTIF('KK3. Kids'!AF:AF,'TK 15661.Bản quyền phim '!F407)</f>
        <v>0</v>
      </c>
      <c r="AG407" s="110"/>
      <c r="AH407" s="110" t="str">
        <f t="shared" si="55"/>
        <v>OK</v>
      </c>
    </row>
    <row r="408" spans="1:34" ht="15.6" hidden="1" x14ac:dyDescent="0.3">
      <c r="B408" s="108" t="s">
        <v>2544</v>
      </c>
      <c r="C408" s="94" t="s">
        <v>2412</v>
      </c>
      <c r="D408" s="94" t="s">
        <v>2422</v>
      </c>
      <c r="E408" s="94" t="s">
        <v>2421</v>
      </c>
      <c r="F408" s="94" t="s">
        <v>1146</v>
      </c>
      <c r="G408" s="94" t="s">
        <v>2417</v>
      </c>
      <c r="H408" s="119">
        <v>1</v>
      </c>
      <c r="I408" s="119">
        <v>2</v>
      </c>
      <c r="J408" s="119">
        <f t="shared" si="49"/>
        <v>2</v>
      </c>
      <c r="K408" s="119">
        <v>93254700</v>
      </c>
      <c r="L408" s="119">
        <v>46627350</v>
      </c>
      <c r="M408" s="119">
        <f t="shared" si="50"/>
        <v>2</v>
      </c>
      <c r="N408" s="119">
        <f t="shared" si="51"/>
        <v>93254700</v>
      </c>
      <c r="O408" s="120">
        <v>45884</v>
      </c>
      <c r="P408" s="120">
        <v>46613</v>
      </c>
      <c r="Q408" s="119">
        <v>0</v>
      </c>
      <c r="R408" s="121">
        <v>0</v>
      </c>
      <c r="S408" s="119">
        <v>2</v>
      </c>
      <c r="T408" s="121">
        <v>93254700</v>
      </c>
      <c r="U408" s="119">
        <v>1</v>
      </c>
      <c r="V408" s="121">
        <f t="shared" si="52"/>
        <v>46627350</v>
      </c>
      <c r="W408" s="119">
        <f t="shared" si="53"/>
        <v>1</v>
      </c>
      <c r="X408" s="121">
        <f t="shared" si="54"/>
        <v>46627350</v>
      </c>
      <c r="Y408" s="122" t="s">
        <v>2416</v>
      </c>
      <c r="Z408" s="123" t="s">
        <v>2407</v>
      </c>
      <c r="AA408" s="123" t="s">
        <v>2406</v>
      </c>
      <c r="AB408" s="123" t="s">
        <v>2372</v>
      </c>
      <c r="AC408" s="124" t="s">
        <v>12</v>
      </c>
      <c r="AD408" s="110">
        <f>COUNTIF('KK1. Movies'!AI:AI,'TK 15661.Bản quyền phim '!F408)</f>
        <v>1</v>
      </c>
      <c r="AE408" s="110">
        <f>COUNTIF('KK2. Series'!AM:AM,'TK 15661.Bản quyền phim '!F408)</f>
        <v>0</v>
      </c>
      <c r="AF408" s="110">
        <f>COUNTIF('KK3. Kids'!AF:AF,'TK 15661.Bản quyền phim '!F408)</f>
        <v>0</v>
      </c>
      <c r="AG408" s="110"/>
      <c r="AH408" s="110" t="str">
        <f t="shared" si="55"/>
        <v>OK</v>
      </c>
    </row>
    <row r="409" spans="1:34" ht="15.6" hidden="1" x14ac:dyDescent="0.3">
      <c r="B409" s="108" t="s">
        <v>2543</v>
      </c>
      <c r="C409" s="94" t="s">
        <v>2412</v>
      </c>
      <c r="D409" s="94" t="s">
        <v>2422</v>
      </c>
      <c r="E409" s="94" t="s">
        <v>2421</v>
      </c>
      <c r="F409" s="94" t="s">
        <v>1297</v>
      </c>
      <c r="G409" s="94" t="s">
        <v>2417</v>
      </c>
      <c r="H409" s="119">
        <v>1</v>
      </c>
      <c r="I409" s="119">
        <v>1</v>
      </c>
      <c r="J409" s="119">
        <f t="shared" si="49"/>
        <v>1</v>
      </c>
      <c r="K409" s="119">
        <v>93254700</v>
      </c>
      <c r="L409" s="119">
        <v>93254700</v>
      </c>
      <c r="M409" s="119">
        <f t="shared" si="50"/>
        <v>1</v>
      </c>
      <c r="N409" s="119">
        <f t="shared" si="51"/>
        <v>93254700</v>
      </c>
      <c r="O409" s="120">
        <v>45884</v>
      </c>
      <c r="P409" s="120">
        <v>46248</v>
      </c>
      <c r="Q409" s="119">
        <v>0</v>
      </c>
      <c r="R409" s="121">
        <v>0</v>
      </c>
      <c r="S409" s="119">
        <v>1</v>
      </c>
      <c r="T409" s="121">
        <v>93254700</v>
      </c>
      <c r="U409" s="119">
        <v>1</v>
      </c>
      <c r="V409" s="121">
        <f t="shared" si="52"/>
        <v>93254700</v>
      </c>
      <c r="W409" s="119">
        <f t="shared" si="53"/>
        <v>0</v>
      </c>
      <c r="X409" s="121">
        <f t="shared" si="54"/>
        <v>0</v>
      </c>
      <c r="Y409" s="122" t="s">
        <v>2416</v>
      </c>
      <c r="Z409" s="123" t="s">
        <v>2407</v>
      </c>
      <c r="AA409" s="123" t="s">
        <v>2406</v>
      </c>
      <c r="AB409" s="123" t="s">
        <v>2372</v>
      </c>
      <c r="AC409" s="124" t="s">
        <v>12</v>
      </c>
      <c r="AD409" s="110">
        <f>COUNTIF('KK1. Movies'!AI:AI,'TK 15661.Bản quyền phim '!F409)</f>
        <v>1</v>
      </c>
      <c r="AE409" s="110">
        <f>COUNTIF('KK2. Series'!AM:AM,'TK 15661.Bản quyền phim '!F409)</f>
        <v>0</v>
      </c>
      <c r="AF409" s="110">
        <f>COUNTIF('KK3. Kids'!AF:AF,'TK 15661.Bản quyền phim '!F409)</f>
        <v>0</v>
      </c>
      <c r="AG409" s="110"/>
      <c r="AH409" s="110" t="str">
        <f t="shared" si="55"/>
        <v>OK</v>
      </c>
    </row>
    <row r="410" spans="1:34" ht="15.6" hidden="1" x14ac:dyDescent="0.3">
      <c r="B410" s="108" t="s">
        <v>2542</v>
      </c>
      <c r="C410" s="94" t="s">
        <v>2412</v>
      </c>
      <c r="D410" s="94" t="s">
        <v>2422</v>
      </c>
      <c r="E410" s="94" t="s">
        <v>2421</v>
      </c>
      <c r="F410" s="94" t="s">
        <v>2541</v>
      </c>
      <c r="G410" s="94" t="s">
        <v>2417</v>
      </c>
      <c r="H410" s="119">
        <v>1</v>
      </c>
      <c r="I410" s="119">
        <v>2</v>
      </c>
      <c r="J410" s="119">
        <f t="shared" si="49"/>
        <v>2</v>
      </c>
      <c r="K410" s="119">
        <v>93254700</v>
      </c>
      <c r="L410" s="119">
        <v>46627350</v>
      </c>
      <c r="M410" s="119">
        <f t="shared" si="50"/>
        <v>2</v>
      </c>
      <c r="N410" s="119">
        <f t="shared" si="51"/>
        <v>93254700</v>
      </c>
      <c r="O410" s="120">
        <v>45884</v>
      </c>
      <c r="P410" s="120">
        <v>46613</v>
      </c>
      <c r="Q410" s="119">
        <v>0</v>
      </c>
      <c r="R410" s="121">
        <v>0</v>
      </c>
      <c r="S410" s="119">
        <v>2</v>
      </c>
      <c r="T410" s="121">
        <v>93254700</v>
      </c>
      <c r="U410" s="119">
        <v>1</v>
      </c>
      <c r="V410" s="121">
        <f t="shared" si="52"/>
        <v>46627350</v>
      </c>
      <c r="W410" s="119">
        <f t="shared" si="53"/>
        <v>1</v>
      </c>
      <c r="X410" s="121">
        <f t="shared" si="54"/>
        <v>46627350</v>
      </c>
      <c r="Y410" s="122" t="s">
        <v>2416</v>
      </c>
      <c r="Z410" s="123" t="s">
        <v>2407</v>
      </c>
      <c r="AA410" s="123" t="s">
        <v>2406</v>
      </c>
      <c r="AB410" s="123" t="s">
        <v>2372</v>
      </c>
      <c r="AC410" s="124" t="s">
        <v>12</v>
      </c>
      <c r="AD410" s="110">
        <f>COUNTIF('KK1. Movies'!AI:AI,'TK 15661.Bản quyền phim '!F410)</f>
        <v>1</v>
      </c>
      <c r="AE410" s="110">
        <f>COUNTIF('KK2. Series'!AM:AM,'TK 15661.Bản quyền phim '!F410)</f>
        <v>0</v>
      </c>
      <c r="AF410" s="110">
        <f>COUNTIF('KK3. Kids'!AF:AF,'TK 15661.Bản quyền phim '!F410)</f>
        <v>0</v>
      </c>
      <c r="AG410" s="110"/>
      <c r="AH410" s="110" t="str">
        <f t="shared" si="55"/>
        <v>OK</v>
      </c>
    </row>
    <row r="411" spans="1:34" ht="15.6" hidden="1" x14ac:dyDescent="0.3">
      <c r="B411" s="108" t="s">
        <v>2540</v>
      </c>
      <c r="C411" s="94" t="s">
        <v>2412</v>
      </c>
      <c r="D411" s="94" t="s">
        <v>2422</v>
      </c>
      <c r="E411" s="94" t="s">
        <v>2421</v>
      </c>
      <c r="F411" s="94" t="s">
        <v>1138</v>
      </c>
      <c r="G411" s="94" t="s">
        <v>2417</v>
      </c>
      <c r="H411" s="119">
        <v>1</v>
      </c>
      <c r="I411" s="119">
        <v>2</v>
      </c>
      <c r="J411" s="119">
        <f t="shared" si="49"/>
        <v>2</v>
      </c>
      <c r="K411" s="119">
        <v>93254700</v>
      </c>
      <c r="L411" s="119">
        <v>46627350</v>
      </c>
      <c r="M411" s="119">
        <f t="shared" si="50"/>
        <v>2</v>
      </c>
      <c r="N411" s="119">
        <f t="shared" si="51"/>
        <v>93254700</v>
      </c>
      <c r="O411" s="120">
        <v>45884</v>
      </c>
      <c r="P411" s="120">
        <v>46613</v>
      </c>
      <c r="Q411" s="119">
        <v>0</v>
      </c>
      <c r="R411" s="121">
        <v>0</v>
      </c>
      <c r="S411" s="119">
        <v>2</v>
      </c>
      <c r="T411" s="121">
        <v>93254700</v>
      </c>
      <c r="U411" s="119">
        <v>1</v>
      </c>
      <c r="V411" s="121">
        <f t="shared" si="52"/>
        <v>46627350</v>
      </c>
      <c r="W411" s="119">
        <f t="shared" si="53"/>
        <v>1</v>
      </c>
      <c r="X411" s="121">
        <f t="shared" si="54"/>
        <v>46627350</v>
      </c>
      <c r="Y411" s="122" t="s">
        <v>2416</v>
      </c>
      <c r="Z411" s="123" t="s">
        <v>2407</v>
      </c>
      <c r="AA411" s="123" t="s">
        <v>2406</v>
      </c>
      <c r="AB411" s="123" t="s">
        <v>2372</v>
      </c>
      <c r="AC411" s="124" t="s">
        <v>12</v>
      </c>
      <c r="AD411" s="110">
        <f>COUNTIF('KK1. Movies'!AI:AI,'TK 15661.Bản quyền phim '!F411)</f>
        <v>1</v>
      </c>
      <c r="AE411" s="110">
        <f>COUNTIF('KK2. Series'!AM:AM,'TK 15661.Bản quyền phim '!F411)</f>
        <v>0</v>
      </c>
      <c r="AF411" s="110">
        <f>COUNTIF('KK3. Kids'!AF:AF,'TK 15661.Bản quyền phim '!F411)</f>
        <v>0</v>
      </c>
      <c r="AG411" s="110"/>
      <c r="AH411" s="110" t="str">
        <f t="shared" si="55"/>
        <v>OK</v>
      </c>
    </row>
    <row r="412" spans="1:34" ht="15.6" hidden="1" x14ac:dyDescent="0.3">
      <c r="B412" s="108" t="s">
        <v>2539</v>
      </c>
      <c r="C412" s="94" t="s">
        <v>2412</v>
      </c>
      <c r="D412" s="94" t="s">
        <v>2422</v>
      </c>
      <c r="E412" s="94" t="s">
        <v>2421</v>
      </c>
      <c r="F412" s="94" t="s">
        <v>1300</v>
      </c>
      <c r="G412" s="94" t="s">
        <v>2417</v>
      </c>
      <c r="H412" s="119">
        <v>1</v>
      </c>
      <c r="I412" s="119">
        <v>1</v>
      </c>
      <c r="J412" s="119">
        <f t="shared" si="49"/>
        <v>1</v>
      </c>
      <c r="K412" s="119">
        <v>93254700</v>
      </c>
      <c r="L412" s="119">
        <v>93254700</v>
      </c>
      <c r="M412" s="119">
        <f t="shared" si="50"/>
        <v>1</v>
      </c>
      <c r="N412" s="119">
        <f t="shared" si="51"/>
        <v>93254700</v>
      </c>
      <c r="O412" s="120">
        <v>45884</v>
      </c>
      <c r="P412" s="120">
        <v>46321</v>
      </c>
      <c r="Q412" s="119">
        <v>0</v>
      </c>
      <c r="R412" s="121">
        <v>0</v>
      </c>
      <c r="S412" s="119">
        <v>1</v>
      </c>
      <c r="T412" s="121">
        <v>93254700</v>
      </c>
      <c r="U412" s="119">
        <v>1</v>
      </c>
      <c r="V412" s="121">
        <f t="shared" si="52"/>
        <v>93254700</v>
      </c>
      <c r="W412" s="119">
        <f t="shared" si="53"/>
        <v>0</v>
      </c>
      <c r="X412" s="121">
        <f t="shared" si="54"/>
        <v>0</v>
      </c>
      <c r="Y412" s="122" t="s">
        <v>2416</v>
      </c>
      <c r="Z412" s="123" t="s">
        <v>2407</v>
      </c>
      <c r="AA412" s="123" t="s">
        <v>2406</v>
      </c>
      <c r="AB412" s="123" t="s">
        <v>2372</v>
      </c>
      <c r="AC412" s="124" t="s">
        <v>12</v>
      </c>
      <c r="AD412" s="110">
        <f>COUNTIF('KK1. Movies'!AI:AI,'TK 15661.Bản quyền phim '!F412)</f>
        <v>1</v>
      </c>
      <c r="AE412" s="110">
        <f>COUNTIF('KK2. Series'!AM:AM,'TK 15661.Bản quyền phim '!F412)</f>
        <v>0</v>
      </c>
      <c r="AF412" s="110">
        <f>COUNTIF('KK3. Kids'!AF:AF,'TK 15661.Bản quyền phim '!F412)</f>
        <v>0</v>
      </c>
      <c r="AG412" s="110"/>
      <c r="AH412" s="110" t="str">
        <f t="shared" si="55"/>
        <v>OK</v>
      </c>
    </row>
    <row r="413" spans="1:34" ht="15.6" hidden="1" x14ac:dyDescent="0.3">
      <c r="B413" s="108" t="s">
        <v>2538</v>
      </c>
      <c r="C413" s="94" t="s">
        <v>2412</v>
      </c>
      <c r="D413" s="94" t="s">
        <v>2422</v>
      </c>
      <c r="E413" s="94" t="s">
        <v>2421</v>
      </c>
      <c r="F413" s="94" t="s">
        <v>1294</v>
      </c>
      <c r="G413" s="94" t="s">
        <v>2417</v>
      </c>
      <c r="H413" s="119">
        <v>1</v>
      </c>
      <c r="I413" s="119">
        <v>2</v>
      </c>
      <c r="J413" s="119">
        <f t="shared" si="49"/>
        <v>2</v>
      </c>
      <c r="K413" s="119">
        <v>93254700</v>
      </c>
      <c r="L413" s="119">
        <v>46627350</v>
      </c>
      <c r="M413" s="119">
        <f t="shared" si="50"/>
        <v>2</v>
      </c>
      <c r="N413" s="119">
        <f t="shared" si="51"/>
        <v>93254700</v>
      </c>
      <c r="O413" s="120">
        <v>45884</v>
      </c>
      <c r="P413" s="120">
        <v>46613</v>
      </c>
      <c r="Q413" s="119">
        <v>0</v>
      </c>
      <c r="R413" s="121">
        <v>0</v>
      </c>
      <c r="S413" s="119">
        <v>2</v>
      </c>
      <c r="T413" s="121">
        <v>93254700</v>
      </c>
      <c r="U413" s="119">
        <v>1</v>
      </c>
      <c r="V413" s="121">
        <f t="shared" si="52"/>
        <v>46627350</v>
      </c>
      <c r="W413" s="119">
        <f t="shared" si="53"/>
        <v>1</v>
      </c>
      <c r="X413" s="121">
        <f t="shared" si="54"/>
        <v>46627350</v>
      </c>
      <c r="Y413" s="122" t="s">
        <v>2416</v>
      </c>
      <c r="Z413" s="123" t="s">
        <v>2407</v>
      </c>
      <c r="AA413" s="123" t="s">
        <v>2406</v>
      </c>
      <c r="AB413" s="123" t="s">
        <v>2372</v>
      </c>
      <c r="AC413" s="124" t="s">
        <v>12</v>
      </c>
      <c r="AD413" s="110">
        <f>COUNTIF('KK1. Movies'!AI:AI,'TK 15661.Bản quyền phim '!F413)</f>
        <v>1</v>
      </c>
      <c r="AE413" s="110">
        <f>COUNTIF('KK2. Series'!AM:AM,'TK 15661.Bản quyền phim '!F413)</f>
        <v>0</v>
      </c>
      <c r="AF413" s="110">
        <f>COUNTIF('KK3. Kids'!AF:AF,'TK 15661.Bản quyền phim '!F413)</f>
        <v>0</v>
      </c>
      <c r="AG413" s="110"/>
      <c r="AH413" s="110" t="str">
        <f t="shared" si="55"/>
        <v>OK</v>
      </c>
    </row>
    <row r="414" spans="1:34" ht="15.6" hidden="1" x14ac:dyDescent="0.3">
      <c r="A414" s="47">
        <f>(U414-H414)*L414</f>
        <v>0</v>
      </c>
      <c r="B414" s="108" t="s">
        <v>2537</v>
      </c>
      <c r="C414" s="94" t="s">
        <v>2412</v>
      </c>
      <c r="D414" s="94" t="s">
        <v>2536</v>
      </c>
      <c r="E414" s="94" t="s">
        <v>2535</v>
      </c>
      <c r="F414" s="94" t="s">
        <v>2534</v>
      </c>
      <c r="G414" s="94" t="s">
        <v>2428</v>
      </c>
      <c r="H414" s="119">
        <v>32</v>
      </c>
      <c r="I414" s="119">
        <v>4</v>
      </c>
      <c r="J414" s="119">
        <f t="shared" si="49"/>
        <v>128</v>
      </c>
      <c r="K414" s="119">
        <v>813120000</v>
      </c>
      <c r="L414" s="119">
        <v>6352500</v>
      </c>
      <c r="M414" s="119">
        <f t="shared" si="50"/>
        <v>128</v>
      </c>
      <c r="N414" s="119">
        <f t="shared" si="51"/>
        <v>813120000</v>
      </c>
      <c r="O414" s="120">
        <v>45742</v>
      </c>
      <c r="P414" s="120">
        <v>47202</v>
      </c>
      <c r="Q414" s="119">
        <v>0</v>
      </c>
      <c r="R414" s="121">
        <v>0</v>
      </c>
      <c r="S414" s="119">
        <v>128</v>
      </c>
      <c r="T414" s="121">
        <v>813120000</v>
      </c>
      <c r="U414" s="119">
        <v>32</v>
      </c>
      <c r="V414" s="121">
        <f t="shared" si="52"/>
        <v>203280000</v>
      </c>
      <c r="W414" s="119">
        <f t="shared" si="53"/>
        <v>96</v>
      </c>
      <c r="X414" s="121">
        <f t="shared" si="54"/>
        <v>609840000</v>
      </c>
      <c r="Y414" s="122" t="s">
        <v>2427</v>
      </c>
      <c r="Z414" s="123" t="s">
        <v>2407</v>
      </c>
      <c r="AA414" s="123" t="s">
        <v>2406</v>
      </c>
      <c r="AB414" s="123" t="s">
        <v>2372</v>
      </c>
      <c r="AC414" s="124" t="s">
        <v>10</v>
      </c>
      <c r="AD414" s="110">
        <f>COUNTIF('KK1. Movies'!AI:AI,'TK 15661.Bản quyền phim '!F414)</f>
        <v>0</v>
      </c>
      <c r="AE414" s="110">
        <f>COUNTIF('KK2. Series'!AM:AM,'TK 15661.Bản quyền phim '!F414)</f>
        <v>1</v>
      </c>
      <c r="AF414" s="110">
        <f>COUNTIF('KK3. Kids'!AF:AF,'TK 15661.Bản quyền phim '!F414)</f>
        <v>0</v>
      </c>
      <c r="AG414" s="110"/>
      <c r="AH414" s="110" t="str">
        <f t="shared" si="55"/>
        <v>OK</v>
      </c>
    </row>
    <row r="415" spans="1:34" hidden="1" x14ac:dyDescent="0.2">
      <c r="A415" s="47">
        <f>(U415-H415)*L415</f>
        <v>0</v>
      </c>
      <c r="B415" s="108" t="s">
        <v>2533</v>
      </c>
      <c r="C415" s="94" t="s">
        <v>2412</v>
      </c>
      <c r="D415" s="94" t="s">
        <v>2486</v>
      </c>
      <c r="E415" s="94" t="s">
        <v>2485</v>
      </c>
      <c r="F415" s="94" t="s">
        <v>151</v>
      </c>
      <c r="G415" s="94" t="s">
        <v>2409</v>
      </c>
      <c r="H415" s="119">
        <v>52</v>
      </c>
      <c r="I415" s="119">
        <v>2</v>
      </c>
      <c r="J415" s="119">
        <f t="shared" si="49"/>
        <v>104</v>
      </c>
      <c r="K415" s="119">
        <v>383182800</v>
      </c>
      <c r="L415" s="119">
        <v>3684450</v>
      </c>
      <c r="M415" s="119">
        <f t="shared" si="50"/>
        <v>104</v>
      </c>
      <c r="N415" s="119">
        <f t="shared" si="51"/>
        <v>383182800</v>
      </c>
      <c r="O415" s="120">
        <v>45716</v>
      </c>
      <c r="P415" s="120">
        <v>46445</v>
      </c>
      <c r="Q415" s="119">
        <v>0</v>
      </c>
      <c r="R415" s="121">
        <v>0</v>
      </c>
      <c r="S415" s="119">
        <v>104</v>
      </c>
      <c r="T415" s="121">
        <v>383182800</v>
      </c>
      <c r="U415" s="119">
        <v>52</v>
      </c>
      <c r="V415" s="121">
        <f t="shared" si="52"/>
        <v>191591400</v>
      </c>
      <c r="W415" s="119">
        <f t="shared" si="53"/>
        <v>52</v>
      </c>
      <c r="X415" s="121">
        <f t="shared" si="54"/>
        <v>191591400</v>
      </c>
      <c r="Y415" s="122" t="s">
        <v>2408</v>
      </c>
      <c r="Z415" s="123" t="s">
        <v>2407</v>
      </c>
      <c r="AA415" s="123" t="s">
        <v>2406</v>
      </c>
      <c r="AB415" s="123" t="s">
        <v>2372</v>
      </c>
      <c r="AC415" s="123" t="s">
        <v>8</v>
      </c>
      <c r="AD415" s="110">
        <f>COUNTIF('KK1. Movies'!AI:AI,'TK 15661.Bản quyền phim '!F415)</f>
        <v>0</v>
      </c>
      <c r="AE415" s="110">
        <f>COUNTIF('KK2. Series'!AM:AM,'TK 15661.Bản quyền phim '!F415)</f>
        <v>0</v>
      </c>
      <c r="AF415" s="110">
        <f>COUNTIF('KK3. Kids'!AF:AF,'TK 15661.Bản quyền phim '!F415)</f>
        <v>1</v>
      </c>
      <c r="AG415" s="110"/>
      <c r="AH415" s="110" t="str">
        <f t="shared" si="55"/>
        <v>OK</v>
      </c>
    </row>
    <row r="416" spans="1:34" ht="15.6" hidden="1" x14ac:dyDescent="0.3">
      <c r="B416" s="108" t="s">
        <v>2532</v>
      </c>
      <c r="C416" s="94" t="s">
        <v>2412</v>
      </c>
      <c r="D416" s="94" t="s">
        <v>2419</v>
      </c>
      <c r="E416" s="94" t="s">
        <v>2418</v>
      </c>
      <c r="F416" s="94" t="s">
        <v>1230</v>
      </c>
      <c r="G416" s="94" t="s">
        <v>2417</v>
      </c>
      <c r="H416" s="119">
        <v>1</v>
      </c>
      <c r="I416" s="119">
        <v>2</v>
      </c>
      <c r="J416" s="119">
        <f t="shared" si="49"/>
        <v>2</v>
      </c>
      <c r="K416" s="119">
        <v>130353300</v>
      </c>
      <c r="L416" s="119">
        <v>65176650</v>
      </c>
      <c r="M416" s="119">
        <f t="shared" si="50"/>
        <v>2</v>
      </c>
      <c r="N416" s="119">
        <f t="shared" si="51"/>
        <v>130353300</v>
      </c>
      <c r="O416" s="120">
        <v>45961</v>
      </c>
      <c r="P416" s="120">
        <v>46690</v>
      </c>
      <c r="Q416" s="119">
        <v>0</v>
      </c>
      <c r="R416" s="121">
        <v>0</v>
      </c>
      <c r="S416" s="119">
        <v>2</v>
      </c>
      <c r="T416" s="121">
        <v>130353300</v>
      </c>
      <c r="U416" s="119">
        <v>1</v>
      </c>
      <c r="V416" s="121">
        <f t="shared" si="52"/>
        <v>65176650</v>
      </c>
      <c r="W416" s="119">
        <f t="shared" si="53"/>
        <v>1</v>
      </c>
      <c r="X416" s="121">
        <f t="shared" si="54"/>
        <v>65176650</v>
      </c>
      <c r="Y416" s="122" t="s">
        <v>2416</v>
      </c>
      <c r="Z416" s="123" t="s">
        <v>2407</v>
      </c>
      <c r="AA416" s="123" t="s">
        <v>2406</v>
      </c>
      <c r="AB416" s="123" t="s">
        <v>2372</v>
      </c>
      <c r="AC416" s="124" t="s">
        <v>12</v>
      </c>
      <c r="AD416" s="110">
        <f>COUNTIF('KK1. Movies'!AI:AI,'TK 15661.Bản quyền phim '!F416)</f>
        <v>1</v>
      </c>
      <c r="AE416" s="110">
        <f>COUNTIF('KK2. Series'!AM:AM,'TK 15661.Bản quyền phim '!F416)</f>
        <v>0</v>
      </c>
      <c r="AF416" s="110">
        <f>COUNTIF('KK3. Kids'!AF:AF,'TK 15661.Bản quyền phim '!F416)</f>
        <v>0</v>
      </c>
      <c r="AG416" s="110"/>
      <c r="AH416" s="110" t="str">
        <f t="shared" si="55"/>
        <v>OK</v>
      </c>
    </row>
    <row r="417" spans="2:34" ht="15.6" hidden="1" x14ac:dyDescent="0.3">
      <c r="B417" s="108" t="s">
        <v>2531</v>
      </c>
      <c r="C417" s="94" t="s">
        <v>2412</v>
      </c>
      <c r="D417" s="94" t="s">
        <v>2419</v>
      </c>
      <c r="E417" s="94" t="s">
        <v>2418</v>
      </c>
      <c r="F417" s="94" t="s">
        <v>1219</v>
      </c>
      <c r="G417" s="94" t="s">
        <v>2417</v>
      </c>
      <c r="H417" s="119">
        <v>1</v>
      </c>
      <c r="I417" s="119">
        <v>2</v>
      </c>
      <c r="J417" s="119">
        <f t="shared" si="49"/>
        <v>2</v>
      </c>
      <c r="K417" s="119">
        <v>130353300</v>
      </c>
      <c r="L417" s="119">
        <v>65176650</v>
      </c>
      <c r="M417" s="119">
        <f t="shared" si="50"/>
        <v>2</v>
      </c>
      <c r="N417" s="119">
        <f t="shared" si="51"/>
        <v>130353300</v>
      </c>
      <c r="O417" s="120">
        <v>45973</v>
      </c>
      <c r="P417" s="120">
        <v>46702</v>
      </c>
      <c r="Q417" s="119">
        <v>0</v>
      </c>
      <c r="R417" s="121">
        <v>0</v>
      </c>
      <c r="S417" s="119">
        <v>2</v>
      </c>
      <c r="T417" s="121">
        <v>130353300</v>
      </c>
      <c r="U417" s="119">
        <v>1</v>
      </c>
      <c r="V417" s="121">
        <f t="shared" si="52"/>
        <v>65176650</v>
      </c>
      <c r="W417" s="119">
        <f t="shared" si="53"/>
        <v>1</v>
      </c>
      <c r="X417" s="121">
        <f t="shared" si="54"/>
        <v>65176650</v>
      </c>
      <c r="Y417" s="122" t="s">
        <v>2416</v>
      </c>
      <c r="Z417" s="123" t="s">
        <v>2407</v>
      </c>
      <c r="AA417" s="123" t="s">
        <v>2406</v>
      </c>
      <c r="AB417" s="123" t="s">
        <v>2372</v>
      </c>
      <c r="AC417" s="124" t="s">
        <v>12</v>
      </c>
      <c r="AD417" s="110">
        <f>COUNTIF('KK1. Movies'!AI:AI,'TK 15661.Bản quyền phim '!F417)</f>
        <v>1</v>
      </c>
      <c r="AE417" s="110">
        <f>COUNTIF('KK2. Series'!AM:AM,'TK 15661.Bản quyền phim '!F417)</f>
        <v>0</v>
      </c>
      <c r="AF417" s="110">
        <f>COUNTIF('KK3. Kids'!AF:AF,'TK 15661.Bản quyền phim '!F417)</f>
        <v>0</v>
      </c>
      <c r="AG417" s="110"/>
      <c r="AH417" s="110" t="str">
        <f t="shared" si="55"/>
        <v>OK</v>
      </c>
    </row>
    <row r="418" spans="2:34" ht="15.6" hidden="1" x14ac:dyDescent="0.3">
      <c r="B418" s="108" t="s">
        <v>2530</v>
      </c>
      <c r="C418" s="94" t="s">
        <v>2412</v>
      </c>
      <c r="D418" s="94" t="s">
        <v>2419</v>
      </c>
      <c r="E418" s="94" t="s">
        <v>2418</v>
      </c>
      <c r="F418" s="94" t="s">
        <v>1269</v>
      </c>
      <c r="G418" s="94" t="s">
        <v>2417</v>
      </c>
      <c r="H418" s="119">
        <v>1</v>
      </c>
      <c r="I418" s="119">
        <v>2</v>
      </c>
      <c r="J418" s="119">
        <f t="shared" si="49"/>
        <v>2</v>
      </c>
      <c r="K418" s="119">
        <v>100623600</v>
      </c>
      <c r="L418" s="119">
        <v>50311800</v>
      </c>
      <c r="M418" s="119">
        <f t="shared" si="50"/>
        <v>2</v>
      </c>
      <c r="N418" s="119">
        <f t="shared" si="51"/>
        <v>100623600</v>
      </c>
      <c r="O418" s="120">
        <v>45897</v>
      </c>
      <c r="P418" s="120">
        <v>46626</v>
      </c>
      <c r="Q418" s="119">
        <v>0</v>
      </c>
      <c r="R418" s="121">
        <v>0</v>
      </c>
      <c r="S418" s="119">
        <v>2</v>
      </c>
      <c r="T418" s="121">
        <v>100623600</v>
      </c>
      <c r="U418" s="119">
        <v>1</v>
      </c>
      <c r="V418" s="121">
        <f t="shared" si="52"/>
        <v>50311800</v>
      </c>
      <c r="W418" s="119">
        <f t="shared" si="53"/>
        <v>1</v>
      </c>
      <c r="X418" s="121">
        <f t="shared" si="54"/>
        <v>50311800</v>
      </c>
      <c r="Y418" s="122" t="s">
        <v>2416</v>
      </c>
      <c r="Z418" s="123" t="s">
        <v>2407</v>
      </c>
      <c r="AA418" s="123" t="s">
        <v>2406</v>
      </c>
      <c r="AB418" s="123" t="s">
        <v>2372</v>
      </c>
      <c r="AC418" s="124" t="s">
        <v>12</v>
      </c>
      <c r="AD418" s="110">
        <f>COUNTIF('KK1. Movies'!AI:AI,'TK 15661.Bản quyền phim '!F418)</f>
        <v>1</v>
      </c>
      <c r="AE418" s="110">
        <f>COUNTIF('KK2. Series'!AM:AM,'TK 15661.Bản quyền phim '!F418)</f>
        <v>0</v>
      </c>
      <c r="AF418" s="110">
        <f>COUNTIF('KK3. Kids'!AF:AF,'TK 15661.Bản quyền phim '!F418)</f>
        <v>0</v>
      </c>
      <c r="AG418" s="110"/>
      <c r="AH418" s="110" t="str">
        <f t="shared" si="55"/>
        <v>OK</v>
      </c>
    </row>
    <row r="419" spans="2:34" ht="15.6" hidden="1" x14ac:dyDescent="0.3">
      <c r="B419" s="108" t="s">
        <v>2529</v>
      </c>
      <c r="C419" s="94" t="s">
        <v>2412</v>
      </c>
      <c r="D419" s="94" t="s">
        <v>2419</v>
      </c>
      <c r="E419" s="94" t="s">
        <v>2418</v>
      </c>
      <c r="F419" s="94" t="s">
        <v>1562</v>
      </c>
      <c r="G419" s="94" t="s">
        <v>2417</v>
      </c>
      <c r="H419" s="119">
        <v>1</v>
      </c>
      <c r="I419" s="119">
        <v>2</v>
      </c>
      <c r="J419" s="119">
        <f t="shared" si="49"/>
        <v>2</v>
      </c>
      <c r="K419" s="119">
        <v>100623600</v>
      </c>
      <c r="L419" s="119">
        <v>50311800</v>
      </c>
      <c r="M419" s="119">
        <f t="shared" si="50"/>
        <v>2</v>
      </c>
      <c r="N419" s="119">
        <f t="shared" si="51"/>
        <v>100623600</v>
      </c>
      <c r="O419" s="120">
        <v>45714</v>
      </c>
      <c r="P419" s="120">
        <v>46443</v>
      </c>
      <c r="Q419" s="119">
        <v>0</v>
      </c>
      <c r="R419" s="121">
        <v>0</v>
      </c>
      <c r="S419" s="119">
        <v>2</v>
      </c>
      <c r="T419" s="121">
        <v>100623600</v>
      </c>
      <c r="U419" s="119">
        <v>1</v>
      </c>
      <c r="V419" s="121">
        <f t="shared" si="52"/>
        <v>50311800</v>
      </c>
      <c r="W419" s="119">
        <f t="shared" si="53"/>
        <v>1</v>
      </c>
      <c r="X419" s="121">
        <f t="shared" si="54"/>
        <v>50311800</v>
      </c>
      <c r="Y419" s="122" t="s">
        <v>2416</v>
      </c>
      <c r="Z419" s="123" t="s">
        <v>2407</v>
      </c>
      <c r="AA419" s="123" t="s">
        <v>2406</v>
      </c>
      <c r="AB419" s="123" t="s">
        <v>2372</v>
      </c>
      <c r="AC419" s="124" t="s">
        <v>12</v>
      </c>
      <c r="AD419" s="110">
        <f>COUNTIF('KK1. Movies'!AI:AI,'TK 15661.Bản quyền phim '!F419)</f>
        <v>1</v>
      </c>
      <c r="AE419" s="110">
        <f>COUNTIF('KK2. Series'!AM:AM,'TK 15661.Bản quyền phim '!F419)</f>
        <v>0</v>
      </c>
      <c r="AF419" s="110">
        <f>COUNTIF('KK3. Kids'!AF:AF,'TK 15661.Bản quyền phim '!F419)</f>
        <v>0</v>
      </c>
      <c r="AG419" s="110"/>
      <c r="AH419" s="110" t="str">
        <f t="shared" si="55"/>
        <v>OK</v>
      </c>
    </row>
    <row r="420" spans="2:34" ht="15.6" hidden="1" x14ac:dyDescent="0.3">
      <c r="B420" s="108" t="s">
        <v>2528</v>
      </c>
      <c r="C420" s="94" t="s">
        <v>2412</v>
      </c>
      <c r="D420" s="94" t="s">
        <v>2419</v>
      </c>
      <c r="E420" s="94" t="s">
        <v>2418</v>
      </c>
      <c r="F420" s="94" t="s">
        <v>1238</v>
      </c>
      <c r="G420" s="94" t="s">
        <v>2417</v>
      </c>
      <c r="H420" s="119">
        <v>1</v>
      </c>
      <c r="I420" s="119">
        <v>2</v>
      </c>
      <c r="J420" s="119">
        <f t="shared" si="49"/>
        <v>2</v>
      </c>
      <c r="K420" s="119">
        <v>100623600</v>
      </c>
      <c r="L420" s="119">
        <v>50311800</v>
      </c>
      <c r="M420" s="119">
        <f t="shared" si="50"/>
        <v>2</v>
      </c>
      <c r="N420" s="119">
        <f t="shared" si="51"/>
        <v>100623600</v>
      </c>
      <c r="O420" s="120">
        <v>45956</v>
      </c>
      <c r="P420" s="120">
        <v>46685</v>
      </c>
      <c r="Q420" s="119">
        <v>0</v>
      </c>
      <c r="R420" s="121">
        <v>0</v>
      </c>
      <c r="S420" s="119">
        <v>2</v>
      </c>
      <c r="T420" s="121">
        <v>100623600</v>
      </c>
      <c r="U420" s="119">
        <v>1</v>
      </c>
      <c r="V420" s="121">
        <f t="shared" si="52"/>
        <v>50311800</v>
      </c>
      <c r="W420" s="119">
        <f t="shared" si="53"/>
        <v>1</v>
      </c>
      <c r="X420" s="121">
        <f t="shared" si="54"/>
        <v>50311800</v>
      </c>
      <c r="Y420" s="122" t="s">
        <v>2416</v>
      </c>
      <c r="Z420" s="123" t="s">
        <v>2407</v>
      </c>
      <c r="AA420" s="123" t="s">
        <v>2406</v>
      </c>
      <c r="AB420" s="123" t="s">
        <v>2372</v>
      </c>
      <c r="AC420" s="124" t="s">
        <v>12</v>
      </c>
      <c r="AD420" s="110">
        <f>COUNTIF('KK1. Movies'!AI:AI,'TK 15661.Bản quyền phim '!F420)</f>
        <v>1</v>
      </c>
      <c r="AE420" s="110">
        <f>COUNTIF('KK2. Series'!AM:AM,'TK 15661.Bản quyền phim '!F420)</f>
        <v>0</v>
      </c>
      <c r="AF420" s="110">
        <f>COUNTIF('KK3. Kids'!AF:AF,'TK 15661.Bản quyền phim '!F420)</f>
        <v>0</v>
      </c>
      <c r="AG420" s="110"/>
      <c r="AH420" s="110" t="str">
        <f t="shared" si="55"/>
        <v>OK</v>
      </c>
    </row>
    <row r="421" spans="2:34" ht="15.6" hidden="1" x14ac:dyDescent="0.3">
      <c r="B421" s="108" t="s">
        <v>2527</v>
      </c>
      <c r="C421" s="94" t="s">
        <v>2412</v>
      </c>
      <c r="D421" s="94" t="s">
        <v>2419</v>
      </c>
      <c r="E421" s="94" t="s">
        <v>2418</v>
      </c>
      <c r="F421" s="94" t="s">
        <v>1741</v>
      </c>
      <c r="G421" s="94" t="s">
        <v>2417</v>
      </c>
      <c r="H421" s="119">
        <v>1</v>
      </c>
      <c r="I421" s="119">
        <v>2</v>
      </c>
      <c r="J421" s="119">
        <f t="shared" si="49"/>
        <v>2</v>
      </c>
      <c r="K421" s="119">
        <v>100623600</v>
      </c>
      <c r="L421" s="119">
        <v>50311800</v>
      </c>
      <c r="M421" s="119">
        <f t="shared" si="50"/>
        <v>2</v>
      </c>
      <c r="N421" s="119">
        <f t="shared" si="51"/>
        <v>100623600</v>
      </c>
      <c r="O421" s="120">
        <v>45711</v>
      </c>
      <c r="P421" s="120">
        <v>46440</v>
      </c>
      <c r="Q421" s="119">
        <v>0</v>
      </c>
      <c r="R421" s="121">
        <v>0</v>
      </c>
      <c r="S421" s="119">
        <v>2</v>
      </c>
      <c r="T421" s="121">
        <v>100623600</v>
      </c>
      <c r="U421" s="119">
        <v>1</v>
      </c>
      <c r="V421" s="121">
        <f t="shared" si="52"/>
        <v>50311800</v>
      </c>
      <c r="W421" s="119">
        <f t="shared" si="53"/>
        <v>1</v>
      </c>
      <c r="X421" s="121">
        <f t="shared" si="54"/>
        <v>50311800</v>
      </c>
      <c r="Y421" s="122" t="s">
        <v>2416</v>
      </c>
      <c r="Z421" s="123" t="s">
        <v>2407</v>
      </c>
      <c r="AA421" s="123" t="s">
        <v>2406</v>
      </c>
      <c r="AB421" s="123" t="s">
        <v>2372</v>
      </c>
      <c r="AC421" s="124" t="s">
        <v>12</v>
      </c>
      <c r="AD421" s="110">
        <f>COUNTIF('KK1. Movies'!AI:AI,'TK 15661.Bản quyền phim '!F421)</f>
        <v>1</v>
      </c>
      <c r="AE421" s="110">
        <f>COUNTIF('KK2. Series'!AM:AM,'TK 15661.Bản quyền phim '!F421)</f>
        <v>0</v>
      </c>
      <c r="AF421" s="110">
        <f>COUNTIF('KK3. Kids'!AF:AF,'TK 15661.Bản quyền phim '!F421)</f>
        <v>0</v>
      </c>
      <c r="AG421" s="110"/>
      <c r="AH421" s="110" t="str">
        <f t="shared" si="55"/>
        <v>OK</v>
      </c>
    </row>
    <row r="422" spans="2:34" ht="15.6" hidden="1" x14ac:dyDescent="0.3">
      <c r="B422" s="108" t="s">
        <v>2526</v>
      </c>
      <c r="C422" s="94" t="s">
        <v>2412</v>
      </c>
      <c r="D422" s="94" t="s">
        <v>2419</v>
      </c>
      <c r="E422" s="94" t="s">
        <v>2418</v>
      </c>
      <c r="F422" s="94" t="s">
        <v>2090</v>
      </c>
      <c r="G422" s="94" t="s">
        <v>2417</v>
      </c>
      <c r="H422" s="119">
        <v>1</v>
      </c>
      <c r="I422" s="119">
        <v>2</v>
      </c>
      <c r="J422" s="119">
        <f t="shared" si="49"/>
        <v>2</v>
      </c>
      <c r="K422" s="119">
        <v>100623600</v>
      </c>
      <c r="L422" s="119">
        <v>50311800</v>
      </c>
      <c r="M422" s="119">
        <f t="shared" si="50"/>
        <v>2</v>
      </c>
      <c r="N422" s="119">
        <f t="shared" si="51"/>
        <v>100623600</v>
      </c>
      <c r="O422" s="120">
        <v>45770</v>
      </c>
      <c r="P422" s="120">
        <v>46499</v>
      </c>
      <c r="Q422" s="119">
        <v>0</v>
      </c>
      <c r="R422" s="121">
        <v>0</v>
      </c>
      <c r="S422" s="119">
        <v>2</v>
      </c>
      <c r="T422" s="121">
        <v>100623600</v>
      </c>
      <c r="U422" s="119">
        <v>1</v>
      </c>
      <c r="V422" s="121">
        <f t="shared" si="52"/>
        <v>50311800</v>
      </c>
      <c r="W422" s="119">
        <f t="shared" si="53"/>
        <v>1</v>
      </c>
      <c r="X422" s="121">
        <f t="shared" si="54"/>
        <v>50311800</v>
      </c>
      <c r="Y422" s="122" t="s">
        <v>2416</v>
      </c>
      <c r="Z422" s="123" t="s">
        <v>2407</v>
      </c>
      <c r="AA422" s="123" t="s">
        <v>2406</v>
      </c>
      <c r="AB422" s="123" t="s">
        <v>2372</v>
      </c>
      <c r="AC422" s="124" t="s">
        <v>12</v>
      </c>
      <c r="AD422" s="110">
        <f>COUNTIF('KK1. Movies'!AI:AI,'TK 15661.Bản quyền phim '!F422)</f>
        <v>1</v>
      </c>
      <c r="AE422" s="110">
        <f>COUNTIF('KK2. Series'!AM:AM,'TK 15661.Bản quyền phim '!F422)</f>
        <v>0</v>
      </c>
      <c r="AF422" s="110">
        <f>COUNTIF('KK3. Kids'!AF:AF,'TK 15661.Bản quyền phim '!F422)</f>
        <v>0</v>
      </c>
      <c r="AG422" s="110"/>
      <c r="AH422" s="110" t="str">
        <f t="shared" si="55"/>
        <v>OK</v>
      </c>
    </row>
    <row r="423" spans="2:34" ht="15.6" hidden="1" x14ac:dyDescent="0.3">
      <c r="B423" s="108" t="s">
        <v>2525</v>
      </c>
      <c r="C423" s="94" t="s">
        <v>2412</v>
      </c>
      <c r="D423" s="94" t="s">
        <v>2419</v>
      </c>
      <c r="E423" s="94" t="s">
        <v>2418</v>
      </c>
      <c r="F423" s="94" t="s">
        <v>1249</v>
      </c>
      <c r="G423" s="94" t="s">
        <v>2417</v>
      </c>
      <c r="H423" s="119">
        <v>1</v>
      </c>
      <c r="I423" s="119">
        <v>2</v>
      </c>
      <c r="J423" s="119">
        <f t="shared" si="49"/>
        <v>2</v>
      </c>
      <c r="K423" s="119">
        <v>100623600</v>
      </c>
      <c r="L423" s="119">
        <v>50311800</v>
      </c>
      <c r="M423" s="119">
        <f t="shared" si="50"/>
        <v>2</v>
      </c>
      <c r="N423" s="119">
        <f t="shared" si="51"/>
        <v>100623600</v>
      </c>
      <c r="O423" s="120">
        <v>45946</v>
      </c>
      <c r="P423" s="120">
        <v>46675</v>
      </c>
      <c r="Q423" s="119">
        <v>0</v>
      </c>
      <c r="R423" s="121">
        <v>0</v>
      </c>
      <c r="S423" s="119">
        <v>2</v>
      </c>
      <c r="T423" s="121">
        <v>100623600</v>
      </c>
      <c r="U423" s="119">
        <v>1</v>
      </c>
      <c r="V423" s="121">
        <f t="shared" si="52"/>
        <v>50311800</v>
      </c>
      <c r="W423" s="119">
        <f t="shared" si="53"/>
        <v>1</v>
      </c>
      <c r="X423" s="121">
        <f t="shared" si="54"/>
        <v>50311800</v>
      </c>
      <c r="Y423" s="122" t="s">
        <v>2416</v>
      </c>
      <c r="Z423" s="123" t="s">
        <v>2407</v>
      </c>
      <c r="AA423" s="123" t="s">
        <v>2406</v>
      </c>
      <c r="AB423" s="123" t="s">
        <v>2372</v>
      </c>
      <c r="AC423" s="124" t="s">
        <v>12</v>
      </c>
      <c r="AD423" s="110">
        <f>COUNTIF('KK1. Movies'!AI:AI,'TK 15661.Bản quyền phim '!F423)</f>
        <v>1</v>
      </c>
      <c r="AE423" s="110">
        <f>COUNTIF('KK2. Series'!AM:AM,'TK 15661.Bản quyền phim '!F423)</f>
        <v>0</v>
      </c>
      <c r="AF423" s="110">
        <f>COUNTIF('KK3. Kids'!AF:AF,'TK 15661.Bản quyền phim '!F423)</f>
        <v>0</v>
      </c>
      <c r="AG423" s="110"/>
      <c r="AH423" s="110" t="str">
        <f t="shared" si="55"/>
        <v>OK</v>
      </c>
    </row>
    <row r="424" spans="2:34" ht="15.6" hidden="1" x14ac:dyDescent="0.3">
      <c r="B424" s="108" t="s">
        <v>2524</v>
      </c>
      <c r="C424" s="94" t="s">
        <v>2412</v>
      </c>
      <c r="D424" s="94" t="s">
        <v>2419</v>
      </c>
      <c r="E424" s="94" t="s">
        <v>2418</v>
      </c>
      <c r="F424" s="94" t="s">
        <v>1874</v>
      </c>
      <c r="G424" s="94" t="s">
        <v>2417</v>
      </c>
      <c r="H424" s="119">
        <v>1</v>
      </c>
      <c r="I424" s="119">
        <v>2</v>
      </c>
      <c r="J424" s="119">
        <f t="shared" si="49"/>
        <v>2</v>
      </c>
      <c r="K424" s="119">
        <v>78516900</v>
      </c>
      <c r="L424" s="119">
        <v>39258450</v>
      </c>
      <c r="M424" s="119">
        <f t="shared" si="50"/>
        <v>2</v>
      </c>
      <c r="N424" s="119">
        <f t="shared" si="51"/>
        <v>78516900</v>
      </c>
      <c r="O424" s="120">
        <v>45762</v>
      </c>
      <c r="P424" s="120">
        <v>46491</v>
      </c>
      <c r="Q424" s="119">
        <v>0</v>
      </c>
      <c r="R424" s="121">
        <v>0</v>
      </c>
      <c r="S424" s="119">
        <v>2</v>
      </c>
      <c r="T424" s="121">
        <v>78516900</v>
      </c>
      <c r="U424" s="119">
        <v>1</v>
      </c>
      <c r="V424" s="121">
        <f t="shared" si="52"/>
        <v>39258450</v>
      </c>
      <c r="W424" s="119">
        <f t="shared" si="53"/>
        <v>1</v>
      </c>
      <c r="X424" s="121">
        <f t="shared" si="54"/>
        <v>39258450</v>
      </c>
      <c r="Y424" s="122" t="s">
        <v>2416</v>
      </c>
      <c r="Z424" s="123" t="s">
        <v>2407</v>
      </c>
      <c r="AA424" s="123" t="s">
        <v>2406</v>
      </c>
      <c r="AB424" s="123" t="s">
        <v>2372</v>
      </c>
      <c r="AC424" s="124" t="s">
        <v>12</v>
      </c>
      <c r="AD424" s="110">
        <f>COUNTIF('KK1. Movies'!AI:AI,'TK 15661.Bản quyền phim '!F424)</f>
        <v>1</v>
      </c>
      <c r="AE424" s="110">
        <f>COUNTIF('KK2. Series'!AM:AM,'TK 15661.Bản quyền phim '!F424)</f>
        <v>0</v>
      </c>
      <c r="AF424" s="110">
        <f>COUNTIF('KK3. Kids'!AF:AF,'TK 15661.Bản quyền phim '!F424)</f>
        <v>0</v>
      </c>
      <c r="AG424" s="110"/>
      <c r="AH424" s="110" t="str">
        <f t="shared" si="55"/>
        <v>OK</v>
      </c>
    </row>
    <row r="425" spans="2:34" ht="15.6" hidden="1" x14ac:dyDescent="0.3">
      <c r="B425" s="108" t="s">
        <v>2523</v>
      </c>
      <c r="C425" s="94" t="s">
        <v>2412</v>
      </c>
      <c r="D425" s="94" t="s">
        <v>2419</v>
      </c>
      <c r="E425" s="94" t="s">
        <v>2418</v>
      </c>
      <c r="F425" s="94" t="s">
        <v>1862</v>
      </c>
      <c r="G425" s="94" t="s">
        <v>2417</v>
      </c>
      <c r="H425" s="119">
        <v>1</v>
      </c>
      <c r="I425" s="119">
        <v>2</v>
      </c>
      <c r="J425" s="119">
        <f t="shared" si="49"/>
        <v>2</v>
      </c>
      <c r="K425" s="119">
        <v>78516900</v>
      </c>
      <c r="L425" s="119">
        <v>39258450</v>
      </c>
      <c r="M425" s="119">
        <f t="shared" si="50"/>
        <v>2</v>
      </c>
      <c r="N425" s="119">
        <f t="shared" si="51"/>
        <v>78516900</v>
      </c>
      <c r="O425" s="120">
        <v>45792</v>
      </c>
      <c r="P425" s="120">
        <v>46521</v>
      </c>
      <c r="Q425" s="119">
        <v>0</v>
      </c>
      <c r="R425" s="121">
        <v>0</v>
      </c>
      <c r="S425" s="119">
        <v>2</v>
      </c>
      <c r="T425" s="121">
        <v>78516900</v>
      </c>
      <c r="U425" s="119">
        <v>1</v>
      </c>
      <c r="V425" s="121">
        <f t="shared" si="52"/>
        <v>39258450</v>
      </c>
      <c r="W425" s="119">
        <f t="shared" si="53"/>
        <v>1</v>
      </c>
      <c r="X425" s="121">
        <f t="shared" si="54"/>
        <v>39258450</v>
      </c>
      <c r="Y425" s="122" t="s">
        <v>2416</v>
      </c>
      <c r="Z425" s="123" t="s">
        <v>2407</v>
      </c>
      <c r="AA425" s="123" t="s">
        <v>2406</v>
      </c>
      <c r="AB425" s="123" t="s">
        <v>2372</v>
      </c>
      <c r="AC425" s="124" t="s">
        <v>12</v>
      </c>
      <c r="AD425" s="110">
        <f>COUNTIF('KK1. Movies'!AI:AI,'TK 15661.Bản quyền phim '!F425)</f>
        <v>1</v>
      </c>
      <c r="AE425" s="110">
        <f>COUNTIF('KK2. Series'!AM:AM,'TK 15661.Bản quyền phim '!F425)</f>
        <v>0</v>
      </c>
      <c r="AF425" s="110">
        <f>COUNTIF('KK3. Kids'!AF:AF,'TK 15661.Bản quyền phim '!F425)</f>
        <v>0</v>
      </c>
      <c r="AG425" s="110"/>
      <c r="AH425" s="110" t="str">
        <f t="shared" si="55"/>
        <v>OK</v>
      </c>
    </row>
    <row r="426" spans="2:34" ht="15.6" hidden="1" x14ac:dyDescent="0.3">
      <c r="B426" s="108" t="s">
        <v>2522</v>
      </c>
      <c r="C426" s="94" t="s">
        <v>2412</v>
      </c>
      <c r="D426" s="94" t="s">
        <v>2419</v>
      </c>
      <c r="E426" s="94" t="s">
        <v>2418</v>
      </c>
      <c r="F426" s="94" t="s">
        <v>1841</v>
      </c>
      <c r="G426" s="94" t="s">
        <v>2417</v>
      </c>
      <c r="H426" s="119">
        <v>1</v>
      </c>
      <c r="I426" s="119">
        <v>2</v>
      </c>
      <c r="J426" s="119">
        <f t="shared" si="49"/>
        <v>2</v>
      </c>
      <c r="K426" s="119">
        <v>78516900</v>
      </c>
      <c r="L426" s="119">
        <v>39258450</v>
      </c>
      <c r="M426" s="119">
        <f t="shared" si="50"/>
        <v>2</v>
      </c>
      <c r="N426" s="119">
        <f t="shared" si="51"/>
        <v>78516900</v>
      </c>
      <c r="O426" s="120">
        <v>45799</v>
      </c>
      <c r="P426" s="120">
        <v>46528</v>
      </c>
      <c r="Q426" s="119">
        <v>0</v>
      </c>
      <c r="R426" s="121">
        <v>0</v>
      </c>
      <c r="S426" s="119">
        <v>2</v>
      </c>
      <c r="T426" s="121">
        <v>78516900</v>
      </c>
      <c r="U426" s="119">
        <v>1</v>
      </c>
      <c r="V426" s="121">
        <f t="shared" si="52"/>
        <v>39258450</v>
      </c>
      <c r="W426" s="119">
        <f t="shared" si="53"/>
        <v>1</v>
      </c>
      <c r="X426" s="121">
        <f t="shared" si="54"/>
        <v>39258450</v>
      </c>
      <c r="Y426" s="122" t="s">
        <v>2416</v>
      </c>
      <c r="Z426" s="123" t="s">
        <v>2407</v>
      </c>
      <c r="AA426" s="123" t="s">
        <v>2406</v>
      </c>
      <c r="AB426" s="123" t="s">
        <v>2372</v>
      </c>
      <c r="AC426" s="124" t="s">
        <v>12</v>
      </c>
      <c r="AD426" s="110">
        <f>COUNTIF('KK1. Movies'!AI:AI,'TK 15661.Bản quyền phim '!F426)</f>
        <v>1</v>
      </c>
      <c r="AE426" s="110">
        <f>COUNTIF('KK2. Series'!AM:AM,'TK 15661.Bản quyền phim '!F426)</f>
        <v>0</v>
      </c>
      <c r="AF426" s="110">
        <f>COUNTIF('KK3. Kids'!AF:AF,'TK 15661.Bản quyền phim '!F426)</f>
        <v>0</v>
      </c>
      <c r="AG426" s="110"/>
      <c r="AH426" s="110" t="str">
        <f t="shared" si="55"/>
        <v>OK</v>
      </c>
    </row>
    <row r="427" spans="2:34" ht="15.6" hidden="1" x14ac:dyDescent="0.3">
      <c r="B427" s="108" t="s">
        <v>2521</v>
      </c>
      <c r="C427" s="94" t="s">
        <v>2412</v>
      </c>
      <c r="D427" s="94" t="s">
        <v>2419</v>
      </c>
      <c r="E427" s="94" t="s">
        <v>2418</v>
      </c>
      <c r="F427" s="94" t="s">
        <v>1216</v>
      </c>
      <c r="G427" s="94" t="s">
        <v>2417</v>
      </c>
      <c r="H427" s="119">
        <v>1</v>
      </c>
      <c r="I427" s="119">
        <v>2</v>
      </c>
      <c r="J427" s="119">
        <f t="shared" si="49"/>
        <v>2</v>
      </c>
      <c r="K427" s="119">
        <v>78516900</v>
      </c>
      <c r="L427" s="119">
        <v>39258450</v>
      </c>
      <c r="M427" s="119">
        <f t="shared" si="50"/>
        <v>2</v>
      </c>
      <c r="N427" s="119">
        <f t="shared" si="51"/>
        <v>78516900</v>
      </c>
      <c r="O427" s="120">
        <v>46003</v>
      </c>
      <c r="P427" s="120">
        <v>46732</v>
      </c>
      <c r="Q427" s="119">
        <v>0</v>
      </c>
      <c r="R427" s="121">
        <v>0</v>
      </c>
      <c r="S427" s="119">
        <v>2</v>
      </c>
      <c r="T427" s="121">
        <v>78516900</v>
      </c>
      <c r="U427" s="119">
        <v>1</v>
      </c>
      <c r="V427" s="121">
        <f t="shared" si="52"/>
        <v>39258450</v>
      </c>
      <c r="W427" s="119">
        <f t="shared" si="53"/>
        <v>1</v>
      </c>
      <c r="X427" s="121">
        <f t="shared" si="54"/>
        <v>39258450</v>
      </c>
      <c r="Y427" s="122" t="s">
        <v>2416</v>
      </c>
      <c r="Z427" s="123" t="s">
        <v>2407</v>
      </c>
      <c r="AA427" s="123" t="s">
        <v>2406</v>
      </c>
      <c r="AB427" s="123" t="s">
        <v>2372</v>
      </c>
      <c r="AC427" s="124" t="s">
        <v>12</v>
      </c>
      <c r="AD427" s="110">
        <f>COUNTIF('KK1. Movies'!AI:AI,'TK 15661.Bản quyền phim '!F427)</f>
        <v>1</v>
      </c>
      <c r="AE427" s="110">
        <f>COUNTIF('KK2. Series'!AM:AM,'TK 15661.Bản quyền phim '!F427)</f>
        <v>0</v>
      </c>
      <c r="AF427" s="110">
        <f>COUNTIF('KK3. Kids'!AF:AF,'TK 15661.Bản quyền phim '!F427)</f>
        <v>0</v>
      </c>
      <c r="AG427" s="110"/>
      <c r="AH427" s="110" t="str">
        <f t="shared" si="55"/>
        <v>OK</v>
      </c>
    </row>
    <row r="428" spans="2:34" ht="15.6" hidden="1" x14ac:dyDescent="0.3">
      <c r="B428" s="108" t="s">
        <v>2520</v>
      </c>
      <c r="C428" s="94" t="s">
        <v>2412</v>
      </c>
      <c r="D428" s="94" t="s">
        <v>2419</v>
      </c>
      <c r="E428" s="94" t="s">
        <v>2418</v>
      </c>
      <c r="F428" s="94" t="s">
        <v>2060</v>
      </c>
      <c r="G428" s="94" t="s">
        <v>2417</v>
      </c>
      <c r="H428" s="119">
        <v>1</v>
      </c>
      <c r="I428" s="119">
        <v>2</v>
      </c>
      <c r="J428" s="119">
        <f t="shared" si="49"/>
        <v>2</v>
      </c>
      <c r="K428" s="119">
        <v>78516900</v>
      </c>
      <c r="L428" s="119">
        <v>39258450</v>
      </c>
      <c r="M428" s="119">
        <f t="shared" si="50"/>
        <v>2</v>
      </c>
      <c r="N428" s="119">
        <f t="shared" si="51"/>
        <v>78516900</v>
      </c>
      <c r="O428" s="120">
        <v>45758</v>
      </c>
      <c r="P428" s="120">
        <v>46487</v>
      </c>
      <c r="Q428" s="119">
        <v>0</v>
      </c>
      <c r="R428" s="121">
        <v>0</v>
      </c>
      <c r="S428" s="119">
        <v>2</v>
      </c>
      <c r="T428" s="121">
        <v>78516900</v>
      </c>
      <c r="U428" s="119">
        <v>1</v>
      </c>
      <c r="V428" s="121">
        <f t="shared" si="52"/>
        <v>39258450</v>
      </c>
      <c r="W428" s="119">
        <f t="shared" si="53"/>
        <v>1</v>
      </c>
      <c r="X428" s="121">
        <f t="shared" si="54"/>
        <v>39258450</v>
      </c>
      <c r="Y428" s="122" t="s">
        <v>2416</v>
      </c>
      <c r="Z428" s="123" t="s">
        <v>2407</v>
      </c>
      <c r="AA428" s="123" t="s">
        <v>2406</v>
      </c>
      <c r="AB428" s="123" t="s">
        <v>2372</v>
      </c>
      <c r="AC428" s="124" t="s">
        <v>12</v>
      </c>
      <c r="AD428" s="110">
        <f>COUNTIF('KK1. Movies'!AI:AI,'TK 15661.Bản quyền phim '!F428)</f>
        <v>1</v>
      </c>
      <c r="AE428" s="110">
        <f>COUNTIF('KK2. Series'!AM:AM,'TK 15661.Bản quyền phim '!F428)</f>
        <v>0</v>
      </c>
      <c r="AF428" s="110">
        <f>COUNTIF('KK3. Kids'!AF:AF,'TK 15661.Bản quyền phim '!F428)</f>
        <v>0</v>
      </c>
      <c r="AG428" s="110"/>
      <c r="AH428" s="110" t="str">
        <f t="shared" si="55"/>
        <v>OK</v>
      </c>
    </row>
    <row r="429" spans="2:34" ht="15.6" hidden="1" x14ac:dyDescent="0.3">
      <c r="B429" s="108" t="s">
        <v>2519</v>
      </c>
      <c r="C429" s="94" t="s">
        <v>2412</v>
      </c>
      <c r="D429" s="94" t="s">
        <v>2419</v>
      </c>
      <c r="E429" s="94" t="s">
        <v>2418</v>
      </c>
      <c r="F429" s="94" t="s">
        <v>1207</v>
      </c>
      <c r="G429" s="94" t="s">
        <v>2417</v>
      </c>
      <c r="H429" s="119">
        <v>1</v>
      </c>
      <c r="I429" s="119">
        <v>2</v>
      </c>
      <c r="J429" s="119">
        <f t="shared" si="49"/>
        <v>2</v>
      </c>
      <c r="K429" s="119">
        <v>78516900</v>
      </c>
      <c r="L429" s="119">
        <v>39258450</v>
      </c>
      <c r="M429" s="119">
        <f t="shared" si="50"/>
        <v>2</v>
      </c>
      <c r="N429" s="119">
        <f t="shared" si="51"/>
        <v>78516900</v>
      </c>
      <c r="O429" s="120">
        <v>46009</v>
      </c>
      <c r="P429" s="120">
        <v>46738</v>
      </c>
      <c r="Q429" s="119">
        <v>0</v>
      </c>
      <c r="R429" s="121">
        <v>0</v>
      </c>
      <c r="S429" s="119">
        <v>2</v>
      </c>
      <c r="T429" s="121">
        <v>78516900</v>
      </c>
      <c r="U429" s="119">
        <v>1</v>
      </c>
      <c r="V429" s="121">
        <f t="shared" si="52"/>
        <v>39258450</v>
      </c>
      <c r="W429" s="119">
        <f t="shared" si="53"/>
        <v>1</v>
      </c>
      <c r="X429" s="121">
        <f t="shared" si="54"/>
        <v>39258450</v>
      </c>
      <c r="Y429" s="122" t="s">
        <v>2416</v>
      </c>
      <c r="Z429" s="123" t="s">
        <v>2407</v>
      </c>
      <c r="AA429" s="123" t="s">
        <v>2406</v>
      </c>
      <c r="AB429" s="123" t="s">
        <v>2372</v>
      </c>
      <c r="AC429" s="124" t="s">
        <v>12</v>
      </c>
      <c r="AD429" s="110">
        <f>COUNTIF('KK1. Movies'!AI:AI,'TK 15661.Bản quyền phim '!F429)</f>
        <v>1</v>
      </c>
      <c r="AE429" s="110">
        <f>COUNTIF('KK2. Series'!AM:AM,'TK 15661.Bản quyền phim '!F429)</f>
        <v>0</v>
      </c>
      <c r="AF429" s="110">
        <f>COUNTIF('KK3. Kids'!AF:AF,'TK 15661.Bản quyền phim '!F429)</f>
        <v>0</v>
      </c>
      <c r="AG429" s="110"/>
      <c r="AH429" s="110" t="str">
        <f t="shared" si="55"/>
        <v>OK</v>
      </c>
    </row>
    <row r="430" spans="2:34" ht="15.6" hidden="1" x14ac:dyDescent="0.3">
      <c r="B430" s="108" t="s">
        <v>2518</v>
      </c>
      <c r="C430" s="94" t="s">
        <v>2412</v>
      </c>
      <c r="D430" s="94" t="s">
        <v>2419</v>
      </c>
      <c r="E430" s="94" t="s">
        <v>2418</v>
      </c>
      <c r="F430" s="94" t="s">
        <v>1257</v>
      </c>
      <c r="G430" s="94" t="s">
        <v>2417</v>
      </c>
      <c r="H430" s="119">
        <v>1</v>
      </c>
      <c r="I430" s="119">
        <v>2</v>
      </c>
      <c r="J430" s="119">
        <f t="shared" si="49"/>
        <v>2</v>
      </c>
      <c r="K430" s="119">
        <v>78516900</v>
      </c>
      <c r="L430" s="119">
        <v>39258450</v>
      </c>
      <c r="M430" s="119">
        <f t="shared" si="50"/>
        <v>2</v>
      </c>
      <c r="N430" s="119">
        <f t="shared" si="51"/>
        <v>78516900</v>
      </c>
      <c r="O430" s="120">
        <v>45925</v>
      </c>
      <c r="P430" s="120">
        <v>46654</v>
      </c>
      <c r="Q430" s="119">
        <v>0</v>
      </c>
      <c r="R430" s="121">
        <v>0</v>
      </c>
      <c r="S430" s="119">
        <v>2</v>
      </c>
      <c r="T430" s="121">
        <v>78516900</v>
      </c>
      <c r="U430" s="119">
        <v>1</v>
      </c>
      <c r="V430" s="121">
        <f t="shared" si="52"/>
        <v>39258450</v>
      </c>
      <c r="W430" s="119">
        <f t="shared" si="53"/>
        <v>1</v>
      </c>
      <c r="X430" s="121">
        <f t="shared" si="54"/>
        <v>39258450</v>
      </c>
      <c r="Y430" s="122" t="s">
        <v>2416</v>
      </c>
      <c r="Z430" s="123" t="s">
        <v>2407</v>
      </c>
      <c r="AA430" s="123" t="s">
        <v>2406</v>
      </c>
      <c r="AB430" s="123" t="s">
        <v>2372</v>
      </c>
      <c r="AC430" s="124" t="s">
        <v>12</v>
      </c>
      <c r="AD430" s="110">
        <f>COUNTIF('KK1. Movies'!AI:AI,'TK 15661.Bản quyền phim '!F430)</f>
        <v>1</v>
      </c>
      <c r="AE430" s="110">
        <f>COUNTIF('KK2. Series'!AM:AM,'TK 15661.Bản quyền phim '!F430)</f>
        <v>0</v>
      </c>
      <c r="AF430" s="110">
        <f>COUNTIF('KK3. Kids'!AF:AF,'TK 15661.Bản quyền phim '!F430)</f>
        <v>0</v>
      </c>
      <c r="AG430" s="110"/>
      <c r="AH430" s="110" t="str">
        <f t="shared" si="55"/>
        <v>OK</v>
      </c>
    </row>
    <row r="431" spans="2:34" ht="15.6" hidden="1" x14ac:dyDescent="0.3">
      <c r="B431" s="108" t="s">
        <v>2517</v>
      </c>
      <c r="C431" s="94" t="s">
        <v>2412</v>
      </c>
      <c r="D431" s="94" t="s">
        <v>2419</v>
      </c>
      <c r="E431" s="94" t="s">
        <v>2418</v>
      </c>
      <c r="F431" s="94" t="s">
        <v>1234</v>
      </c>
      <c r="G431" s="94" t="s">
        <v>2417</v>
      </c>
      <c r="H431" s="119">
        <v>1</v>
      </c>
      <c r="I431" s="119">
        <v>2</v>
      </c>
      <c r="J431" s="119">
        <f t="shared" si="49"/>
        <v>2</v>
      </c>
      <c r="K431" s="119">
        <v>78516900</v>
      </c>
      <c r="L431" s="119">
        <v>39258450</v>
      </c>
      <c r="M431" s="119">
        <f t="shared" si="50"/>
        <v>2</v>
      </c>
      <c r="N431" s="119">
        <f t="shared" si="51"/>
        <v>78516900</v>
      </c>
      <c r="O431" s="120">
        <v>45959</v>
      </c>
      <c r="P431" s="120">
        <v>46688</v>
      </c>
      <c r="Q431" s="119">
        <v>0</v>
      </c>
      <c r="R431" s="121">
        <v>0</v>
      </c>
      <c r="S431" s="119">
        <v>2</v>
      </c>
      <c r="T431" s="121">
        <v>78516900</v>
      </c>
      <c r="U431" s="119">
        <v>1</v>
      </c>
      <c r="V431" s="121">
        <f t="shared" si="52"/>
        <v>39258450</v>
      </c>
      <c r="W431" s="119">
        <f t="shared" si="53"/>
        <v>1</v>
      </c>
      <c r="X431" s="121">
        <f t="shared" si="54"/>
        <v>39258450</v>
      </c>
      <c r="Y431" s="122" t="s">
        <v>2416</v>
      </c>
      <c r="Z431" s="123" t="s">
        <v>2407</v>
      </c>
      <c r="AA431" s="123" t="s">
        <v>2406</v>
      </c>
      <c r="AB431" s="123" t="s">
        <v>2372</v>
      </c>
      <c r="AC431" s="124" t="s">
        <v>12</v>
      </c>
      <c r="AD431" s="110">
        <f>COUNTIF('KK1. Movies'!AI:AI,'TK 15661.Bản quyền phim '!F431)</f>
        <v>1</v>
      </c>
      <c r="AE431" s="110">
        <f>COUNTIF('KK2. Series'!AM:AM,'TK 15661.Bản quyền phim '!F431)</f>
        <v>0</v>
      </c>
      <c r="AF431" s="110">
        <f>COUNTIF('KK3. Kids'!AF:AF,'TK 15661.Bản quyền phim '!F431)</f>
        <v>0</v>
      </c>
      <c r="AG431" s="110"/>
      <c r="AH431" s="110" t="str">
        <f t="shared" si="55"/>
        <v>OK</v>
      </c>
    </row>
    <row r="432" spans="2:34" ht="15.6" hidden="1" x14ac:dyDescent="0.3">
      <c r="B432" s="108" t="s">
        <v>2516</v>
      </c>
      <c r="C432" s="94" t="s">
        <v>2412</v>
      </c>
      <c r="D432" s="94" t="s">
        <v>2419</v>
      </c>
      <c r="E432" s="94" t="s">
        <v>2418</v>
      </c>
      <c r="F432" s="94" t="s">
        <v>2023</v>
      </c>
      <c r="G432" s="94" t="s">
        <v>2417</v>
      </c>
      <c r="H432" s="119">
        <v>1</v>
      </c>
      <c r="I432" s="119">
        <v>2</v>
      </c>
      <c r="J432" s="119">
        <f t="shared" si="49"/>
        <v>2</v>
      </c>
      <c r="K432" s="119">
        <v>78516900</v>
      </c>
      <c r="L432" s="119">
        <v>39258450</v>
      </c>
      <c r="M432" s="119">
        <f t="shared" si="50"/>
        <v>2</v>
      </c>
      <c r="N432" s="119">
        <f t="shared" si="51"/>
        <v>78516900</v>
      </c>
      <c r="O432" s="120">
        <v>45778</v>
      </c>
      <c r="P432" s="120">
        <v>46507</v>
      </c>
      <c r="Q432" s="119">
        <v>0</v>
      </c>
      <c r="R432" s="121">
        <v>0</v>
      </c>
      <c r="S432" s="119">
        <v>2</v>
      </c>
      <c r="T432" s="121">
        <v>78516900</v>
      </c>
      <c r="U432" s="119">
        <v>1</v>
      </c>
      <c r="V432" s="121">
        <f t="shared" si="52"/>
        <v>39258450</v>
      </c>
      <c r="W432" s="119">
        <f t="shared" si="53"/>
        <v>1</v>
      </c>
      <c r="X432" s="121">
        <f t="shared" si="54"/>
        <v>39258450</v>
      </c>
      <c r="Y432" s="122" t="s">
        <v>2416</v>
      </c>
      <c r="Z432" s="123" t="s">
        <v>2407</v>
      </c>
      <c r="AA432" s="123" t="s">
        <v>2406</v>
      </c>
      <c r="AB432" s="123" t="s">
        <v>2372</v>
      </c>
      <c r="AC432" s="124" t="s">
        <v>12</v>
      </c>
      <c r="AD432" s="110">
        <f>COUNTIF('KK1. Movies'!AI:AI,'TK 15661.Bản quyền phim '!F432)</f>
        <v>1</v>
      </c>
      <c r="AE432" s="110">
        <f>COUNTIF('KK2. Series'!AM:AM,'TK 15661.Bản quyền phim '!F432)</f>
        <v>0</v>
      </c>
      <c r="AF432" s="110">
        <f>COUNTIF('KK3. Kids'!AF:AF,'TK 15661.Bản quyền phim '!F432)</f>
        <v>0</v>
      </c>
      <c r="AG432" s="110"/>
      <c r="AH432" s="110" t="str">
        <f t="shared" si="55"/>
        <v>OK</v>
      </c>
    </row>
    <row r="433" spans="1:34" ht="15.6" hidden="1" x14ac:dyDescent="0.3">
      <c r="B433" s="108" t="s">
        <v>2515</v>
      </c>
      <c r="C433" s="94" t="s">
        <v>2412</v>
      </c>
      <c r="D433" s="94" t="s">
        <v>2419</v>
      </c>
      <c r="E433" s="94" t="s">
        <v>2418</v>
      </c>
      <c r="F433" s="94" t="s">
        <v>1253</v>
      </c>
      <c r="G433" s="94" t="s">
        <v>2417</v>
      </c>
      <c r="H433" s="119">
        <v>1</v>
      </c>
      <c r="I433" s="119">
        <v>2</v>
      </c>
      <c r="J433" s="119">
        <f t="shared" si="49"/>
        <v>2</v>
      </c>
      <c r="K433" s="119">
        <v>187525800</v>
      </c>
      <c r="L433" s="119">
        <v>93762900</v>
      </c>
      <c r="M433" s="119">
        <f t="shared" si="50"/>
        <v>2</v>
      </c>
      <c r="N433" s="119">
        <f t="shared" si="51"/>
        <v>187525800</v>
      </c>
      <c r="O433" s="120">
        <v>45926</v>
      </c>
      <c r="P433" s="120">
        <v>46655</v>
      </c>
      <c r="Q433" s="119">
        <v>0</v>
      </c>
      <c r="R433" s="121">
        <v>0</v>
      </c>
      <c r="S433" s="119">
        <v>2</v>
      </c>
      <c r="T433" s="121">
        <v>187525800</v>
      </c>
      <c r="U433" s="119">
        <v>1</v>
      </c>
      <c r="V433" s="121">
        <f t="shared" si="52"/>
        <v>93762900</v>
      </c>
      <c r="W433" s="119">
        <f t="shared" si="53"/>
        <v>1</v>
      </c>
      <c r="X433" s="121">
        <f t="shared" si="54"/>
        <v>93762900</v>
      </c>
      <c r="Y433" s="122" t="s">
        <v>2416</v>
      </c>
      <c r="Z433" s="123" t="s">
        <v>2407</v>
      </c>
      <c r="AA433" s="123" t="s">
        <v>2406</v>
      </c>
      <c r="AB433" s="123" t="s">
        <v>2372</v>
      </c>
      <c r="AC433" s="124" t="s">
        <v>12</v>
      </c>
      <c r="AD433" s="110">
        <f>COUNTIF('KK1. Movies'!AI:AI,'TK 15661.Bản quyền phim '!F433)</f>
        <v>1</v>
      </c>
      <c r="AE433" s="110">
        <f>COUNTIF('KK2. Series'!AM:AM,'TK 15661.Bản quyền phim '!F433)</f>
        <v>0</v>
      </c>
      <c r="AF433" s="110">
        <f>COUNTIF('KK3. Kids'!AF:AF,'TK 15661.Bản quyền phim '!F433)</f>
        <v>0</v>
      </c>
      <c r="AG433" s="110"/>
      <c r="AH433" s="110" t="str">
        <f t="shared" si="55"/>
        <v>OK</v>
      </c>
    </row>
    <row r="434" spans="1:34" ht="15.6" hidden="1" x14ac:dyDescent="0.3">
      <c r="B434" s="108" t="s">
        <v>2514</v>
      </c>
      <c r="C434" s="94" t="s">
        <v>2412</v>
      </c>
      <c r="D434" s="94" t="s">
        <v>2419</v>
      </c>
      <c r="E434" s="94" t="s">
        <v>2418</v>
      </c>
      <c r="F434" s="94" t="s">
        <v>1273</v>
      </c>
      <c r="G434" s="94" t="s">
        <v>2417</v>
      </c>
      <c r="H434" s="119">
        <v>1</v>
      </c>
      <c r="I434" s="119">
        <v>2</v>
      </c>
      <c r="J434" s="119">
        <f t="shared" si="49"/>
        <v>2</v>
      </c>
      <c r="K434" s="119">
        <v>187525800</v>
      </c>
      <c r="L434" s="119">
        <v>93762900</v>
      </c>
      <c r="M434" s="119">
        <f t="shared" si="50"/>
        <v>2</v>
      </c>
      <c r="N434" s="119">
        <f t="shared" si="51"/>
        <v>187525800</v>
      </c>
      <c r="O434" s="120">
        <v>45892</v>
      </c>
      <c r="P434" s="120">
        <v>46621</v>
      </c>
      <c r="Q434" s="119">
        <v>0</v>
      </c>
      <c r="R434" s="121">
        <v>0</v>
      </c>
      <c r="S434" s="119">
        <v>2</v>
      </c>
      <c r="T434" s="121">
        <v>187525800</v>
      </c>
      <c r="U434" s="119">
        <v>1</v>
      </c>
      <c r="V434" s="121">
        <f t="shared" si="52"/>
        <v>93762900</v>
      </c>
      <c r="W434" s="119">
        <f t="shared" si="53"/>
        <v>1</v>
      </c>
      <c r="X434" s="121">
        <f t="shared" si="54"/>
        <v>93762900</v>
      </c>
      <c r="Y434" s="122" t="s">
        <v>2416</v>
      </c>
      <c r="Z434" s="123" t="s">
        <v>2407</v>
      </c>
      <c r="AA434" s="123" t="s">
        <v>2406</v>
      </c>
      <c r="AB434" s="123" t="s">
        <v>2372</v>
      </c>
      <c r="AC434" s="124" t="s">
        <v>12</v>
      </c>
      <c r="AD434" s="110">
        <f>COUNTIF('KK1. Movies'!AI:AI,'TK 15661.Bản quyền phim '!F434)</f>
        <v>1</v>
      </c>
      <c r="AE434" s="110">
        <f>COUNTIF('KK2. Series'!AM:AM,'TK 15661.Bản quyền phim '!F434)</f>
        <v>0</v>
      </c>
      <c r="AF434" s="110">
        <f>COUNTIF('KK3. Kids'!AF:AF,'TK 15661.Bản quyền phim '!F434)</f>
        <v>0</v>
      </c>
      <c r="AG434" s="110"/>
      <c r="AH434" s="110" t="str">
        <f t="shared" si="55"/>
        <v>OK</v>
      </c>
    </row>
    <row r="435" spans="1:34" ht="15.6" hidden="1" x14ac:dyDescent="0.3">
      <c r="B435" s="108" t="s">
        <v>2513</v>
      </c>
      <c r="C435" s="94" t="s">
        <v>2412</v>
      </c>
      <c r="D435" s="94" t="s">
        <v>2419</v>
      </c>
      <c r="E435" s="94" t="s">
        <v>2418</v>
      </c>
      <c r="F435" s="94" t="s">
        <v>1998</v>
      </c>
      <c r="G435" s="94" t="s">
        <v>2417</v>
      </c>
      <c r="H435" s="119">
        <v>1</v>
      </c>
      <c r="I435" s="119">
        <v>2</v>
      </c>
      <c r="J435" s="119">
        <f t="shared" si="49"/>
        <v>2</v>
      </c>
      <c r="K435" s="119">
        <v>113582700</v>
      </c>
      <c r="L435" s="119">
        <v>56791350</v>
      </c>
      <c r="M435" s="119">
        <f t="shared" si="50"/>
        <v>2</v>
      </c>
      <c r="N435" s="119">
        <f t="shared" si="51"/>
        <v>113582700</v>
      </c>
      <c r="O435" s="120">
        <v>45685</v>
      </c>
      <c r="P435" s="120">
        <v>46414</v>
      </c>
      <c r="Q435" s="119">
        <v>0</v>
      </c>
      <c r="R435" s="121">
        <v>0</v>
      </c>
      <c r="S435" s="119">
        <v>2</v>
      </c>
      <c r="T435" s="121">
        <v>113582700</v>
      </c>
      <c r="U435" s="119">
        <v>1</v>
      </c>
      <c r="V435" s="121">
        <f t="shared" si="52"/>
        <v>56791350</v>
      </c>
      <c r="W435" s="119">
        <f t="shared" si="53"/>
        <v>1</v>
      </c>
      <c r="X435" s="121">
        <f t="shared" si="54"/>
        <v>56791350</v>
      </c>
      <c r="Y435" s="122" t="s">
        <v>2416</v>
      </c>
      <c r="Z435" s="123" t="s">
        <v>2407</v>
      </c>
      <c r="AA435" s="123" t="s">
        <v>2406</v>
      </c>
      <c r="AB435" s="123" t="s">
        <v>2372</v>
      </c>
      <c r="AC435" s="124" t="s">
        <v>12</v>
      </c>
      <c r="AD435" s="110">
        <f>COUNTIF('KK1. Movies'!AI:AI,'TK 15661.Bản quyền phim '!F435)</f>
        <v>1</v>
      </c>
      <c r="AE435" s="110">
        <f>COUNTIF('KK2. Series'!AM:AM,'TK 15661.Bản quyền phim '!F435)</f>
        <v>0</v>
      </c>
      <c r="AF435" s="110">
        <f>COUNTIF('KK3. Kids'!AF:AF,'TK 15661.Bản quyền phim '!F435)</f>
        <v>0</v>
      </c>
      <c r="AG435" s="110"/>
      <c r="AH435" s="110" t="str">
        <f t="shared" si="55"/>
        <v>OK</v>
      </c>
    </row>
    <row r="436" spans="1:34" ht="15.6" hidden="1" x14ac:dyDescent="0.3">
      <c r="B436" s="108" t="s">
        <v>2512</v>
      </c>
      <c r="C436" s="94" t="s">
        <v>2412</v>
      </c>
      <c r="D436" s="94" t="s">
        <v>2419</v>
      </c>
      <c r="E436" s="94" t="s">
        <v>2418</v>
      </c>
      <c r="F436" s="94" t="s">
        <v>1556</v>
      </c>
      <c r="G436" s="94" t="s">
        <v>2417</v>
      </c>
      <c r="H436" s="119">
        <v>1</v>
      </c>
      <c r="I436" s="119">
        <v>2</v>
      </c>
      <c r="J436" s="119">
        <f t="shared" si="49"/>
        <v>2</v>
      </c>
      <c r="K436" s="119">
        <v>113582700</v>
      </c>
      <c r="L436" s="119">
        <v>56791350</v>
      </c>
      <c r="M436" s="119">
        <f t="shared" si="50"/>
        <v>2</v>
      </c>
      <c r="N436" s="119">
        <f t="shared" si="51"/>
        <v>113582700</v>
      </c>
      <c r="O436" s="120">
        <v>45815</v>
      </c>
      <c r="P436" s="120">
        <v>46544</v>
      </c>
      <c r="Q436" s="119">
        <v>0</v>
      </c>
      <c r="R436" s="121">
        <v>0</v>
      </c>
      <c r="S436" s="119">
        <v>2</v>
      </c>
      <c r="T436" s="121">
        <v>113582700</v>
      </c>
      <c r="U436" s="119">
        <v>1</v>
      </c>
      <c r="V436" s="121">
        <f t="shared" si="52"/>
        <v>56791350</v>
      </c>
      <c r="W436" s="119">
        <f t="shared" si="53"/>
        <v>1</v>
      </c>
      <c r="X436" s="121">
        <f t="shared" si="54"/>
        <v>56791350</v>
      </c>
      <c r="Y436" s="122" t="s">
        <v>2416</v>
      </c>
      <c r="Z436" s="123" t="s">
        <v>2407</v>
      </c>
      <c r="AA436" s="123" t="s">
        <v>2406</v>
      </c>
      <c r="AB436" s="123" t="s">
        <v>2372</v>
      </c>
      <c r="AC436" s="124" t="s">
        <v>12</v>
      </c>
      <c r="AD436" s="110">
        <f>COUNTIF('KK1. Movies'!AI:AI,'TK 15661.Bản quyền phim '!F436)</f>
        <v>1</v>
      </c>
      <c r="AE436" s="110">
        <f>COUNTIF('KK2. Series'!AM:AM,'TK 15661.Bản quyền phim '!F436)</f>
        <v>0</v>
      </c>
      <c r="AF436" s="110">
        <f>COUNTIF('KK3. Kids'!AF:AF,'TK 15661.Bản quyền phim '!F436)</f>
        <v>0</v>
      </c>
      <c r="AG436" s="110"/>
      <c r="AH436" s="110" t="str">
        <f t="shared" si="55"/>
        <v>OK</v>
      </c>
    </row>
    <row r="437" spans="1:34" ht="15.6" hidden="1" x14ac:dyDescent="0.3">
      <c r="B437" s="108" t="s">
        <v>2511</v>
      </c>
      <c r="C437" s="94" t="s">
        <v>2412</v>
      </c>
      <c r="D437" s="94" t="s">
        <v>2419</v>
      </c>
      <c r="E437" s="94" t="s">
        <v>2418</v>
      </c>
      <c r="F437" s="94" t="s">
        <v>1212</v>
      </c>
      <c r="G437" s="94" t="s">
        <v>2417</v>
      </c>
      <c r="H437" s="119">
        <v>1</v>
      </c>
      <c r="I437" s="119">
        <v>2</v>
      </c>
      <c r="J437" s="119">
        <f t="shared" si="49"/>
        <v>2</v>
      </c>
      <c r="K437" s="119">
        <v>113582700</v>
      </c>
      <c r="L437" s="119">
        <v>56791350</v>
      </c>
      <c r="M437" s="119">
        <f t="shared" si="50"/>
        <v>2</v>
      </c>
      <c r="N437" s="119">
        <f t="shared" si="51"/>
        <v>113582700</v>
      </c>
      <c r="O437" s="120">
        <v>46003</v>
      </c>
      <c r="P437" s="120">
        <v>46732</v>
      </c>
      <c r="Q437" s="119">
        <v>0</v>
      </c>
      <c r="R437" s="121">
        <v>0</v>
      </c>
      <c r="S437" s="119">
        <v>2</v>
      </c>
      <c r="T437" s="121">
        <v>113582700</v>
      </c>
      <c r="U437" s="119">
        <v>1</v>
      </c>
      <c r="V437" s="121">
        <f t="shared" si="52"/>
        <v>56791350</v>
      </c>
      <c r="W437" s="119">
        <f t="shared" si="53"/>
        <v>1</v>
      </c>
      <c r="X437" s="121">
        <f t="shared" si="54"/>
        <v>56791350</v>
      </c>
      <c r="Y437" s="122" t="s">
        <v>2416</v>
      </c>
      <c r="Z437" s="123" t="s">
        <v>2407</v>
      </c>
      <c r="AA437" s="123" t="s">
        <v>2406</v>
      </c>
      <c r="AB437" s="123" t="s">
        <v>2372</v>
      </c>
      <c r="AC437" s="124" t="s">
        <v>12</v>
      </c>
      <c r="AD437" s="110">
        <f>COUNTIF('KK1. Movies'!AI:AI,'TK 15661.Bản quyền phim '!F437)</f>
        <v>1</v>
      </c>
      <c r="AE437" s="110">
        <f>COUNTIF('KK2. Series'!AM:AM,'TK 15661.Bản quyền phim '!F437)</f>
        <v>0</v>
      </c>
      <c r="AF437" s="110">
        <f>COUNTIF('KK3. Kids'!AF:AF,'TK 15661.Bản quyền phim '!F437)</f>
        <v>0</v>
      </c>
      <c r="AG437" s="110"/>
      <c r="AH437" s="110" t="str">
        <f t="shared" si="55"/>
        <v>OK</v>
      </c>
    </row>
    <row r="438" spans="1:34" ht="15.6" hidden="1" x14ac:dyDescent="0.3">
      <c r="B438" s="108" t="s">
        <v>2510</v>
      </c>
      <c r="C438" s="94" t="s">
        <v>2412</v>
      </c>
      <c r="D438" s="94" t="s">
        <v>2419</v>
      </c>
      <c r="E438" s="94" t="s">
        <v>2418</v>
      </c>
      <c r="F438" s="94" t="s">
        <v>1223</v>
      </c>
      <c r="G438" s="94" t="s">
        <v>2417</v>
      </c>
      <c r="H438" s="119">
        <v>1</v>
      </c>
      <c r="I438" s="119">
        <v>2</v>
      </c>
      <c r="J438" s="119">
        <f t="shared" si="49"/>
        <v>2</v>
      </c>
      <c r="K438" s="119">
        <v>113582700</v>
      </c>
      <c r="L438" s="119">
        <v>56791350</v>
      </c>
      <c r="M438" s="119">
        <f t="shared" si="50"/>
        <v>2</v>
      </c>
      <c r="N438" s="119">
        <f t="shared" si="51"/>
        <v>113582700</v>
      </c>
      <c r="O438" s="120">
        <v>45969</v>
      </c>
      <c r="P438" s="120">
        <v>46698</v>
      </c>
      <c r="Q438" s="119">
        <v>0</v>
      </c>
      <c r="R438" s="121">
        <v>0</v>
      </c>
      <c r="S438" s="119">
        <v>2</v>
      </c>
      <c r="T438" s="121">
        <v>113582700</v>
      </c>
      <c r="U438" s="119">
        <v>1</v>
      </c>
      <c r="V438" s="121">
        <f t="shared" si="52"/>
        <v>56791350</v>
      </c>
      <c r="W438" s="119">
        <f t="shared" si="53"/>
        <v>1</v>
      </c>
      <c r="X438" s="121">
        <f t="shared" si="54"/>
        <v>56791350</v>
      </c>
      <c r="Y438" s="122" t="s">
        <v>2416</v>
      </c>
      <c r="Z438" s="123" t="s">
        <v>2407</v>
      </c>
      <c r="AA438" s="123" t="s">
        <v>2406</v>
      </c>
      <c r="AB438" s="123" t="s">
        <v>2372</v>
      </c>
      <c r="AC438" s="124" t="s">
        <v>12</v>
      </c>
      <c r="AD438" s="110">
        <f>COUNTIF('KK1. Movies'!AI:AI,'TK 15661.Bản quyền phim '!F438)</f>
        <v>1</v>
      </c>
      <c r="AE438" s="110">
        <f>COUNTIF('KK2. Series'!AM:AM,'TK 15661.Bản quyền phim '!F438)</f>
        <v>0</v>
      </c>
      <c r="AF438" s="110">
        <f>COUNTIF('KK3. Kids'!AF:AF,'TK 15661.Bản quyền phim '!F438)</f>
        <v>0</v>
      </c>
      <c r="AG438" s="110"/>
      <c r="AH438" s="110" t="str">
        <f t="shared" si="55"/>
        <v>OK</v>
      </c>
    </row>
    <row r="439" spans="1:34" ht="15.6" hidden="1" x14ac:dyDescent="0.3">
      <c r="B439" s="108" t="s">
        <v>2509</v>
      </c>
      <c r="C439" s="94" t="s">
        <v>2412</v>
      </c>
      <c r="D439" s="94" t="s">
        <v>2419</v>
      </c>
      <c r="E439" s="94" t="s">
        <v>2418</v>
      </c>
      <c r="F439" s="94" t="s">
        <v>1276</v>
      </c>
      <c r="G439" s="94" t="s">
        <v>2417</v>
      </c>
      <c r="H439" s="119">
        <v>1</v>
      </c>
      <c r="I439" s="119">
        <v>2</v>
      </c>
      <c r="J439" s="119">
        <f t="shared" si="49"/>
        <v>2</v>
      </c>
      <c r="K439" s="119">
        <v>85377600</v>
      </c>
      <c r="L439" s="119">
        <v>42688800</v>
      </c>
      <c r="M439" s="119">
        <f t="shared" si="50"/>
        <v>2</v>
      </c>
      <c r="N439" s="119">
        <f t="shared" si="51"/>
        <v>85377600</v>
      </c>
      <c r="O439" s="120">
        <v>45891</v>
      </c>
      <c r="P439" s="120">
        <v>46528</v>
      </c>
      <c r="Q439" s="119">
        <v>0</v>
      </c>
      <c r="R439" s="121">
        <v>0</v>
      </c>
      <c r="S439" s="119">
        <v>2</v>
      </c>
      <c r="T439" s="121">
        <v>85377600</v>
      </c>
      <c r="U439" s="119">
        <v>1</v>
      </c>
      <c r="V439" s="121">
        <f t="shared" si="52"/>
        <v>42688800</v>
      </c>
      <c r="W439" s="119">
        <f t="shared" si="53"/>
        <v>1</v>
      </c>
      <c r="X439" s="121">
        <f t="shared" si="54"/>
        <v>42688800</v>
      </c>
      <c r="Y439" s="122" t="s">
        <v>2416</v>
      </c>
      <c r="Z439" s="123" t="s">
        <v>2407</v>
      </c>
      <c r="AA439" s="123" t="s">
        <v>2406</v>
      </c>
      <c r="AB439" s="123" t="s">
        <v>2372</v>
      </c>
      <c r="AC439" s="124" t="s">
        <v>12</v>
      </c>
      <c r="AD439" s="110">
        <f>COUNTIF('KK1. Movies'!AI:AI,'TK 15661.Bản quyền phim '!F439)</f>
        <v>1</v>
      </c>
      <c r="AE439" s="110">
        <f>COUNTIF('KK2. Series'!AM:AM,'TK 15661.Bản quyền phim '!F439)</f>
        <v>0</v>
      </c>
      <c r="AF439" s="110">
        <f>COUNTIF('KK3. Kids'!AF:AF,'TK 15661.Bản quyền phim '!F439)</f>
        <v>0</v>
      </c>
      <c r="AG439" s="110"/>
      <c r="AH439" s="110" t="str">
        <f t="shared" si="55"/>
        <v>OK</v>
      </c>
    </row>
    <row r="440" spans="1:34" ht="15.6" hidden="1" x14ac:dyDescent="0.3">
      <c r="B440" s="108" t="s">
        <v>2508</v>
      </c>
      <c r="C440" s="94" t="s">
        <v>2412</v>
      </c>
      <c r="D440" s="94" t="s">
        <v>2419</v>
      </c>
      <c r="E440" s="94" t="s">
        <v>2418</v>
      </c>
      <c r="F440" s="94" t="s">
        <v>1262</v>
      </c>
      <c r="G440" s="94" t="s">
        <v>2417</v>
      </c>
      <c r="H440" s="119">
        <v>1</v>
      </c>
      <c r="I440" s="119">
        <v>2</v>
      </c>
      <c r="J440" s="119">
        <f t="shared" si="49"/>
        <v>2</v>
      </c>
      <c r="K440" s="119">
        <v>85377600</v>
      </c>
      <c r="L440" s="119">
        <v>42688800</v>
      </c>
      <c r="M440" s="119">
        <f t="shared" si="50"/>
        <v>2</v>
      </c>
      <c r="N440" s="119">
        <f t="shared" si="51"/>
        <v>85377600</v>
      </c>
      <c r="O440" s="120">
        <v>45912</v>
      </c>
      <c r="P440" s="120">
        <v>46549</v>
      </c>
      <c r="Q440" s="119">
        <v>0</v>
      </c>
      <c r="R440" s="121">
        <v>0</v>
      </c>
      <c r="S440" s="119">
        <v>2</v>
      </c>
      <c r="T440" s="121">
        <v>85377600</v>
      </c>
      <c r="U440" s="119">
        <v>1</v>
      </c>
      <c r="V440" s="121">
        <f t="shared" si="52"/>
        <v>42688800</v>
      </c>
      <c r="W440" s="119">
        <f t="shared" si="53"/>
        <v>1</v>
      </c>
      <c r="X440" s="121">
        <f t="shared" si="54"/>
        <v>42688800</v>
      </c>
      <c r="Y440" s="122" t="s">
        <v>2416</v>
      </c>
      <c r="Z440" s="123" t="s">
        <v>2407</v>
      </c>
      <c r="AA440" s="123" t="s">
        <v>2406</v>
      </c>
      <c r="AB440" s="123" t="s">
        <v>2372</v>
      </c>
      <c r="AC440" s="124" t="s">
        <v>12</v>
      </c>
      <c r="AD440" s="110">
        <f>COUNTIF('KK1. Movies'!AI:AI,'TK 15661.Bản quyền phim '!F440)</f>
        <v>1</v>
      </c>
      <c r="AE440" s="110">
        <f>COUNTIF('KK2. Series'!AM:AM,'TK 15661.Bản quyền phim '!F440)</f>
        <v>0</v>
      </c>
      <c r="AF440" s="110">
        <f>COUNTIF('KK3. Kids'!AF:AF,'TK 15661.Bản quyền phim '!F440)</f>
        <v>0</v>
      </c>
      <c r="AG440" s="110"/>
      <c r="AH440" s="110" t="str">
        <f t="shared" si="55"/>
        <v>OK</v>
      </c>
    </row>
    <row r="441" spans="1:34" ht="15.6" hidden="1" x14ac:dyDescent="0.3">
      <c r="B441" s="108" t="s">
        <v>2507</v>
      </c>
      <c r="C441" s="94" t="s">
        <v>2412</v>
      </c>
      <c r="D441" s="94" t="s">
        <v>2419</v>
      </c>
      <c r="E441" s="94" t="s">
        <v>2418</v>
      </c>
      <c r="F441" s="94" t="s">
        <v>1280</v>
      </c>
      <c r="G441" s="94" t="s">
        <v>2417</v>
      </c>
      <c r="H441" s="119">
        <v>1</v>
      </c>
      <c r="I441" s="119">
        <v>2</v>
      </c>
      <c r="J441" s="119">
        <f t="shared" si="49"/>
        <v>2</v>
      </c>
      <c r="K441" s="119">
        <v>85377600</v>
      </c>
      <c r="L441" s="119">
        <v>42688800</v>
      </c>
      <c r="M441" s="119">
        <f t="shared" si="50"/>
        <v>2</v>
      </c>
      <c r="N441" s="119">
        <f t="shared" si="51"/>
        <v>85377600</v>
      </c>
      <c r="O441" s="120">
        <v>45809</v>
      </c>
      <c r="P441" s="120">
        <v>46446</v>
      </c>
      <c r="Q441" s="119">
        <v>0</v>
      </c>
      <c r="R441" s="121">
        <v>0</v>
      </c>
      <c r="S441" s="119">
        <v>2</v>
      </c>
      <c r="T441" s="121">
        <v>85377600</v>
      </c>
      <c r="U441" s="119">
        <v>1</v>
      </c>
      <c r="V441" s="121">
        <f t="shared" si="52"/>
        <v>42688800</v>
      </c>
      <c r="W441" s="119">
        <f t="shared" si="53"/>
        <v>1</v>
      </c>
      <c r="X441" s="121">
        <f t="shared" si="54"/>
        <v>42688800</v>
      </c>
      <c r="Y441" s="122" t="s">
        <v>2416</v>
      </c>
      <c r="Z441" s="123" t="s">
        <v>2407</v>
      </c>
      <c r="AA441" s="123" t="s">
        <v>2406</v>
      </c>
      <c r="AB441" s="123" t="s">
        <v>2372</v>
      </c>
      <c r="AC441" s="124" t="s">
        <v>12</v>
      </c>
      <c r="AD441" s="110">
        <f>COUNTIF('KK1. Movies'!AI:AI,'TK 15661.Bản quyền phim '!F441)</f>
        <v>1</v>
      </c>
      <c r="AE441" s="110">
        <f>COUNTIF('KK2. Series'!AM:AM,'TK 15661.Bản quyền phim '!F441)</f>
        <v>0</v>
      </c>
      <c r="AF441" s="110">
        <f>COUNTIF('KK3. Kids'!AF:AF,'TK 15661.Bản quyền phim '!F441)</f>
        <v>0</v>
      </c>
      <c r="AG441" s="110"/>
      <c r="AH441" s="110" t="str">
        <f t="shared" si="55"/>
        <v>OK</v>
      </c>
    </row>
    <row r="442" spans="1:34" ht="15.6" hidden="1" x14ac:dyDescent="0.3">
      <c r="B442" s="108" t="s">
        <v>2506</v>
      </c>
      <c r="C442" s="94" t="s">
        <v>2412</v>
      </c>
      <c r="D442" s="94" t="s">
        <v>2419</v>
      </c>
      <c r="E442" s="94" t="s">
        <v>2418</v>
      </c>
      <c r="F442" s="94" t="s">
        <v>1540</v>
      </c>
      <c r="G442" s="94" t="s">
        <v>2417</v>
      </c>
      <c r="H442" s="119">
        <v>1</v>
      </c>
      <c r="I442" s="119">
        <v>2</v>
      </c>
      <c r="J442" s="119">
        <f t="shared" si="49"/>
        <v>2</v>
      </c>
      <c r="K442" s="119">
        <v>85377600</v>
      </c>
      <c r="L442" s="119">
        <v>42688800</v>
      </c>
      <c r="M442" s="119">
        <f t="shared" si="50"/>
        <v>2</v>
      </c>
      <c r="N442" s="119">
        <f t="shared" si="51"/>
        <v>85377600</v>
      </c>
      <c r="O442" s="120">
        <v>45695</v>
      </c>
      <c r="P442" s="120">
        <v>46332</v>
      </c>
      <c r="Q442" s="119">
        <v>0</v>
      </c>
      <c r="R442" s="121">
        <v>0</v>
      </c>
      <c r="S442" s="119">
        <v>2</v>
      </c>
      <c r="T442" s="121">
        <v>85377600</v>
      </c>
      <c r="U442" s="119">
        <v>1</v>
      </c>
      <c r="V442" s="121">
        <f t="shared" si="52"/>
        <v>42688800</v>
      </c>
      <c r="W442" s="119">
        <f t="shared" si="53"/>
        <v>1</v>
      </c>
      <c r="X442" s="121">
        <f t="shared" si="54"/>
        <v>42688800</v>
      </c>
      <c r="Y442" s="122" t="s">
        <v>2416</v>
      </c>
      <c r="Z442" s="123" t="s">
        <v>2407</v>
      </c>
      <c r="AA442" s="123" t="s">
        <v>2406</v>
      </c>
      <c r="AB442" s="123" t="s">
        <v>2372</v>
      </c>
      <c r="AC442" s="124" t="s">
        <v>12</v>
      </c>
      <c r="AD442" s="110">
        <f>COUNTIF('KK1. Movies'!AI:AI,'TK 15661.Bản quyền phim '!F442)</f>
        <v>1</v>
      </c>
      <c r="AE442" s="110">
        <f>COUNTIF('KK2. Series'!AM:AM,'TK 15661.Bản quyền phim '!F442)</f>
        <v>0</v>
      </c>
      <c r="AF442" s="110">
        <f>COUNTIF('KK3. Kids'!AF:AF,'TK 15661.Bản quyền phim '!F442)</f>
        <v>0</v>
      </c>
      <c r="AG442" s="110"/>
      <c r="AH442" s="110" t="str">
        <f t="shared" si="55"/>
        <v>OK</v>
      </c>
    </row>
    <row r="443" spans="1:34" ht="15.6" hidden="1" x14ac:dyDescent="0.3">
      <c r="B443" s="108" t="s">
        <v>2505</v>
      </c>
      <c r="C443" s="94" t="s">
        <v>2412</v>
      </c>
      <c r="D443" s="94" t="s">
        <v>2419</v>
      </c>
      <c r="E443" s="94" t="s">
        <v>2418</v>
      </c>
      <c r="F443" s="94" t="s">
        <v>1242</v>
      </c>
      <c r="G443" s="94" t="s">
        <v>2417</v>
      </c>
      <c r="H443" s="119">
        <v>1</v>
      </c>
      <c r="I443" s="119">
        <v>2</v>
      </c>
      <c r="J443" s="119">
        <f t="shared" si="49"/>
        <v>2</v>
      </c>
      <c r="K443" s="119">
        <v>85377600</v>
      </c>
      <c r="L443" s="119">
        <v>42688800</v>
      </c>
      <c r="M443" s="119">
        <f t="shared" si="50"/>
        <v>2</v>
      </c>
      <c r="N443" s="119">
        <f t="shared" si="51"/>
        <v>85377600</v>
      </c>
      <c r="O443" s="120">
        <v>45954</v>
      </c>
      <c r="P443" s="120">
        <v>46591</v>
      </c>
      <c r="Q443" s="119">
        <v>0</v>
      </c>
      <c r="R443" s="121">
        <v>0</v>
      </c>
      <c r="S443" s="119">
        <v>2</v>
      </c>
      <c r="T443" s="121">
        <v>85377600</v>
      </c>
      <c r="U443" s="119">
        <v>1</v>
      </c>
      <c r="V443" s="121">
        <f t="shared" si="52"/>
        <v>42688800</v>
      </c>
      <c r="W443" s="119">
        <f t="shared" si="53"/>
        <v>1</v>
      </c>
      <c r="X443" s="121">
        <f t="shared" si="54"/>
        <v>42688800</v>
      </c>
      <c r="Y443" s="122" t="s">
        <v>2416</v>
      </c>
      <c r="Z443" s="123" t="s">
        <v>2407</v>
      </c>
      <c r="AA443" s="123" t="s">
        <v>2406</v>
      </c>
      <c r="AB443" s="123" t="s">
        <v>2372</v>
      </c>
      <c r="AC443" s="124" t="s">
        <v>12</v>
      </c>
      <c r="AD443" s="110">
        <f>COUNTIF('KK1. Movies'!AI:AI,'TK 15661.Bản quyền phim '!F443)</f>
        <v>1</v>
      </c>
      <c r="AE443" s="110">
        <f>COUNTIF('KK2. Series'!AM:AM,'TK 15661.Bản quyền phim '!F443)</f>
        <v>0</v>
      </c>
      <c r="AF443" s="110">
        <f>COUNTIF('KK3. Kids'!AF:AF,'TK 15661.Bản quyền phim '!F443)</f>
        <v>0</v>
      </c>
      <c r="AG443" s="110"/>
      <c r="AH443" s="110" t="str">
        <f t="shared" si="55"/>
        <v>OK</v>
      </c>
    </row>
    <row r="444" spans="1:34" ht="15.6" hidden="1" x14ac:dyDescent="0.3">
      <c r="B444" s="108" t="s">
        <v>2504</v>
      </c>
      <c r="C444" s="94" t="s">
        <v>2412</v>
      </c>
      <c r="D444" s="94" t="s">
        <v>2419</v>
      </c>
      <c r="E444" s="94" t="s">
        <v>2418</v>
      </c>
      <c r="F444" s="94" t="s">
        <v>1246</v>
      </c>
      <c r="G444" s="94" t="s">
        <v>2417</v>
      </c>
      <c r="H444" s="119">
        <v>1</v>
      </c>
      <c r="I444" s="119">
        <v>2</v>
      </c>
      <c r="J444" s="119">
        <f t="shared" si="49"/>
        <v>2</v>
      </c>
      <c r="K444" s="119">
        <v>85377600</v>
      </c>
      <c r="L444" s="119">
        <v>42688800</v>
      </c>
      <c r="M444" s="119">
        <f t="shared" si="50"/>
        <v>2</v>
      </c>
      <c r="N444" s="119">
        <f t="shared" si="51"/>
        <v>85377600</v>
      </c>
      <c r="O444" s="120">
        <v>45952</v>
      </c>
      <c r="P444" s="120">
        <v>46589</v>
      </c>
      <c r="Q444" s="119">
        <v>0</v>
      </c>
      <c r="R444" s="121">
        <v>0</v>
      </c>
      <c r="S444" s="119">
        <v>2</v>
      </c>
      <c r="T444" s="121">
        <v>85377600</v>
      </c>
      <c r="U444" s="119">
        <v>1</v>
      </c>
      <c r="V444" s="121">
        <f t="shared" si="52"/>
        <v>42688800</v>
      </c>
      <c r="W444" s="119">
        <f t="shared" si="53"/>
        <v>1</v>
      </c>
      <c r="X444" s="121">
        <f t="shared" si="54"/>
        <v>42688800</v>
      </c>
      <c r="Y444" s="122" t="s">
        <v>2416</v>
      </c>
      <c r="Z444" s="123" t="s">
        <v>2407</v>
      </c>
      <c r="AA444" s="123" t="s">
        <v>2406</v>
      </c>
      <c r="AB444" s="123" t="s">
        <v>2372</v>
      </c>
      <c r="AC444" s="124" t="s">
        <v>12</v>
      </c>
      <c r="AD444" s="110">
        <f>COUNTIF('KK1. Movies'!AI:AI,'TK 15661.Bản quyền phim '!F444)</f>
        <v>1</v>
      </c>
      <c r="AE444" s="110">
        <f>COUNTIF('KK2. Series'!AM:AM,'TK 15661.Bản quyền phim '!F444)</f>
        <v>0</v>
      </c>
      <c r="AF444" s="110">
        <f>COUNTIF('KK3. Kids'!AF:AF,'TK 15661.Bản quyền phim '!F444)</f>
        <v>0</v>
      </c>
      <c r="AG444" s="110"/>
      <c r="AH444" s="110" t="str">
        <f t="shared" si="55"/>
        <v>OK</v>
      </c>
    </row>
    <row r="445" spans="1:34" ht="15.6" hidden="1" x14ac:dyDescent="0.3">
      <c r="B445" s="108" t="s">
        <v>2503</v>
      </c>
      <c r="C445" s="94" t="s">
        <v>2412</v>
      </c>
      <c r="D445" s="94" t="s">
        <v>2419</v>
      </c>
      <c r="E445" s="94" t="s">
        <v>2418</v>
      </c>
      <c r="F445" s="94" t="s">
        <v>1848</v>
      </c>
      <c r="G445" s="94" t="s">
        <v>2417</v>
      </c>
      <c r="H445" s="119">
        <v>1</v>
      </c>
      <c r="I445" s="119">
        <v>2</v>
      </c>
      <c r="J445" s="119">
        <f t="shared" si="49"/>
        <v>2</v>
      </c>
      <c r="K445" s="119">
        <v>85377600</v>
      </c>
      <c r="L445" s="119">
        <v>42688800</v>
      </c>
      <c r="M445" s="119">
        <f t="shared" si="50"/>
        <v>2</v>
      </c>
      <c r="N445" s="119">
        <f t="shared" si="51"/>
        <v>85377600</v>
      </c>
      <c r="O445" s="120">
        <v>45710</v>
      </c>
      <c r="P445" s="120">
        <v>46347</v>
      </c>
      <c r="Q445" s="119">
        <v>0</v>
      </c>
      <c r="R445" s="121">
        <v>0</v>
      </c>
      <c r="S445" s="119">
        <v>2</v>
      </c>
      <c r="T445" s="121">
        <v>85377600</v>
      </c>
      <c r="U445" s="119">
        <v>1</v>
      </c>
      <c r="V445" s="121">
        <f t="shared" si="52"/>
        <v>42688800</v>
      </c>
      <c r="W445" s="119">
        <f t="shared" si="53"/>
        <v>1</v>
      </c>
      <c r="X445" s="121">
        <f t="shared" si="54"/>
        <v>42688800</v>
      </c>
      <c r="Y445" s="122" t="s">
        <v>2416</v>
      </c>
      <c r="Z445" s="123" t="s">
        <v>2407</v>
      </c>
      <c r="AA445" s="123" t="s">
        <v>2406</v>
      </c>
      <c r="AB445" s="123" t="s">
        <v>2372</v>
      </c>
      <c r="AC445" s="124" t="s">
        <v>12</v>
      </c>
      <c r="AD445" s="110">
        <f>COUNTIF('KK1. Movies'!AI:AI,'TK 15661.Bản quyền phim '!F445)</f>
        <v>1</v>
      </c>
      <c r="AE445" s="110">
        <f>COUNTIF('KK2. Series'!AM:AM,'TK 15661.Bản quyền phim '!F445)</f>
        <v>0</v>
      </c>
      <c r="AF445" s="110">
        <f>COUNTIF('KK3. Kids'!AF:AF,'TK 15661.Bản quyền phim '!F445)</f>
        <v>0</v>
      </c>
      <c r="AG445" s="110"/>
      <c r="AH445" s="110" t="str">
        <f t="shared" si="55"/>
        <v>OK</v>
      </c>
    </row>
    <row r="446" spans="1:34" ht="15.6" hidden="1" x14ac:dyDescent="0.3">
      <c r="B446" s="108" t="s">
        <v>2502</v>
      </c>
      <c r="C446" s="94" t="s">
        <v>2412</v>
      </c>
      <c r="D446" s="94" t="s">
        <v>2419</v>
      </c>
      <c r="E446" s="94" t="s">
        <v>2418</v>
      </c>
      <c r="F446" s="94" t="s">
        <v>1227</v>
      </c>
      <c r="G446" s="94" t="s">
        <v>2417</v>
      </c>
      <c r="H446" s="119">
        <v>1</v>
      </c>
      <c r="I446" s="119">
        <v>2</v>
      </c>
      <c r="J446" s="119">
        <f t="shared" si="49"/>
        <v>2</v>
      </c>
      <c r="K446" s="119">
        <v>85377600</v>
      </c>
      <c r="L446" s="119">
        <v>42688800</v>
      </c>
      <c r="M446" s="119">
        <f t="shared" si="50"/>
        <v>2</v>
      </c>
      <c r="N446" s="119">
        <f t="shared" si="51"/>
        <v>85377600</v>
      </c>
      <c r="O446" s="120">
        <v>45968</v>
      </c>
      <c r="P446" s="120">
        <v>46605</v>
      </c>
      <c r="Q446" s="119">
        <v>0</v>
      </c>
      <c r="R446" s="121">
        <v>0</v>
      </c>
      <c r="S446" s="119">
        <v>2</v>
      </c>
      <c r="T446" s="121">
        <v>85377600</v>
      </c>
      <c r="U446" s="119">
        <v>1</v>
      </c>
      <c r="V446" s="121">
        <f t="shared" si="52"/>
        <v>42688800</v>
      </c>
      <c r="W446" s="119">
        <f t="shared" si="53"/>
        <v>1</v>
      </c>
      <c r="X446" s="121">
        <f t="shared" si="54"/>
        <v>42688800</v>
      </c>
      <c r="Y446" s="122" t="s">
        <v>2416</v>
      </c>
      <c r="Z446" s="123" t="s">
        <v>2407</v>
      </c>
      <c r="AA446" s="123" t="s">
        <v>2406</v>
      </c>
      <c r="AB446" s="123" t="s">
        <v>2372</v>
      </c>
      <c r="AC446" s="124" t="s">
        <v>12</v>
      </c>
      <c r="AD446" s="110">
        <f>COUNTIF('KK1. Movies'!AI:AI,'TK 15661.Bản quyền phim '!F446)</f>
        <v>1</v>
      </c>
      <c r="AE446" s="110">
        <f>COUNTIF('KK2. Series'!AM:AM,'TK 15661.Bản quyền phim '!F446)</f>
        <v>0</v>
      </c>
      <c r="AF446" s="110">
        <f>COUNTIF('KK3. Kids'!AF:AF,'TK 15661.Bản quyền phim '!F446)</f>
        <v>0</v>
      </c>
      <c r="AG446" s="110"/>
      <c r="AH446" s="110" t="str">
        <f t="shared" si="55"/>
        <v>OK</v>
      </c>
    </row>
    <row r="447" spans="1:34" ht="15.6" hidden="1" x14ac:dyDescent="0.3">
      <c r="B447" s="108" t="s">
        <v>2501</v>
      </c>
      <c r="C447" s="94" t="s">
        <v>2412</v>
      </c>
      <c r="D447" s="94" t="s">
        <v>2419</v>
      </c>
      <c r="E447" s="94" t="s">
        <v>2418</v>
      </c>
      <c r="F447" s="94" t="s">
        <v>1265</v>
      </c>
      <c r="G447" s="94" t="s">
        <v>2417</v>
      </c>
      <c r="H447" s="119">
        <v>1</v>
      </c>
      <c r="I447" s="119">
        <v>2</v>
      </c>
      <c r="J447" s="119">
        <f t="shared" si="49"/>
        <v>2</v>
      </c>
      <c r="K447" s="119">
        <v>85377600</v>
      </c>
      <c r="L447" s="119">
        <v>42688800</v>
      </c>
      <c r="M447" s="119">
        <f t="shared" si="50"/>
        <v>2</v>
      </c>
      <c r="N447" s="119">
        <f t="shared" si="51"/>
        <v>85377600</v>
      </c>
      <c r="O447" s="120">
        <v>45905</v>
      </c>
      <c r="P447" s="120">
        <v>46542</v>
      </c>
      <c r="Q447" s="119">
        <v>0</v>
      </c>
      <c r="R447" s="121">
        <v>0</v>
      </c>
      <c r="S447" s="119">
        <v>2</v>
      </c>
      <c r="T447" s="121">
        <v>85377600</v>
      </c>
      <c r="U447" s="119">
        <v>1</v>
      </c>
      <c r="V447" s="121">
        <f t="shared" si="52"/>
        <v>42688800</v>
      </c>
      <c r="W447" s="119">
        <f t="shared" si="53"/>
        <v>1</v>
      </c>
      <c r="X447" s="121">
        <f t="shared" si="54"/>
        <v>42688800</v>
      </c>
      <c r="Y447" s="122" t="s">
        <v>2416</v>
      </c>
      <c r="Z447" s="123" t="s">
        <v>2407</v>
      </c>
      <c r="AA447" s="123" t="s">
        <v>2406</v>
      </c>
      <c r="AB447" s="123" t="s">
        <v>2372</v>
      </c>
      <c r="AC447" s="124" t="s">
        <v>12</v>
      </c>
      <c r="AD447" s="110">
        <f>COUNTIF('KK1. Movies'!AI:AI,'TK 15661.Bản quyền phim '!F447)</f>
        <v>1</v>
      </c>
      <c r="AE447" s="110">
        <f>COUNTIF('KK2. Series'!AM:AM,'TK 15661.Bản quyền phim '!F447)</f>
        <v>0</v>
      </c>
      <c r="AF447" s="110">
        <f>COUNTIF('KK3. Kids'!AF:AF,'TK 15661.Bản quyền phim '!F447)</f>
        <v>0</v>
      </c>
      <c r="AG447" s="110"/>
      <c r="AH447" s="110" t="str">
        <f t="shared" si="55"/>
        <v>OK</v>
      </c>
    </row>
    <row r="448" spans="1:34" ht="15.6" hidden="1" x14ac:dyDescent="0.3">
      <c r="A448" s="47">
        <f>(U448-H448)*L448</f>
        <v>0</v>
      </c>
      <c r="B448" s="108" t="s">
        <v>2500</v>
      </c>
      <c r="C448" s="94" t="s">
        <v>2412</v>
      </c>
      <c r="D448" s="94" t="s">
        <v>2431</v>
      </c>
      <c r="E448" s="94" t="s">
        <v>2430</v>
      </c>
      <c r="F448" s="94" t="s">
        <v>502</v>
      </c>
      <c r="G448" s="94" t="s">
        <v>2428</v>
      </c>
      <c r="H448" s="119">
        <v>12</v>
      </c>
      <c r="I448" s="119">
        <v>4</v>
      </c>
      <c r="J448" s="119">
        <f t="shared" si="49"/>
        <v>48</v>
      </c>
      <c r="K448" s="119">
        <v>1016400000</v>
      </c>
      <c r="L448" s="119">
        <v>21175000</v>
      </c>
      <c r="M448" s="119">
        <f t="shared" si="50"/>
        <v>48</v>
      </c>
      <c r="N448" s="119">
        <f t="shared" si="51"/>
        <v>1016400000</v>
      </c>
      <c r="O448" s="120">
        <v>45709</v>
      </c>
      <c r="P448" s="120">
        <v>47169</v>
      </c>
      <c r="Q448" s="119">
        <v>0</v>
      </c>
      <c r="R448" s="121">
        <v>0</v>
      </c>
      <c r="S448" s="119">
        <v>48</v>
      </c>
      <c r="T448" s="121">
        <v>1016400000</v>
      </c>
      <c r="U448" s="119">
        <v>12</v>
      </c>
      <c r="V448" s="121">
        <f t="shared" si="52"/>
        <v>254100000</v>
      </c>
      <c r="W448" s="119">
        <f t="shared" si="53"/>
        <v>36</v>
      </c>
      <c r="X448" s="121">
        <f t="shared" si="54"/>
        <v>762300000</v>
      </c>
      <c r="Y448" s="122" t="s">
        <v>2427</v>
      </c>
      <c r="Z448" s="123" t="s">
        <v>2407</v>
      </c>
      <c r="AA448" s="123" t="s">
        <v>2406</v>
      </c>
      <c r="AB448" s="123" t="s">
        <v>2372</v>
      </c>
      <c r="AC448" s="124" t="s">
        <v>10</v>
      </c>
      <c r="AD448" s="110">
        <f>COUNTIF('KK1. Movies'!AI:AI,'TK 15661.Bản quyền phim '!F448)</f>
        <v>0</v>
      </c>
      <c r="AE448" s="110">
        <f>COUNTIF('KK2. Series'!AM:AM,'TK 15661.Bản quyền phim '!F448)</f>
        <v>1</v>
      </c>
      <c r="AF448" s="110">
        <f>COUNTIF('KK3. Kids'!AF:AF,'TK 15661.Bản quyền phim '!F448)</f>
        <v>0</v>
      </c>
      <c r="AG448" s="110"/>
      <c r="AH448" s="110" t="str">
        <f t="shared" si="55"/>
        <v>OK</v>
      </c>
    </row>
    <row r="449" spans="1:34" ht="15.6" hidden="1" x14ac:dyDescent="0.3">
      <c r="B449" s="108" t="s">
        <v>2499</v>
      </c>
      <c r="C449" s="94" t="s">
        <v>2493</v>
      </c>
      <c r="D449" s="94" t="s">
        <v>2492</v>
      </c>
      <c r="E449" s="94" t="s">
        <v>2491</v>
      </c>
      <c r="F449" s="94" t="s">
        <v>1621</v>
      </c>
      <c r="G449" s="94" t="s">
        <v>2490</v>
      </c>
      <c r="H449" s="119">
        <v>1</v>
      </c>
      <c r="I449" s="119">
        <v>2</v>
      </c>
      <c r="J449" s="119">
        <f t="shared" si="49"/>
        <v>2</v>
      </c>
      <c r="K449" s="119">
        <v>60000000</v>
      </c>
      <c r="L449" s="119">
        <v>30000000</v>
      </c>
      <c r="M449" s="119">
        <f t="shared" si="50"/>
        <v>2</v>
      </c>
      <c r="N449" s="119">
        <f t="shared" si="51"/>
        <v>60000000</v>
      </c>
      <c r="O449" s="120">
        <v>45654</v>
      </c>
      <c r="P449" s="120">
        <v>46354</v>
      </c>
      <c r="Q449" s="119">
        <v>0</v>
      </c>
      <c r="R449" s="121">
        <v>0</v>
      </c>
      <c r="S449" s="119">
        <v>2</v>
      </c>
      <c r="T449" s="121">
        <v>60000000</v>
      </c>
      <c r="U449" s="119">
        <v>1</v>
      </c>
      <c r="V449" s="121">
        <f t="shared" si="52"/>
        <v>30000000</v>
      </c>
      <c r="W449" s="119">
        <f t="shared" si="53"/>
        <v>1</v>
      </c>
      <c r="X449" s="121">
        <f t="shared" si="54"/>
        <v>30000000</v>
      </c>
      <c r="Y449" s="122" t="s">
        <v>2489</v>
      </c>
      <c r="Z449" s="123" t="s">
        <v>2407</v>
      </c>
      <c r="AA449" s="123" t="s">
        <v>2406</v>
      </c>
      <c r="AB449" s="123" t="s">
        <v>2372</v>
      </c>
      <c r="AC449" s="124" t="s">
        <v>12</v>
      </c>
      <c r="AD449" s="110">
        <f>COUNTIF('KK1. Movies'!AI:AI,'TK 15661.Bản quyền phim '!F449)</f>
        <v>1</v>
      </c>
      <c r="AE449" s="110">
        <f>COUNTIF('KK2. Series'!AM:AM,'TK 15661.Bản quyền phim '!F449)</f>
        <v>0</v>
      </c>
      <c r="AF449" s="110">
        <f>COUNTIF('KK3. Kids'!AF:AF,'TK 15661.Bản quyền phim '!F449)</f>
        <v>0</v>
      </c>
      <c r="AG449" s="110"/>
      <c r="AH449" s="110" t="str">
        <f t="shared" si="55"/>
        <v>OK</v>
      </c>
    </row>
    <row r="450" spans="1:34" ht="15.6" hidden="1" x14ac:dyDescent="0.3">
      <c r="B450" s="108" t="s">
        <v>2498</v>
      </c>
      <c r="C450" s="94" t="s">
        <v>2493</v>
      </c>
      <c r="D450" s="94" t="s">
        <v>2492</v>
      </c>
      <c r="E450" s="94" t="s">
        <v>2491</v>
      </c>
      <c r="F450" s="94" t="s">
        <v>1408</v>
      </c>
      <c r="G450" s="94" t="s">
        <v>2490</v>
      </c>
      <c r="H450" s="119">
        <v>1</v>
      </c>
      <c r="I450" s="119">
        <v>2</v>
      </c>
      <c r="J450" s="119">
        <f t="shared" si="49"/>
        <v>2</v>
      </c>
      <c r="K450" s="119">
        <v>60000000</v>
      </c>
      <c r="L450" s="119">
        <v>30000000</v>
      </c>
      <c r="M450" s="119">
        <f t="shared" si="50"/>
        <v>2</v>
      </c>
      <c r="N450" s="119">
        <f t="shared" si="51"/>
        <v>60000000</v>
      </c>
      <c r="O450" s="120">
        <v>45742</v>
      </c>
      <c r="P450" s="120">
        <v>46387</v>
      </c>
      <c r="Q450" s="119">
        <v>0</v>
      </c>
      <c r="R450" s="121">
        <v>0</v>
      </c>
      <c r="S450" s="119">
        <v>2</v>
      </c>
      <c r="T450" s="121">
        <v>60000000</v>
      </c>
      <c r="U450" s="119">
        <v>1</v>
      </c>
      <c r="V450" s="121">
        <f t="shared" si="52"/>
        <v>30000000</v>
      </c>
      <c r="W450" s="119">
        <f t="shared" si="53"/>
        <v>1</v>
      </c>
      <c r="X450" s="121">
        <f t="shared" si="54"/>
        <v>30000000</v>
      </c>
      <c r="Y450" s="122" t="s">
        <v>2489</v>
      </c>
      <c r="Z450" s="123" t="s">
        <v>2407</v>
      </c>
      <c r="AA450" s="123" t="s">
        <v>2406</v>
      </c>
      <c r="AB450" s="123" t="s">
        <v>2372</v>
      </c>
      <c r="AC450" s="124" t="s">
        <v>12</v>
      </c>
      <c r="AD450" s="110">
        <f>COUNTIF('KK1. Movies'!AI:AI,'TK 15661.Bản quyền phim '!F450)</f>
        <v>1</v>
      </c>
      <c r="AE450" s="110">
        <f>COUNTIF('KK2. Series'!AM:AM,'TK 15661.Bản quyền phim '!F450)</f>
        <v>0</v>
      </c>
      <c r="AF450" s="110">
        <f>COUNTIF('KK3. Kids'!AF:AF,'TK 15661.Bản quyền phim '!F450)</f>
        <v>0</v>
      </c>
      <c r="AG450" s="110"/>
      <c r="AH450" s="110" t="str">
        <f t="shared" si="55"/>
        <v>OK</v>
      </c>
    </row>
    <row r="451" spans="1:34" ht="15.6" hidden="1" x14ac:dyDescent="0.3">
      <c r="B451" s="108" t="s">
        <v>2497</v>
      </c>
      <c r="C451" s="94" t="s">
        <v>2493</v>
      </c>
      <c r="D451" s="94" t="s">
        <v>2492</v>
      </c>
      <c r="E451" s="94" t="s">
        <v>2491</v>
      </c>
      <c r="F451" s="94" t="s">
        <v>1655</v>
      </c>
      <c r="G451" s="94" t="s">
        <v>2490</v>
      </c>
      <c r="H451" s="119">
        <v>1</v>
      </c>
      <c r="I451" s="119">
        <v>2</v>
      </c>
      <c r="J451" s="119">
        <f t="shared" si="49"/>
        <v>2</v>
      </c>
      <c r="K451" s="119">
        <v>28571429</v>
      </c>
      <c r="L451" s="119">
        <v>14285714.5</v>
      </c>
      <c r="M451" s="119">
        <f t="shared" si="50"/>
        <v>2</v>
      </c>
      <c r="N451" s="119">
        <f t="shared" si="51"/>
        <v>28571429</v>
      </c>
      <c r="O451" s="120">
        <v>45633</v>
      </c>
      <c r="P451" s="120">
        <v>46363</v>
      </c>
      <c r="Q451" s="119">
        <v>0</v>
      </c>
      <c r="R451" s="121">
        <v>0</v>
      </c>
      <c r="S451" s="119">
        <v>2</v>
      </c>
      <c r="T451" s="121">
        <v>28571429</v>
      </c>
      <c r="U451" s="119">
        <v>1</v>
      </c>
      <c r="V451" s="121">
        <f t="shared" si="52"/>
        <v>14285714.5</v>
      </c>
      <c r="W451" s="119">
        <f t="shared" si="53"/>
        <v>1</v>
      </c>
      <c r="X451" s="121">
        <f t="shared" si="54"/>
        <v>14285714.5</v>
      </c>
      <c r="Y451" s="122" t="s">
        <v>2489</v>
      </c>
      <c r="Z451" s="123" t="s">
        <v>2407</v>
      </c>
      <c r="AA451" s="123" t="s">
        <v>2406</v>
      </c>
      <c r="AB451" s="123" t="s">
        <v>2372</v>
      </c>
      <c r="AC451" s="124" t="s">
        <v>12</v>
      </c>
      <c r="AD451" s="110">
        <f>COUNTIF('KK1. Movies'!AI:AI,'TK 15661.Bản quyền phim '!F451)</f>
        <v>1</v>
      </c>
      <c r="AE451" s="110">
        <f>COUNTIF('KK2. Series'!AM:AM,'TK 15661.Bản quyền phim '!F451)</f>
        <v>0</v>
      </c>
      <c r="AF451" s="110">
        <f>COUNTIF('KK3. Kids'!AF:AF,'TK 15661.Bản quyền phim '!F451)</f>
        <v>0</v>
      </c>
      <c r="AG451" s="110"/>
      <c r="AH451" s="110" t="str">
        <f t="shared" si="55"/>
        <v>OK</v>
      </c>
    </row>
    <row r="452" spans="1:34" ht="15.6" hidden="1" x14ac:dyDescent="0.3">
      <c r="B452" s="108" t="s">
        <v>2496</v>
      </c>
      <c r="C452" s="94" t="s">
        <v>2493</v>
      </c>
      <c r="D452" s="94" t="s">
        <v>2492</v>
      </c>
      <c r="E452" s="94" t="s">
        <v>2491</v>
      </c>
      <c r="F452" s="94" t="s">
        <v>1966</v>
      </c>
      <c r="G452" s="94" t="s">
        <v>2490</v>
      </c>
      <c r="H452" s="119">
        <v>1</v>
      </c>
      <c r="I452" s="119">
        <v>2.9972602739726026</v>
      </c>
      <c r="J452" s="119">
        <f t="shared" si="49"/>
        <v>2.9972602739726026</v>
      </c>
      <c r="K452" s="119">
        <v>47619048</v>
      </c>
      <c r="L452" s="119">
        <v>15887525.155393053</v>
      </c>
      <c r="M452" s="119">
        <f t="shared" si="50"/>
        <v>2.9972602739726026</v>
      </c>
      <c r="N452" s="119">
        <f t="shared" si="51"/>
        <v>47619048</v>
      </c>
      <c r="O452" s="120">
        <v>45658</v>
      </c>
      <c r="P452" s="120">
        <v>46752</v>
      </c>
      <c r="Q452" s="119">
        <v>0</v>
      </c>
      <c r="R452" s="121">
        <v>0</v>
      </c>
      <c r="S452" s="119">
        <v>2.9972602739726026</v>
      </c>
      <c r="T452" s="121">
        <v>47619048</v>
      </c>
      <c r="U452" s="119">
        <v>1</v>
      </c>
      <c r="V452" s="121">
        <f t="shared" si="52"/>
        <v>15887525.155393053</v>
      </c>
      <c r="W452" s="119">
        <f t="shared" si="53"/>
        <v>1.9972602739726026</v>
      </c>
      <c r="X452" s="121">
        <f t="shared" si="54"/>
        <v>31731522.844606947</v>
      </c>
      <c r="Y452" s="122" t="s">
        <v>2489</v>
      </c>
      <c r="Z452" s="123" t="s">
        <v>2407</v>
      </c>
      <c r="AA452" s="123" t="s">
        <v>2406</v>
      </c>
      <c r="AB452" s="123" t="s">
        <v>2372</v>
      </c>
      <c r="AC452" s="124" t="s">
        <v>12</v>
      </c>
      <c r="AD452" s="110">
        <f>COUNTIF('KK1. Movies'!AI:AI,'TK 15661.Bản quyền phim '!F452)</f>
        <v>1</v>
      </c>
      <c r="AE452" s="110">
        <f>COUNTIF('KK2. Series'!AM:AM,'TK 15661.Bản quyền phim '!F452)</f>
        <v>0</v>
      </c>
      <c r="AF452" s="110">
        <f>COUNTIF('KK3. Kids'!AF:AF,'TK 15661.Bản quyền phim '!F452)</f>
        <v>0</v>
      </c>
      <c r="AG452" s="110"/>
      <c r="AH452" s="110" t="str">
        <f t="shared" si="55"/>
        <v>OK</v>
      </c>
    </row>
    <row r="453" spans="1:34" ht="15.6" hidden="1" x14ac:dyDescent="0.3">
      <c r="B453" s="108" t="s">
        <v>2495</v>
      </c>
      <c r="C453" s="94" t="s">
        <v>2493</v>
      </c>
      <c r="D453" s="94" t="s">
        <v>2492</v>
      </c>
      <c r="E453" s="94" t="s">
        <v>2491</v>
      </c>
      <c r="F453" s="94" t="s">
        <v>1430</v>
      </c>
      <c r="G453" s="94" t="s">
        <v>2490</v>
      </c>
      <c r="H453" s="119">
        <v>1</v>
      </c>
      <c r="I453" s="119">
        <v>3</v>
      </c>
      <c r="J453" s="119">
        <f t="shared" si="49"/>
        <v>3</v>
      </c>
      <c r="K453" s="119">
        <v>47619047</v>
      </c>
      <c r="L453" s="119">
        <v>15873015.666666666</v>
      </c>
      <c r="M453" s="119">
        <f t="shared" si="50"/>
        <v>3</v>
      </c>
      <c r="N453" s="119">
        <f t="shared" si="51"/>
        <v>47619047</v>
      </c>
      <c r="O453" s="120">
        <v>45658</v>
      </c>
      <c r="P453" s="120">
        <v>46752</v>
      </c>
      <c r="Q453" s="119">
        <v>0</v>
      </c>
      <c r="R453" s="121">
        <v>0</v>
      </c>
      <c r="S453" s="119">
        <v>3</v>
      </c>
      <c r="T453" s="121">
        <v>47619047</v>
      </c>
      <c r="U453" s="119">
        <v>1</v>
      </c>
      <c r="V453" s="121">
        <f t="shared" si="52"/>
        <v>15873015.666666666</v>
      </c>
      <c r="W453" s="119">
        <f t="shared" si="53"/>
        <v>2</v>
      </c>
      <c r="X453" s="121">
        <f t="shared" si="54"/>
        <v>31746031.333333336</v>
      </c>
      <c r="Y453" s="122" t="s">
        <v>2489</v>
      </c>
      <c r="Z453" s="123" t="s">
        <v>2407</v>
      </c>
      <c r="AA453" s="123" t="s">
        <v>2406</v>
      </c>
      <c r="AB453" s="123" t="s">
        <v>2372</v>
      </c>
      <c r="AC453" s="124" t="s">
        <v>12</v>
      </c>
      <c r="AD453" s="110">
        <f>COUNTIF('KK1. Movies'!AI:AI,'TK 15661.Bản quyền phim '!F453)</f>
        <v>1</v>
      </c>
      <c r="AE453" s="110">
        <f>COUNTIF('KK2. Series'!AM:AM,'TK 15661.Bản quyền phim '!F453)</f>
        <v>0</v>
      </c>
      <c r="AF453" s="110">
        <f>COUNTIF('KK3. Kids'!AF:AF,'TK 15661.Bản quyền phim '!F453)</f>
        <v>0</v>
      </c>
      <c r="AG453" s="110"/>
      <c r="AH453" s="110" t="str">
        <f t="shared" si="55"/>
        <v>OK</v>
      </c>
    </row>
    <row r="454" spans="1:34" ht="15.6" hidden="1" x14ac:dyDescent="0.3">
      <c r="B454" s="108" t="s">
        <v>2494</v>
      </c>
      <c r="C454" s="94" t="s">
        <v>2493</v>
      </c>
      <c r="D454" s="94" t="s">
        <v>2492</v>
      </c>
      <c r="E454" s="94" t="s">
        <v>2491</v>
      </c>
      <c r="F454" s="94" t="s">
        <v>1403</v>
      </c>
      <c r="G454" s="94" t="s">
        <v>2490</v>
      </c>
      <c r="H454" s="119">
        <v>1</v>
      </c>
      <c r="I454" s="119">
        <v>2</v>
      </c>
      <c r="J454" s="119">
        <f t="shared" ref="J454:J489" si="56">H454*I454</f>
        <v>2</v>
      </c>
      <c r="K454" s="119">
        <v>47619047</v>
      </c>
      <c r="L454" s="119">
        <v>23809523.5</v>
      </c>
      <c r="M454" s="119">
        <f t="shared" ref="M454:M489" si="57">J454-Q454</f>
        <v>2</v>
      </c>
      <c r="N454" s="119">
        <f t="shared" ref="N454:N489" si="58">K454-R454</f>
        <v>47619047</v>
      </c>
      <c r="O454" s="120">
        <v>45658</v>
      </c>
      <c r="P454" s="120">
        <v>46478</v>
      </c>
      <c r="Q454" s="119">
        <v>0</v>
      </c>
      <c r="R454" s="121">
        <v>0</v>
      </c>
      <c r="S454" s="119">
        <v>2</v>
      </c>
      <c r="T454" s="121">
        <v>47619047</v>
      </c>
      <c r="U454" s="119">
        <v>1</v>
      </c>
      <c r="V454" s="121">
        <f t="shared" ref="V454:V489" si="59">U454*L454</f>
        <v>23809523.5</v>
      </c>
      <c r="W454" s="119">
        <f t="shared" ref="W454:W489" si="60">Q454+S454-U454</f>
        <v>1</v>
      </c>
      <c r="X454" s="121">
        <f t="shared" ref="X454:X489" si="61">R454+T454-V454</f>
        <v>23809523.5</v>
      </c>
      <c r="Y454" s="122" t="s">
        <v>2489</v>
      </c>
      <c r="Z454" s="123" t="s">
        <v>2407</v>
      </c>
      <c r="AA454" s="123" t="s">
        <v>2406</v>
      </c>
      <c r="AB454" s="123" t="s">
        <v>2372</v>
      </c>
      <c r="AC454" s="124" t="s">
        <v>12</v>
      </c>
      <c r="AD454" s="110">
        <f>COUNTIF('KK1. Movies'!AI:AI,'TK 15661.Bản quyền phim '!F454)</f>
        <v>1</v>
      </c>
      <c r="AE454" s="110">
        <f>COUNTIF('KK2. Series'!AM:AM,'TK 15661.Bản quyền phim '!F454)</f>
        <v>0</v>
      </c>
      <c r="AF454" s="110">
        <f>COUNTIF('KK3. Kids'!AF:AF,'TK 15661.Bản quyền phim '!F454)</f>
        <v>0</v>
      </c>
      <c r="AG454" s="110"/>
      <c r="AH454" s="110" t="str">
        <f t="shared" si="55"/>
        <v>OK</v>
      </c>
    </row>
    <row r="455" spans="1:34" hidden="1" x14ac:dyDescent="0.2">
      <c r="A455" s="47">
        <f>(U455-H455)*L455</f>
        <v>0</v>
      </c>
      <c r="B455" s="108" t="s">
        <v>2488</v>
      </c>
      <c r="C455" s="94" t="s">
        <v>2412</v>
      </c>
      <c r="D455" s="94" t="s">
        <v>2486</v>
      </c>
      <c r="E455" s="94" t="s">
        <v>2485</v>
      </c>
      <c r="F455" s="94" t="s">
        <v>147</v>
      </c>
      <c r="G455" s="94" t="s">
        <v>2409</v>
      </c>
      <c r="H455" s="119">
        <v>52</v>
      </c>
      <c r="I455" s="119">
        <v>2</v>
      </c>
      <c r="J455" s="119">
        <f t="shared" si="56"/>
        <v>104</v>
      </c>
      <c r="K455" s="119">
        <v>390677560</v>
      </c>
      <c r="L455" s="119">
        <v>3756515</v>
      </c>
      <c r="M455" s="119">
        <f t="shared" si="57"/>
        <v>104</v>
      </c>
      <c r="N455" s="119">
        <f t="shared" si="58"/>
        <v>390677560</v>
      </c>
      <c r="O455" s="120">
        <v>45762</v>
      </c>
      <c r="P455" s="120">
        <v>46491</v>
      </c>
      <c r="Q455" s="119">
        <v>0</v>
      </c>
      <c r="R455" s="121">
        <v>0</v>
      </c>
      <c r="S455" s="119">
        <v>104</v>
      </c>
      <c r="T455" s="121">
        <v>390677560</v>
      </c>
      <c r="U455" s="119">
        <v>52</v>
      </c>
      <c r="V455" s="121">
        <f t="shared" si="59"/>
        <v>195338780</v>
      </c>
      <c r="W455" s="119">
        <f t="shared" si="60"/>
        <v>52</v>
      </c>
      <c r="X455" s="121">
        <f t="shared" si="61"/>
        <v>195338780</v>
      </c>
      <c r="Y455" s="122" t="s">
        <v>2408</v>
      </c>
      <c r="Z455" s="123" t="s">
        <v>2407</v>
      </c>
      <c r="AA455" s="123" t="s">
        <v>2406</v>
      </c>
      <c r="AB455" s="123" t="s">
        <v>2372</v>
      </c>
      <c r="AC455" s="123" t="s">
        <v>8</v>
      </c>
      <c r="AD455" s="110">
        <f>COUNTIF('KK1. Movies'!AI:AI,'TK 15661.Bản quyền phim '!F455)</f>
        <v>0</v>
      </c>
      <c r="AE455" s="110">
        <f>COUNTIF('KK2. Series'!AM:AM,'TK 15661.Bản quyền phim '!F455)</f>
        <v>0</v>
      </c>
      <c r="AF455" s="110">
        <f>COUNTIF('KK3. Kids'!AF:AF,'TK 15661.Bản quyền phim '!F455)</f>
        <v>1</v>
      </c>
      <c r="AG455" s="110"/>
      <c r="AH455" s="110" t="str">
        <f t="shared" ref="AH455:AH497" si="62">IF(SUM(AD455:AG455)&gt;0,"OK",0)</f>
        <v>OK</v>
      </c>
    </row>
    <row r="456" spans="1:34" hidden="1" x14ac:dyDescent="0.2">
      <c r="A456" s="47">
        <f>(U456-H456)*L456</f>
        <v>0</v>
      </c>
      <c r="B456" s="108" t="s">
        <v>2487</v>
      </c>
      <c r="C456" s="94" t="s">
        <v>2412</v>
      </c>
      <c r="D456" s="94" t="s">
        <v>2486</v>
      </c>
      <c r="E456" s="94" t="s">
        <v>2485</v>
      </c>
      <c r="F456" s="94" t="s">
        <v>140</v>
      </c>
      <c r="G456" s="94" t="s">
        <v>2409</v>
      </c>
      <c r="H456" s="119">
        <v>52</v>
      </c>
      <c r="I456" s="119">
        <v>2</v>
      </c>
      <c r="J456" s="119">
        <f t="shared" si="56"/>
        <v>104</v>
      </c>
      <c r="K456" s="119">
        <v>754411840</v>
      </c>
      <c r="L456" s="119">
        <v>7253960</v>
      </c>
      <c r="M456" s="119">
        <f t="shared" si="57"/>
        <v>104</v>
      </c>
      <c r="N456" s="119">
        <f t="shared" si="58"/>
        <v>754411840</v>
      </c>
      <c r="O456" s="120">
        <v>45800</v>
      </c>
      <c r="P456" s="120">
        <v>46529</v>
      </c>
      <c r="Q456" s="119">
        <v>0</v>
      </c>
      <c r="R456" s="121">
        <v>0</v>
      </c>
      <c r="S456" s="119">
        <v>104</v>
      </c>
      <c r="T456" s="121">
        <v>754411840</v>
      </c>
      <c r="U456" s="119">
        <v>52</v>
      </c>
      <c r="V456" s="121">
        <f t="shared" si="59"/>
        <v>377205920</v>
      </c>
      <c r="W456" s="119">
        <f t="shared" si="60"/>
        <v>52</v>
      </c>
      <c r="X456" s="121">
        <f t="shared" si="61"/>
        <v>377205920</v>
      </c>
      <c r="Y456" s="122" t="s">
        <v>2408</v>
      </c>
      <c r="Z456" s="123" t="s">
        <v>2407</v>
      </c>
      <c r="AA456" s="123" t="s">
        <v>2406</v>
      </c>
      <c r="AB456" s="123" t="s">
        <v>2372</v>
      </c>
      <c r="AC456" s="123" t="s">
        <v>8</v>
      </c>
      <c r="AD456" s="110">
        <f>COUNTIF('KK1. Movies'!AI:AI,'TK 15661.Bản quyền phim '!F456)</f>
        <v>0</v>
      </c>
      <c r="AE456" s="110">
        <f>COUNTIF('KK2. Series'!AM:AM,'TK 15661.Bản quyền phim '!F456)</f>
        <v>0</v>
      </c>
      <c r="AF456" s="110">
        <f>COUNTIF('KK3. Kids'!AF:AF,'TK 15661.Bản quyền phim '!F456)</f>
        <v>1</v>
      </c>
      <c r="AG456" s="110"/>
      <c r="AH456" s="110" t="str">
        <f t="shared" si="62"/>
        <v>OK</v>
      </c>
    </row>
    <row r="457" spans="1:34" ht="15.6" hidden="1" x14ac:dyDescent="0.3">
      <c r="A457" s="47">
        <f>(U457-H457)*L457</f>
        <v>0</v>
      </c>
      <c r="B457" s="108" t="s">
        <v>2484</v>
      </c>
      <c r="C457" s="94" t="s">
        <v>2412</v>
      </c>
      <c r="D457" s="94" t="s">
        <v>2431</v>
      </c>
      <c r="E457" s="94" t="s">
        <v>2430</v>
      </c>
      <c r="F457" s="94" t="s">
        <v>442</v>
      </c>
      <c r="G457" s="94" t="s">
        <v>2428</v>
      </c>
      <c r="H457" s="119">
        <v>12</v>
      </c>
      <c r="I457" s="119">
        <v>4</v>
      </c>
      <c r="J457" s="119">
        <f t="shared" si="56"/>
        <v>48</v>
      </c>
      <c r="K457" s="119">
        <v>1036280000</v>
      </c>
      <c r="L457" s="119">
        <v>21589166.666666668</v>
      </c>
      <c r="M457" s="119">
        <f t="shared" si="57"/>
        <v>48</v>
      </c>
      <c r="N457" s="119">
        <f t="shared" si="58"/>
        <v>1036280000</v>
      </c>
      <c r="O457" s="120">
        <v>45751</v>
      </c>
      <c r="P457" s="120">
        <v>47211</v>
      </c>
      <c r="Q457" s="119">
        <v>0</v>
      </c>
      <c r="R457" s="121">
        <v>0</v>
      </c>
      <c r="S457" s="119">
        <v>48</v>
      </c>
      <c r="T457" s="121">
        <v>1036280000</v>
      </c>
      <c r="U457" s="119">
        <v>12</v>
      </c>
      <c r="V457" s="121">
        <f t="shared" si="59"/>
        <v>259070000</v>
      </c>
      <c r="W457" s="119">
        <f t="shared" si="60"/>
        <v>36</v>
      </c>
      <c r="X457" s="121">
        <f t="shared" si="61"/>
        <v>777210000</v>
      </c>
      <c r="Y457" s="122" t="s">
        <v>2427</v>
      </c>
      <c r="Z457" s="123" t="s">
        <v>2407</v>
      </c>
      <c r="AA457" s="123" t="s">
        <v>2406</v>
      </c>
      <c r="AB457" s="123" t="s">
        <v>2372</v>
      </c>
      <c r="AC457" s="124" t="s">
        <v>10</v>
      </c>
      <c r="AD457" s="110">
        <f>COUNTIF('KK1. Movies'!AI:AI,'TK 15661.Bản quyền phim '!F457)</f>
        <v>0</v>
      </c>
      <c r="AE457" s="110">
        <f>COUNTIF('KK2. Series'!AM:AM,'TK 15661.Bản quyền phim '!F457)</f>
        <v>1</v>
      </c>
      <c r="AF457" s="110">
        <f>COUNTIF('KK3. Kids'!AF:AF,'TK 15661.Bản quyền phim '!F457)</f>
        <v>0</v>
      </c>
      <c r="AG457" s="110"/>
      <c r="AH457" s="110" t="str">
        <f t="shared" si="62"/>
        <v>OK</v>
      </c>
    </row>
    <row r="458" spans="1:34" ht="15.6" hidden="1" x14ac:dyDescent="0.3">
      <c r="B458" s="108" t="s">
        <v>2483</v>
      </c>
      <c r="C458" s="94" t="s">
        <v>2412</v>
      </c>
      <c r="D458" s="94" t="s">
        <v>2461</v>
      </c>
      <c r="E458" s="94" t="s">
        <v>2460</v>
      </c>
      <c r="F458" s="94" t="s">
        <v>1173</v>
      </c>
      <c r="G458" s="94" t="s">
        <v>2417</v>
      </c>
      <c r="H458" s="119">
        <v>1</v>
      </c>
      <c r="I458" s="119">
        <v>2</v>
      </c>
      <c r="J458" s="119">
        <f t="shared" si="56"/>
        <v>2</v>
      </c>
      <c r="K458" s="119">
        <v>77937000</v>
      </c>
      <c r="L458" s="119">
        <v>38968500</v>
      </c>
      <c r="M458" s="119">
        <f t="shared" si="57"/>
        <v>2</v>
      </c>
      <c r="N458" s="119">
        <f t="shared" si="58"/>
        <v>77937000</v>
      </c>
      <c r="O458" s="120">
        <v>45974</v>
      </c>
      <c r="P458" s="120">
        <v>46519</v>
      </c>
      <c r="Q458" s="119">
        <v>0</v>
      </c>
      <c r="R458" s="121">
        <v>0</v>
      </c>
      <c r="S458" s="119">
        <v>2</v>
      </c>
      <c r="T458" s="121">
        <v>77937000</v>
      </c>
      <c r="U458" s="119">
        <v>1</v>
      </c>
      <c r="V458" s="121">
        <f t="shared" si="59"/>
        <v>38968500</v>
      </c>
      <c r="W458" s="119">
        <f t="shared" si="60"/>
        <v>1</v>
      </c>
      <c r="X458" s="121">
        <f t="shared" si="61"/>
        <v>38968500</v>
      </c>
      <c r="Y458" s="122" t="s">
        <v>2416</v>
      </c>
      <c r="Z458" s="123" t="s">
        <v>2407</v>
      </c>
      <c r="AA458" s="123" t="s">
        <v>2406</v>
      </c>
      <c r="AB458" s="123" t="s">
        <v>2372</v>
      </c>
      <c r="AC458" s="124" t="s">
        <v>12</v>
      </c>
      <c r="AD458" s="110">
        <f>COUNTIF('KK1. Movies'!AI:AI,'TK 15661.Bản quyền phim '!F458)</f>
        <v>1</v>
      </c>
      <c r="AE458" s="110">
        <f>COUNTIF('KK2. Series'!AM:AM,'TK 15661.Bản quyền phim '!F458)</f>
        <v>0</v>
      </c>
      <c r="AF458" s="110">
        <f>COUNTIF('KK3. Kids'!AF:AF,'TK 15661.Bản quyền phim '!F458)</f>
        <v>0</v>
      </c>
      <c r="AG458" s="110"/>
      <c r="AH458" s="110" t="str">
        <f t="shared" si="62"/>
        <v>OK</v>
      </c>
    </row>
    <row r="459" spans="1:34" ht="15.6" hidden="1" x14ac:dyDescent="0.3">
      <c r="B459" s="108" t="s">
        <v>2482</v>
      </c>
      <c r="C459" s="94" t="s">
        <v>2412</v>
      </c>
      <c r="D459" s="94" t="s">
        <v>2461</v>
      </c>
      <c r="E459" s="94" t="s">
        <v>2460</v>
      </c>
      <c r="F459" s="94" t="s">
        <v>1203</v>
      </c>
      <c r="G459" s="94" t="s">
        <v>2417</v>
      </c>
      <c r="H459" s="119">
        <v>1</v>
      </c>
      <c r="I459" s="119">
        <v>2</v>
      </c>
      <c r="J459" s="119">
        <f t="shared" si="56"/>
        <v>2</v>
      </c>
      <c r="K459" s="119">
        <v>90926500</v>
      </c>
      <c r="L459" s="119">
        <v>45463250</v>
      </c>
      <c r="M459" s="119">
        <f t="shared" si="57"/>
        <v>2</v>
      </c>
      <c r="N459" s="119">
        <f t="shared" si="58"/>
        <v>90926500</v>
      </c>
      <c r="O459" s="120">
        <v>45883</v>
      </c>
      <c r="P459" s="120">
        <v>46431</v>
      </c>
      <c r="Q459" s="119">
        <v>0</v>
      </c>
      <c r="R459" s="121">
        <v>0</v>
      </c>
      <c r="S459" s="119">
        <v>2</v>
      </c>
      <c r="T459" s="121">
        <v>90926500</v>
      </c>
      <c r="U459" s="119">
        <v>1</v>
      </c>
      <c r="V459" s="121">
        <f t="shared" si="59"/>
        <v>45463250</v>
      </c>
      <c r="W459" s="119">
        <f t="shared" si="60"/>
        <v>1</v>
      </c>
      <c r="X459" s="121">
        <f t="shared" si="61"/>
        <v>45463250</v>
      </c>
      <c r="Y459" s="122" t="s">
        <v>2416</v>
      </c>
      <c r="Z459" s="123" t="s">
        <v>2407</v>
      </c>
      <c r="AA459" s="123" t="s">
        <v>2406</v>
      </c>
      <c r="AB459" s="123" t="s">
        <v>2372</v>
      </c>
      <c r="AC459" s="124" t="s">
        <v>12</v>
      </c>
      <c r="AD459" s="110">
        <f>COUNTIF('KK1. Movies'!AI:AI,'TK 15661.Bản quyền phim '!F459)</f>
        <v>1</v>
      </c>
      <c r="AE459" s="110">
        <f>COUNTIF('KK2. Series'!AM:AM,'TK 15661.Bản quyền phim '!F459)</f>
        <v>0</v>
      </c>
      <c r="AF459" s="110">
        <f>COUNTIF('KK3. Kids'!AF:AF,'TK 15661.Bản quyền phim '!F459)</f>
        <v>0</v>
      </c>
      <c r="AG459" s="110"/>
      <c r="AH459" s="110" t="str">
        <f t="shared" si="62"/>
        <v>OK</v>
      </c>
    </row>
    <row r="460" spans="1:34" ht="15.6" hidden="1" x14ac:dyDescent="0.3">
      <c r="B460" s="108" t="s">
        <v>2481</v>
      </c>
      <c r="C460" s="94" t="s">
        <v>2412</v>
      </c>
      <c r="D460" s="94" t="s">
        <v>2461</v>
      </c>
      <c r="E460" s="94" t="s">
        <v>2460</v>
      </c>
      <c r="F460" s="94" t="s">
        <v>1200</v>
      </c>
      <c r="G460" s="94" t="s">
        <v>2417</v>
      </c>
      <c r="H460" s="119">
        <v>1</v>
      </c>
      <c r="I460" s="119">
        <v>2</v>
      </c>
      <c r="J460" s="119">
        <f t="shared" si="56"/>
        <v>2</v>
      </c>
      <c r="K460" s="119">
        <v>77937000</v>
      </c>
      <c r="L460" s="119">
        <v>38968500</v>
      </c>
      <c r="M460" s="119">
        <f t="shared" si="57"/>
        <v>2</v>
      </c>
      <c r="N460" s="119">
        <f t="shared" si="58"/>
        <v>77937000</v>
      </c>
      <c r="O460" s="120">
        <v>45883</v>
      </c>
      <c r="P460" s="120">
        <v>46431</v>
      </c>
      <c r="Q460" s="119">
        <v>0</v>
      </c>
      <c r="R460" s="121">
        <v>0</v>
      </c>
      <c r="S460" s="119">
        <v>2</v>
      </c>
      <c r="T460" s="121">
        <v>77937000</v>
      </c>
      <c r="U460" s="119">
        <v>1</v>
      </c>
      <c r="V460" s="121">
        <f t="shared" si="59"/>
        <v>38968500</v>
      </c>
      <c r="W460" s="119">
        <f t="shared" si="60"/>
        <v>1</v>
      </c>
      <c r="X460" s="121">
        <f t="shared" si="61"/>
        <v>38968500</v>
      </c>
      <c r="Y460" s="122" t="s">
        <v>2416</v>
      </c>
      <c r="Z460" s="123" t="s">
        <v>2407</v>
      </c>
      <c r="AA460" s="123" t="s">
        <v>2406</v>
      </c>
      <c r="AB460" s="123" t="s">
        <v>2372</v>
      </c>
      <c r="AC460" s="124" t="s">
        <v>12</v>
      </c>
      <c r="AD460" s="110">
        <f>COUNTIF('KK1. Movies'!AI:AI,'TK 15661.Bản quyền phim '!F460)</f>
        <v>1</v>
      </c>
      <c r="AE460" s="110">
        <f>COUNTIF('KK2. Series'!AM:AM,'TK 15661.Bản quyền phim '!F460)</f>
        <v>0</v>
      </c>
      <c r="AF460" s="110">
        <f>COUNTIF('KK3. Kids'!AF:AF,'TK 15661.Bản quyền phim '!F460)</f>
        <v>0</v>
      </c>
      <c r="AG460" s="110"/>
      <c r="AH460" s="110" t="str">
        <f t="shared" si="62"/>
        <v>OK</v>
      </c>
    </row>
    <row r="461" spans="1:34" ht="15.6" hidden="1" x14ac:dyDescent="0.3">
      <c r="B461" s="108" t="s">
        <v>2480</v>
      </c>
      <c r="C461" s="94" t="s">
        <v>2412</v>
      </c>
      <c r="D461" s="94" t="s">
        <v>2461</v>
      </c>
      <c r="E461" s="94" t="s">
        <v>2460</v>
      </c>
      <c r="F461" s="94" t="s">
        <v>1205</v>
      </c>
      <c r="G461" s="94" t="s">
        <v>2417</v>
      </c>
      <c r="H461" s="119">
        <v>1</v>
      </c>
      <c r="I461" s="119">
        <v>2</v>
      </c>
      <c r="J461" s="119">
        <f t="shared" si="56"/>
        <v>2</v>
      </c>
      <c r="K461" s="119">
        <v>90926500</v>
      </c>
      <c r="L461" s="119">
        <v>45463250</v>
      </c>
      <c r="M461" s="119">
        <f t="shared" si="57"/>
        <v>2</v>
      </c>
      <c r="N461" s="119">
        <f t="shared" si="58"/>
        <v>90926500</v>
      </c>
      <c r="O461" s="120">
        <v>45777</v>
      </c>
      <c r="P461" s="120">
        <v>46324</v>
      </c>
      <c r="Q461" s="119">
        <v>0</v>
      </c>
      <c r="R461" s="121">
        <v>0</v>
      </c>
      <c r="S461" s="119">
        <v>2</v>
      </c>
      <c r="T461" s="121">
        <v>90926500</v>
      </c>
      <c r="U461" s="119">
        <v>1</v>
      </c>
      <c r="V461" s="121">
        <f t="shared" si="59"/>
        <v>45463250</v>
      </c>
      <c r="W461" s="119">
        <f t="shared" si="60"/>
        <v>1</v>
      </c>
      <c r="X461" s="121">
        <f t="shared" si="61"/>
        <v>45463250</v>
      </c>
      <c r="Y461" s="122" t="s">
        <v>2416</v>
      </c>
      <c r="Z461" s="123" t="s">
        <v>2407</v>
      </c>
      <c r="AA461" s="123" t="s">
        <v>2406</v>
      </c>
      <c r="AB461" s="123" t="s">
        <v>2372</v>
      </c>
      <c r="AC461" s="124" t="s">
        <v>12</v>
      </c>
      <c r="AD461" s="110">
        <f>COUNTIF('KK1. Movies'!AI:AI,'TK 15661.Bản quyền phim '!F461)</f>
        <v>1</v>
      </c>
      <c r="AE461" s="110">
        <f>COUNTIF('KK2. Series'!AM:AM,'TK 15661.Bản quyền phim '!F461)</f>
        <v>0</v>
      </c>
      <c r="AF461" s="110">
        <f>COUNTIF('KK3. Kids'!AF:AF,'TK 15661.Bản quyền phim '!F461)</f>
        <v>0</v>
      </c>
      <c r="AG461" s="110"/>
      <c r="AH461" s="110" t="str">
        <f t="shared" si="62"/>
        <v>OK</v>
      </c>
    </row>
    <row r="462" spans="1:34" ht="15.6" hidden="1" x14ac:dyDescent="0.3">
      <c r="B462" s="108" t="s">
        <v>2479</v>
      </c>
      <c r="C462" s="94" t="s">
        <v>2412</v>
      </c>
      <c r="D462" s="94" t="s">
        <v>2461</v>
      </c>
      <c r="E462" s="94" t="s">
        <v>2460</v>
      </c>
      <c r="F462" s="94" t="s">
        <v>1197</v>
      </c>
      <c r="G462" s="94" t="s">
        <v>2417</v>
      </c>
      <c r="H462" s="119">
        <v>1</v>
      </c>
      <c r="I462" s="119">
        <v>2</v>
      </c>
      <c r="J462" s="119">
        <f t="shared" si="56"/>
        <v>2</v>
      </c>
      <c r="K462" s="119">
        <v>77937000</v>
      </c>
      <c r="L462" s="119">
        <v>38968500</v>
      </c>
      <c r="M462" s="119">
        <f t="shared" si="57"/>
        <v>2</v>
      </c>
      <c r="N462" s="119">
        <f t="shared" si="58"/>
        <v>77937000</v>
      </c>
      <c r="O462" s="120">
        <v>45883</v>
      </c>
      <c r="P462" s="120">
        <v>46431</v>
      </c>
      <c r="Q462" s="119">
        <v>0</v>
      </c>
      <c r="R462" s="121">
        <v>0</v>
      </c>
      <c r="S462" s="119">
        <v>2</v>
      </c>
      <c r="T462" s="121">
        <v>77937000</v>
      </c>
      <c r="U462" s="119">
        <v>1</v>
      </c>
      <c r="V462" s="121">
        <f t="shared" si="59"/>
        <v>38968500</v>
      </c>
      <c r="W462" s="119">
        <f t="shared" si="60"/>
        <v>1</v>
      </c>
      <c r="X462" s="121">
        <f t="shared" si="61"/>
        <v>38968500</v>
      </c>
      <c r="Y462" s="122" t="s">
        <v>2416</v>
      </c>
      <c r="Z462" s="123" t="s">
        <v>2407</v>
      </c>
      <c r="AA462" s="123" t="s">
        <v>2406</v>
      </c>
      <c r="AB462" s="123" t="s">
        <v>2372</v>
      </c>
      <c r="AC462" s="124" t="s">
        <v>12</v>
      </c>
      <c r="AD462" s="110">
        <f>COUNTIF('KK1. Movies'!AI:AI,'TK 15661.Bản quyền phim '!F462)</f>
        <v>1</v>
      </c>
      <c r="AE462" s="110">
        <f>COUNTIF('KK2. Series'!AM:AM,'TK 15661.Bản quyền phim '!F462)</f>
        <v>0</v>
      </c>
      <c r="AF462" s="110">
        <f>COUNTIF('KK3. Kids'!AF:AF,'TK 15661.Bản quyền phim '!F462)</f>
        <v>0</v>
      </c>
      <c r="AG462" s="110"/>
      <c r="AH462" s="110" t="str">
        <f t="shared" si="62"/>
        <v>OK</v>
      </c>
    </row>
    <row r="463" spans="1:34" ht="15.6" hidden="1" x14ac:dyDescent="0.3">
      <c r="B463" s="108" t="s">
        <v>2478</v>
      </c>
      <c r="C463" s="94" t="s">
        <v>2412</v>
      </c>
      <c r="D463" s="94" t="s">
        <v>2461</v>
      </c>
      <c r="E463" s="94" t="s">
        <v>2460</v>
      </c>
      <c r="F463" s="94" t="s">
        <v>1125</v>
      </c>
      <c r="G463" s="94" t="s">
        <v>2417</v>
      </c>
      <c r="H463" s="119">
        <v>1</v>
      </c>
      <c r="I463" s="119">
        <v>2</v>
      </c>
      <c r="J463" s="119">
        <f t="shared" si="56"/>
        <v>2</v>
      </c>
      <c r="K463" s="119">
        <v>77937000</v>
      </c>
      <c r="L463" s="119">
        <v>38968500</v>
      </c>
      <c r="M463" s="119">
        <f t="shared" si="57"/>
        <v>2</v>
      </c>
      <c r="N463" s="119">
        <f t="shared" si="58"/>
        <v>77937000</v>
      </c>
      <c r="O463" s="120">
        <v>46008</v>
      </c>
      <c r="P463" s="120">
        <v>46554</v>
      </c>
      <c r="Q463" s="119">
        <v>0</v>
      </c>
      <c r="R463" s="121">
        <v>0</v>
      </c>
      <c r="S463" s="119">
        <v>2</v>
      </c>
      <c r="T463" s="121">
        <v>77937000</v>
      </c>
      <c r="U463" s="119">
        <v>1</v>
      </c>
      <c r="V463" s="121">
        <f t="shared" si="59"/>
        <v>38968500</v>
      </c>
      <c r="W463" s="119">
        <f t="shared" si="60"/>
        <v>1</v>
      </c>
      <c r="X463" s="121">
        <f t="shared" si="61"/>
        <v>38968500</v>
      </c>
      <c r="Y463" s="122" t="s">
        <v>2416</v>
      </c>
      <c r="Z463" s="123" t="s">
        <v>2407</v>
      </c>
      <c r="AA463" s="123" t="s">
        <v>2406</v>
      </c>
      <c r="AB463" s="123" t="s">
        <v>2372</v>
      </c>
      <c r="AC463" s="124" t="s">
        <v>12</v>
      </c>
      <c r="AD463" s="110">
        <f>COUNTIF('KK1. Movies'!AI:AI,'TK 15661.Bản quyền phim '!F463)</f>
        <v>1</v>
      </c>
      <c r="AE463" s="110">
        <f>COUNTIF('KK2. Series'!AM:AM,'TK 15661.Bản quyền phim '!F463)</f>
        <v>0</v>
      </c>
      <c r="AF463" s="110">
        <f>COUNTIF('KK3. Kids'!AF:AF,'TK 15661.Bản quyền phim '!F463)</f>
        <v>0</v>
      </c>
      <c r="AG463" s="110"/>
      <c r="AH463" s="110" t="str">
        <f t="shared" si="62"/>
        <v>OK</v>
      </c>
    </row>
    <row r="464" spans="1:34" ht="15.6" hidden="1" x14ac:dyDescent="0.3">
      <c r="B464" s="108" t="s">
        <v>2477</v>
      </c>
      <c r="C464" s="94" t="s">
        <v>2412</v>
      </c>
      <c r="D464" s="94" t="s">
        <v>2461</v>
      </c>
      <c r="E464" s="94" t="s">
        <v>2460</v>
      </c>
      <c r="F464" s="94" t="s">
        <v>1166</v>
      </c>
      <c r="G464" s="94" t="s">
        <v>2417</v>
      </c>
      <c r="H464" s="119">
        <v>1</v>
      </c>
      <c r="I464" s="119">
        <v>2</v>
      </c>
      <c r="J464" s="119">
        <f t="shared" si="56"/>
        <v>2</v>
      </c>
      <c r="K464" s="119">
        <v>90926500</v>
      </c>
      <c r="L464" s="119">
        <v>45463250</v>
      </c>
      <c r="M464" s="119">
        <f t="shared" si="57"/>
        <v>2</v>
      </c>
      <c r="N464" s="119">
        <f t="shared" si="58"/>
        <v>90926500</v>
      </c>
      <c r="O464" s="120">
        <v>45974</v>
      </c>
      <c r="P464" s="120">
        <v>46519</v>
      </c>
      <c r="Q464" s="119">
        <v>0</v>
      </c>
      <c r="R464" s="121">
        <v>0</v>
      </c>
      <c r="S464" s="119">
        <v>2</v>
      </c>
      <c r="T464" s="121">
        <v>90926500</v>
      </c>
      <c r="U464" s="119">
        <v>1</v>
      </c>
      <c r="V464" s="121">
        <f t="shared" si="59"/>
        <v>45463250</v>
      </c>
      <c r="W464" s="119">
        <f t="shared" si="60"/>
        <v>1</v>
      </c>
      <c r="X464" s="121">
        <f t="shared" si="61"/>
        <v>45463250</v>
      </c>
      <c r="Y464" s="122" t="s">
        <v>2416</v>
      </c>
      <c r="Z464" s="123" t="s">
        <v>2407</v>
      </c>
      <c r="AA464" s="123" t="s">
        <v>2406</v>
      </c>
      <c r="AB464" s="123" t="s">
        <v>2372</v>
      </c>
      <c r="AC464" s="124" t="s">
        <v>12</v>
      </c>
      <c r="AD464" s="110">
        <f>COUNTIF('KK1. Movies'!AI:AI,'TK 15661.Bản quyền phim '!F464)</f>
        <v>1</v>
      </c>
      <c r="AE464" s="110">
        <f>COUNTIF('KK2. Series'!AM:AM,'TK 15661.Bản quyền phim '!F464)</f>
        <v>0</v>
      </c>
      <c r="AF464" s="110">
        <f>COUNTIF('KK3. Kids'!AF:AF,'TK 15661.Bản quyền phim '!F464)</f>
        <v>0</v>
      </c>
      <c r="AG464" s="110"/>
      <c r="AH464" s="110" t="str">
        <f t="shared" si="62"/>
        <v>OK</v>
      </c>
    </row>
    <row r="465" spans="1:34" ht="15.6" hidden="1" x14ac:dyDescent="0.3">
      <c r="B465" s="108" t="s">
        <v>2476</v>
      </c>
      <c r="C465" s="94" t="s">
        <v>2412</v>
      </c>
      <c r="D465" s="94" t="s">
        <v>2461</v>
      </c>
      <c r="E465" s="94" t="s">
        <v>2460</v>
      </c>
      <c r="F465" s="94" t="s">
        <v>1163</v>
      </c>
      <c r="G465" s="94" t="s">
        <v>2417</v>
      </c>
      <c r="H465" s="119">
        <v>1</v>
      </c>
      <c r="I465" s="119">
        <v>2</v>
      </c>
      <c r="J465" s="119">
        <f t="shared" si="56"/>
        <v>2</v>
      </c>
      <c r="K465" s="119">
        <v>116905500</v>
      </c>
      <c r="L465" s="119">
        <v>58452750</v>
      </c>
      <c r="M465" s="119">
        <f t="shared" si="57"/>
        <v>2</v>
      </c>
      <c r="N465" s="119">
        <f t="shared" si="58"/>
        <v>116905500</v>
      </c>
      <c r="O465" s="120">
        <v>45974</v>
      </c>
      <c r="P465" s="120">
        <v>46519</v>
      </c>
      <c r="Q465" s="119">
        <v>0</v>
      </c>
      <c r="R465" s="121">
        <v>0</v>
      </c>
      <c r="S465" s="119">
        <v>2</v>
      </c>
      <c r="T465" s="121">
        <v>116905500</v>
      </c>
      <c r="U465" s="119">
        <v>1</v>
      </c>
      <c r="V465" s="121">
        <f t="shared" si="59"/>
        <v>58452750</v>
      </c>
      <c r="W465" s="119">
        <f t="shared" si="60"/>
        <v>1</v>
      </c>
      <c r="X465" s="121">
        <f t="shared" si="61"/>
        <v>58452750</v>
      </c>
      <c r="Y465" s="122" t="s">
        <v>2416</v>
      </c>
      <c r="Z465" s="123" t="s">
        <v>2407</v>
      </c>
      <c r="AA465" s="123" t="s">
        <v>2406</v>
      </c>
      <c r="AB465" s="123" t="s">
        <v>2372</v>
      </c>
      <c r="AC465" s="124" t="s">
        <v>12</v>
      </c>
      <c r="AD465" s="110">
        <f>COUNTIF('KK1. Movies'!AI:AI,'TK 15661.Bản quyền phim '!F465)</f>
        <v>1</v>
      </c>
      <c r="AE465" s="110">
        <f>COUNTIF('KK2. Series'!AM:AM,'TK 15661.Bản quyền phim '!F465)</f>
        <v>0</v>
      </c>
      <c r="AF465" s="110">
        <f>COUNTIF('KK3. Kids'!AF:AF,'TK 15661.Bản quyền phim '!F465)</f>
        <v>0</v>
      </c>
      <c r="AG465" s="110"/>
      <c r="AH465" s="110" t="str">
        <f t="shared" si="62"/>
        <v>OK</v>
      </c>
    </row>
    <row r="466" spans="1:34" ht="15.6" hidden="1" x14ac:dyDescent="0.3">
      <c r="B466" s="108" t="s">
        <v>2475</v>
      </c>
      <c r="C466" s="94" t="s">
        <v>2412</v>
      </c>
      <c r="D466" s="94" t="s">
        <v>2461</v>
      </c>
      <c r="E466" s="94" t="s">
        <v>2460</v>
      </c>
      <c r="F466" s="94" t="s">
        <v>1194</v>
      </c>
      <c r="G466" s="94" t="s">
        <v>2417</v>
      </c>
      <c r="H466" s="119">
        <v>1</v>
      </c>
      <c r="I466" s="119">
        <v>2</v>
      </c>
      <c r="J466" s="119">
        <f t="shared" si="56"/>
        <v>2</v>
      </c>
      <c r="K466" s="119">
        <v>77937000</v>
      </c>
      <c r="L466" s="119">
        <v>38968500</v>
      </c>
      <c r="M466" s="119">
        <f t="shared" si="57"/>
        <v>2</v>
      </c>
      <c r="N466" s="119">
        <f t="shared" si="58"/>
        <v>77937000</v>
      </c>
      <c r="O466" s="120">
        <v>45883</v>
      </c>
      <c r="P466" s="120">
        <v>46431</v>
      </c>
      <c r="Q466" s="119">
        <v>0</v>
      </c>
      <c r="R466" s="121">
        <v>0</v>
      </c>
      <c r="S466" s="119">
        <v>2</v>
      </c>
      <c r="T466" s="121">
        <v>77937000</v>
      </c>
      <c r="U466" s="119">
        <v>1</v>
      </c>
      <c r="V466" s="121">
        <f t="shared" si="59"/>
        <v>38968500</v>
      </c>
      <c r="W466" s="119">
        <f t="shared" si="60"/>
        <v>1</v>
      </c>
      <c r="X466" s="121">
        <f t="shared" si="61"/>
        <v>38968500</v>
      </c>
      <c r="Y466" s="122" t="s">
        <v>2416</v>
      </c>
      <c r="Z466" s="123" t="s">
        <v>2407</v>
      </c>
      <c r="AA466" s="123" t="s">
        <v>2406</v>
      </c>
      <c r="AB466" s="123" t="s">
        <v>2372</v>
      </c>
      <c r="AC466" s="124" t="s">
        <v>12</v>
      </c>
      <c r="AD466" s="110">
        <f>COUNTIF('KK1. Movies'!AI:AI,'TK 15661.Bản quyền phim '!F466)</f>
        <v>1</v>
      </c>
      <c r="AE466" s="110">
        <f>COUNTIF('KK2. Series'!AM:AM,'TK 15661.Bản quyền phim '!F466)</f>
        <v>0</v>
      </c>
      <c r="AF466" s="110">
        <f>COUNTIF('KK3. Kids'!AF:AF,'TK 15661.Bản quyền phim '!F466)</f>
        <v>0</v>
      </c>
      <c r="AG466" s="110"/>
      <c r="AH466" s="110" t="str">
        <f t="shared" si="62"/>
        <v>OK</v>
      </c>
    </row>
    <row r="467" spans="1:34" ht="15.6" hidden="1" x14ac:dyDescent="0.3">
      <c r="B467" s="108" t="s">
        <v>2474</v>
      </c>
      <c r="C467" s="94" t="s">
        <v>2412</v>
      </c>
      <c r="D467" s="94" t="s">
        <v>2461</v>
      </c>
      <c r="E467" s="94" t="s">
        <v>2460</v>
      </c>
      <c r="F467" s="94" t="s">
        <v>1159</v>
      </c>
      <c r="G467" s="94" t="s">
        <v>2417</v>
      </c>
      <c r="H467" s="119">
        <v>1</v>
      </c>
      <c r="I467" s="119">
        <v>2</v>
      </c>
      <c r="J467" s="119">
        <f t="shared" si="56"/>
        <v>2</v>
      </c>
      <c r="K467" s="119">
        <v>90926500</v>
      </c>
      <c r="L467" s="119">
        <v>45463250</v>
      </c>
      <c r="M467" s="119">
        <f t="shared" si="57"/>
        <v>2</v>
      </c>
      <c r="N467" s="119">
        <f t="shared" si="58"/>
        <v>90926500</v>
      </c>
      <c r="O467" s="120">
        <v>45974</v>
      </c>
      <c r="P467" s="120">
        <v>46519</v>
      </c>
      <c r="Q467" s="119">
        <v>0</v>
      </c>
      <c r="R467" s="121">
        <v>0</v>
      </c>
      <c r="S467" s="119">
        <v>2</v>
      </c>
      <c r="T467" s="121">
        <v>90926500</v>
      </c>
      <c r="U467" s="119">
        <v>1</v>
      </c>
      <c r="V467" s="121">
        <f t="shared" si="59"/>
        <v>45463250</v>
      </c>
      <c r="W467" s="119">
        <f t="shared" si="60"/>
        <v>1</v>
      </c>
      <c r="X467" s="121">
        <f t="shared" si="61"/>
        <v>45463250</v>
      </c>
      <c r="Y467" s="122" t="s">
        <v>2416</v>
      </c>
      <c r="Z467" s="123" t="s">
        <v>2407</v>
      </c>
      <c r="AA467" s="123" t="s">
        <v>2406</v>
      </c>
      <c r="AB467" s="123" t="s">
        <v>2372</v>
      </c>
      <c r="AC467" s="124" t="s">
        <v>12</v>
      </c>
      <c r="AD467" s="110">
        <f>COUNTIF('KK1. Movies'!AI:AI,'TK 15661.Bản quyền phim '!F467)</f>
        <v>1</v>
      </c>
      <c r="AE467" s="110">
        <f>COUNTIF('KK2. Series'!AM:AM,'TK 15661.Bản quyền phim '!F467)</f>
        <v>0</v>
      </c>
      <c r="AF467" s="110">
        <f>COUNTIF('KK3. Kids'!AF:AF,'TK 15661.Bản quyền phim '!F467)</f>
        <v>0</v>
      </c>
      <c r="AG467" s="110"/>
      <c r="AH467" s="110" t="str">
        <f t="shared" si="62"/>
        <v>OK</v>
      </c>
    </row>
    <row r="468" spans="1:34" ht="15.6" hidden="1" x14ac:dyDescent="0.3">
      <c r="B468" s="108" t="s">
        <v>2473</v>
      </c>
      <c r="C468" s="94" t="s">
        <v>2412</v>
      </c>
      <c r="D468" s="94" t="s">
        <v>2461</v>
      </c>
      <c r="E468" s="94" t="s">
        <v>2460</v>
      </c>
      <c r="F468" s="94" t="s">
        <v>1156</v>
      </c>
      <c r="G468" s="94" t="s">
        <v>2417</v>
      </c>
      <c r="H468" s="119">
        <v>1</v>
      </c>
      <c r="I468" s="119">
        <v>2</v>
      </c>
      <c r="J468" s="119">
        <f t="shared" si="56"/>
        <v>2</v>
      </c>
      <c r="K468" s="119">
        <v>90926500</v>
      </c>
      <c r="L468" s="119">
        <v>45463250</v>
      </c>
      <c r="M468" s="119">
        <f t="shared" si="57"/>
        <v>2</v>
      </c>
      <c r="N468" s="119">
        <f t="shared" si="58"/>
        <v>90926500</v>
      </c>
      <c r="O468" s="120">
        <v>45974</v>
      </c>
      <c r="P468" s="120">
        <v>46519</v>
      </c>
      <c r="Q468" s="119">
        <v>0</v>
      </c>
      <c r="R468" s="121">
        <v>0</v>
      </c>
      <c r="S468" s="119">
        <v>2</v>
      </c>
      <c r="T468" s="121">
        <v>90926500</v>
      </c>
      <c r="U468" s="119">
        <v>1</v>
      </c>
      <c r="V468" s="121">
        <f t="shared" si="59"/>
        <v>45463250</v>
      </c>
      <c r="W468" s="119">
        <f t="shared" si="60"/>
        <v>1</v>
      </c>
      <c r="X468" s="121">
        <f t="shared" si="61"/>
        <v>45463250</v>
      </c>
      <c r="Y468" s="122" t="s">
        <v>2416</v>
      </c>
      <c r="Z468" s="123" t="s">
        <v>2407</v>
      </c>
      <c r="AA468" s="123" t="s">
        <v>2406</v>
      </c>
      <c r="AB468" s="123" t="s">
        <v>2372</v>
      </c>
      <c r="AC468" s="124" t="s">
        <v>12</v>
      </c>
      <c r="AD468" s="110">
        <f>COUNTIF('KK1. Movies'!AI:AI,'TK 15661.Bản quyền phim '!F468)</f>
        <v>1</v>
      </c>
      <c r="AE468" s="110">
        <f>COUNTIF('KK2. Series'!AM:AM,'TK 15661.Bản quyền phim '!F468)</f>
        <v>0</v>
      </c>
      <c r="AF468" s="110">
        <f>COUNTIF('KK3. Kids'!AF:AF,'TK 15661.Bản quyền phim '!F468)</f>
        <v>0</v>
      </c>
      <c r="AG468" s="110"/>
      <c r="AH468" s="110" t="str">
        <f t="shared" si="62"/>
        <v>OK</v>
      </c>
    </row>
    <row r="469" spans="1:34" ht="15.6" hidden="1" x14ac:dyDescent="0.3">
      <c r="B469" s="108" t="s">
        <v>2472</v>
      </c>
      <c r="C469" s="94" t="s">
        <v>2412</v>
      </c>
      <c r="D469" s="94" t="s">
        <v>2461</v>
      </c>
      <c r="E469" s="94" t="s">
        <v>2460</v>
      </c>
      <c r="F469" s="94" t="s">
        <v>1463</v>
      </c>
      <c r="G469" s="94" t="s">
        <v>2417</v>
      </c>
      <c r="H469" s="119">
        <v>1</v>
      </c>
      <c r="I469" s="119">
        <v>2</v>
      </c>
      <c r="J469" s="119">
        <f t="shared" si="56"/>
        <v>2</v>
      </c>
      <c r="K469" s="119">
        <v>90926500</v>
      </c>
      <c r="L469" s="119">
        <v>45463250</v>
      </c>
      <c r="M469" s="119">
        <f t="shared" si="57"/>
        <v>2</v>
      </c>
      <c r="N469" s="119">
        <f t="shared" si="58"/>
        <v>90926500</v>
      </c>
      <c r="O469" s="120">
        <v>45777</v>
      </c>
      <c r="P469" s="120">
        <v>46324</v>
      </c>
      <c r="Q469" s="119">
        <v>0</v>
      </c>
      <c r="R469" s="121">
        <v>0</v>
      </c>
      <c r="S469" s="119">
        <v>2</v>
      </c>
      <c r="T469" s="121">
        <v>90926500</v>
      </c>
      <c r="U469" s="119">
        <v>1</v>
      </c>
      <c r="V469" s="121">
        <f t="shared" si="59"/>
        <v>45463250</v>
      </c>
      <c r="W469" s="119">
        <f t="shared" si="60"/>
        <v>1</v>
      </c>
      <c r="X469" s="121">
        <f t="shared" si="61"/>
        <v>45463250</v>
      </c>
      <c r="Y469" s="122" t="s">
        <v>2416</v>
      </c>
      <c r="Z469" s="123" t="s">
        <v>2407</v>
      </c>
      <c r="AA469" s="123" t="s">
        <v>2406</v>
      </c>
      <c r="AB469" s="123" t="s">
        <v>2372</v>
      </c>
      <c r="AC469" s="124" t="s">
        <v>12</v>
      </c>
      <c r="AD469" s="110">
        <f>COUNTIF('KK1. Movies'!AI:AI,'TK 15661.Bản quyền phim '!F469)</f>
        <v>1</v>
      </c>
      <c r="AE469" s="110">
        <f>COUNTIF('KK2. Series'!AM:AM,'TK 15661.Bản quyền phim '!F469)</f>
        <v>0</v>
      </c>
      <c r="AF469" s="110">
        <f>COUNTIF('KK3. Kids'!AF:AF,'TK 15661.Bản quyền phim '!F469)</f>
        <v>0</v>
      </c>
      <c r="AG469" s="110"/>
      <c r="AH469" s="110" t="str">
        <f t="shared" si="62"/>
        <v>OK</v>
      </c>
    </row>
    <row r="470" spans="1:34" ht="15.6" hidden="1" x14ac:dyDescent="0.3">
      <c r="B470" s="108" t="s">
        <v>2471</v>
      </c>
      <c r="C470" s="94" t="s">
        <v>2412</v>
      </c>
      <c r="D470" s="94" t="s">
        <v>2461</v>
      </c>
      <c r="E470" s="94" t="s">
        <v>2460</v>
      </c>
      <c r="F470" s="94" t="s">
        <v>1190</v>
      </c>
      <c r="G470" s="94" t="s">
        <v>2417</v>
      </c>
      <c r="H470" s="119">
        <v>1</v>
      </c>
      <c r="I470" s="119">
        <v>1</v>
      </c>
      <c r="J470" s="119">
        <f t="shared" si="56"/>
        <v>1</v>
      </c>
      <c r="K470" s="119">
        <v>62349600</v>
      </c>
      <c r="L470" s="119">
        <v>62349600</v>
      </c>
      <c r="M470" s="119">
        <f t="shared" si="57"/>
        <v>1</v>
      </c>
      <c r="N470" s="119">
        <f t="shared" si="58"/>
        <v>62349600</v>
      </c>
      <c r="O470" s="120">
        <v>45883</v>
      </c>
      <c r="P470" s="120">
        <v>46387</v>
      </c>
      <c r="Q470" s="119">
        <v>0</v>
      </c>
      <c r="R470" s="121">
        <v>0</v>
      </c>
      <c r="S470" s="119">
        <v>1</v>
      </c>
      <c r="T470" s="121">
        <v>62349600</v>
      </c>
      <c r="U470" s="119">
        <v>1</v>
      </c>
      <c r="V470" s="121">
        <f t="shared" si="59"/>
        <v>62349600</v>
      </c>
      <c r="W470" s="119">
        <f t="shared" si="60"/>
        <v>0</v>
      </c>
      <c r="X470" s="121">
        <f t="shared" si="61"/>
        <v>0</v>
      </c>
      <c r="Y470" s="122" t="s">
        <v>2416</v>
      </c>
      <c r="Z470" s="123" t="s">
        <v>2407</v>
      </c>
      <c r="AA470" s="123" t="s">
        <v>2406</v>
      </c>
      <c r="AB470" s="123" t="s">
        <v>2372</v>
      </c>
      <c r="AC470" s="124" t="s">
        <v>12</v>
      </c>
      <c r="AD470" s="110">
        <f>COUNTIF('KK1. Movies'!AI:AI,'TK 15661.Bản quyền phim '!F470)</f>
        <v>1</v>
      </c>
      <c r="AE470" s="110">
        <f>COUNTIF('KK2. Series'!AM:AM,'TK 15661.Bản quyền phim '!F470)</f>
        <v>0</v>
      </c>
      <c r="AF470" s="110">
        <f>COUNTIF('KK3. Kids'!AF:AF,'TK 15661.Bản quyền phim '!F470)</f>
        <v>0</v>
      </c>
      <c r="AG470" s="110"/>
      <c r="AH470" s="110" t="str">
        <f t="shared" si="62"/>
        <v>OK</v>
      </c>
    </row>
    <row r="471" spans="1:34" ht="15.6" hidden="1" x14ac:dyDescent="0.3">
      <c r="B471" s="108" t="s">
        <v>2470</v>
      </c>
      <c r="C471" s="94" t="s">
        <v>2412</v>
      </c>
      <c r="D471" s="94" t="s">
        <v>2461</v>
      </c>
      <c r="E471" s="94" t="s">
        <v>2460</v>
      </c>
      <c r="F471" s="94" t="s">
        <v>1152</v>
      </c>
      <c r="G471" s="94" t="s">
        <v>2417</v>
      </c>
      <c r="H471" s="119">
        <v>1</v>
      </c>
      <c r="I471" s="119">
        <v>2</v>
      </c>
      <c r="J471" s="119">
        <f t="shared" si="56"/>
        <v>2</v>
      </c>
      <c r="K471" s="119">
        <v>77937000</v>
      </c>
      <c r="L471" s="119">
        <v>38968500</v>
      </c>
      <c r="M471" s="119">
        <f t="shared" si="57"/>
        <v>2</v>
      </c>
      <c r="N471" s="119">
        <f t="shared" si="58"/>
        <v>77937000</v>
      </c>
      <c r="O471" s="120">
        <v>45974</v>
      </c>
      <c r="P471" s="120">
        <v>46519</v>
      </c>
      <c r="Q471" s="119">
        <v>0</v>
      </c>
      <c r="R471" s="121">
        <v>0</v>
      </c>
      <c r="S471" s="119">
        <v>2</v>
      </c>
      <c r="T471" s="121">
        <v>77937000</v>
      </c>
      <c r="U471" s="119">
        <v>1</v>
      </c>
      <c r="V471" s="121">
        <f t="shared" si="59"/>
        <v>38968500</v>
      </c>
      <c r="W471" s="119">
        <f t="shared" si="60"/>
        <v>1</v>
      </c>
      <c r="X471" s="121">
        <f t="shared" si="61"/>
        <v>38968500</v>
      </c>
      <c r="Y471" s="122" t="s">
        <v>2416</v>
      </c>
      <c r="Z471" s="123" t="s">
        <v>2407</v>
      </c>
      <c r="AA471" s="123" t="s">
        <v>2406</v>
      </c>
      <c r="AB471" s="123" t="s">
        <v>2372</v>
      </c>
      <c r="AC471" s="124" t="s">
        <v>12</v>
      </c>
      <c r="AD471" s="110">
        <f>COUNTIF('KK1. Movies'!AI:AI,'TK 15661.Bản quyền phim '!F471)</f>
        <v>1</v>
      </c>
      <c r="AE471" s="110">
        <f>COUNTIF('KK2. Series'!AM:AM,'TK 15661.Bản quyền phim '!F471)</f>
        <v>0</v>
      </c>
      <c r="AF471" s="110">
        <f>COUNTIF('KK3. Kids'!AF:AF,'TK 15661.Bản quyền phim '!F471)</f>
        <v>0</v>
      </c>
      <c r="AG471" s="110"/>
      <c r="AH471" s="110" t="str">
        <f t="shared" si="62"/>
        <v>OK</v>
      </c>
    </row>
    <row r="472" spans="1:34" ht="15.6" hidden="1" x14ac:dyDescent="0.3">
      <c r="B472" s="108" t="s">
        <v>2469</v>
      </c>
      <c r="C472" s="94" t="s">
        <v>2412</v>
      </c>
      <c r="D472" s="94" t="s">
        <v>2461</v>
      </c>
      <c r="E472" s="94" t="s">
        <v>2460</v>
      </c>
      <c r="F472" s="94" t="s">
        <v>1187</v>
      </c>
      <c r="G472" s="94" t="s">
        <v>2417</v>
      </c>
      <c r="H472" s="119">
        <v>1</v>
      </c>
      <c r="I472" s="119">
        <v>1</v>
      </c>
      <c r="J472" s="119">
        <f t="shared" si="56"/>
        <v>1</v>
      </c>
      <c r="K472" s="119">
        <v>72741200</v>
      </c>
      <c r="L472" s="119">
        <v>72741200</v>
      </c>
      <c r="M472" s="119">
        <f t="shared" si="57"/>
        <v>1</v>
      </c>
      <c r="N472" s="119">
        <f t="shared" si="58"/>
        <v>72741200</v>
      </c>
      <c r="O472" s="120">
        <v>45883</v>
      </c>
      <c r="P472" s="120">
        <v>46356</v>
      </c>
      <c r="Q472" s="119">
        <v>0</v>
      </c>
      <c r="R472" s="121">
        <v>0</v>
      </c>
      <c r="S472" s="119">
        <v>1</v>
      </c>
      <c r="T472" s="121">
        <v>72741200</v>
      </c>
      <c r="U472" s="119">
        <v>1</v>
      </c>
      <c r="V472" s="121">
        <f t="shared" si="59"/>
        <v>72741200</v>
      </c>
      <c r="W472" s="119">
        <f t="shared" si="60"/>
        <v>0</v>
      </c>
      <c r="X472" s="121">
        <f t="shared" si="61"/>
        <v>0</v>
      </c>
      <c r="Y472" s="122" t="s">
        <v>2416</v>
      </c>
      <c r="Z472" s="123" t="s">
        <v>2407</v>
      </c>
      <c r="AA472" s="123" t="s">
        <v>2406</v>
      </c>
      <c r="AB472" s="123" t="s">
        <v>2372</v>
      </c>
      <c r="AC472" s="124" t="s">
        <v>12</v>
      </c>
      <c r="AD472" s="110">
        <f>COUNTIF('KK1. Movies'!AI:AI,'TK 15661.Bản quyền phim '!F472)</f>
        <v>1</v>
      </c>
      <c r="AE472" s="110">
        <f>COUNTIF('KK2. Series'!AM:AM,'TK 15661.Bản quyền phim '!F472)</f>
        <v>0</v>
      </c>
      <c r="AF472" s="110">
        <f>COUNTIF('KK3. Kids'!AF:AF,'TK 15661.Bản quyền phim '!F472)</f>
        <v>0</v>
      </c>
      <c r="AG472" s="110"/>
      <c r="AH472" s="110" t="str">
        <f t="shared" si="62"/>
        <v>OK</v>
      </c>
    </row>
    <row r="473" spans="1:34" ht="15.6" hidden="1" x14ac:dyDescent="0.3">
      <c r="B473" s="108" t="s">
        <v>2468</v>
      </c>
      <c r="C473" s="94" t="s">
        <v>2412</v>
      </c>
      <c r="D473" s="94" t="s">
        <v>2461</v>
      </c>
      <c r="E473" s="94" t="s">
        <v>2460</v>
      </c>
      <c r="F473" s="94" t="s">
        <v>1149</v>
      </c>
      <c r="G473" s="94" t="s">
        <v>2417</v>
      </c>
      <c r="H473" s="119">
        <v>1</v>
      </c>
      <c r="I473" s="119">
        <v>2</v>
      </c>
      <c r="J473" s="119">
        <f t="shared" si="56"/>
        <v>2</v>
      </c>
      <c r="K473" s="119">
        <v>77937000</v>
      </c>
      <c r="L473" s="119">
        <v>38968500</v>
      </c>
      <c r="M473" s="119">
        <f t="shared" si="57"/>
        <v>2</v>
      </c>
      <c r="N473" s="119">
        <f t="shared" si="58"/>
        <v>77937000</v>
      </c>
      <c r="O473" s="120">
        <v>45974</v>
      </c>
      <c r="P473" s="120">
        <v>46519</v>
      </c>
      <c r="Q473" s="119">
        <v>0</v>
      </c>
      <c r="R473" s="121">
        <v>0</v>
      </c>
      <c r="S473" s="119">
        <v>2</v>
      </c>
      <c r="T473" s="121">
        <v>77937000</v>
      </c>
      <c r="U473" s="119">
        <v>1</v>
      </c>
      <c r="V473" s="121">
        <f t="shared" si="59"/>
        <v>38968500</v>
      </c>
      <c r="W473" s="119">
        <f t="shared" si="60"/>
        <v>1</v>
      </c>
      <c r="X473" s="121">
        <f t="shared" si="61"/>
        <v>38968500</v>
      </c>
      <c r="Y473" s="122" t="s">
        <v>2416</v>
      </c>
      <c r="Z473" s="123" t="s">
        <v>2407</v>
      </c>
      <c r="AA473" s="123" t="s">
        <v>2406</v>
      </c>
      <c r="AB473" s="123" t="s">
        <v>2372</v>
      </c>
      <c r="AC473" s="124" t="s">
        <v>12</v>
      </c>
      <c r="AD473" s="110">
        <f>COUNTIF('KK1. Movies'!AI:AI,'TK 15661.Bản quyền phim '!F473)</f>
        <v>1</v>
      </c>
      <c r="AE473" s="110">
        <f>COUNTIF('KK2. Series'!AM:AM,'TK 15661.Bản quyền phim '!F473)</f>
        <v>0</v>
      </c>
      <c r="AF473" s="110">
        <f>COUNTIF('KK3. Kids'!AF:AF,'TK 15661.Bản quyền phim '!F473)</f>
        <v>0</v>
      </c>
      <c r="AG473" s="110"/>
      <c r="AH473" s="110" t="str">
        <f t="shared" si="62"/>
        <v>OK</v>
      </c>
    </row>
    <row r="474" spans="1:34" ht="15.6" hidden="1" x14ac:dyDescent="0.3">
      <c r="B474" s="108" t="s">
        <v>2467</v>
      </c>
      <c r="C474" s="94" t="s">
        <v>2412</v>
      </c>
      <c r="D474" s="94" t="s">
        <v>2461</v>
      </c>
      <c r="E474" s="94" t="s">
        <v>2460</v>
      </c>
      <c r="F474" s="94" t="s">
        <v>1130</v>
      </c>
      <c r="G474" s="94" t="s">
        <v>2417</v>
      </c>
      <c r="H474" s="119">
        <v>1</v>
      </c>
      <c r="I474" s="119">
        <v>2</v>
      </c>
      <c r="J474" s="119">
        <f t="shared" si="56"/>
        <v>2</v>
      </c>
      <c r="K474" s="119">
        <v>90926500</v>
      </c>
      <c r="L474" s="119">
        <v>45463250</v>
      </c>
      <c r="M474" s="119">
        <f t="shared" si="57"/>
        <v>2</v>
      </c>
      <c r="N474" s="119">
        <f t="shared" si="58"/>
        <v>90926500</v>
      </c>
      <c r="O474" s="120">
        <v>45974</v>
      </c>
      <c r="P474" s="120">
        <v>46519</v>
      </c>
      <c r="Q474" s="119">
        <v>0</v>
      </c>
      <c r="R474" s="121">
        <v>0</v>
      </c>
      <c r="S474" s="119">
        <v>2</v>
      </c>
      <c r="T474" s="121">
        <v>90926500</v>
      </c>
      <c r="U474" s="119">
        <v>1</v>
      </c>
      <c r="V474" s="121">
        <f t="shared" si="59"/>
        <v>45463250</v>
      </c>
      <c r="W474" s="119">
        <f t="shared" si="60"/>
        <v>1</v>
      </c>
      <c r="X474" s="121">
        <f t="shared" si="61"/>
        <v>45463250</v>
      </c>
      <c r="Y474" s="122" t="s">
        <v>2416</v>
      </c>
      <c r="Z474" s="123" t="s">
        <v>2407</v>
      </c>
      <c r="AA474" s="123" t="s">
        <v>2406</v>
      </c>
      <c r="AB474" s="123" t="s">
        <v>2372</v>
      </c>
      <c r="AC474" s="124" t="s">
        <v>12</v>
      </c>
      <c r="AD474" s="110">
        <f>COUNTIF('KK1. Movies'!AI:AI,'TK 15661.Bản quyền phim '!F474)</f>
        <v>1</v>
      </c>
      <c r="AE474" s="110">
        <f>COUNTIF('KK2. Series'!AM:AM,'TK 15661.Bản quyền phim '!F474)</f>
        <v>0</v>
      </c>
      <c r="AF474" s="110">
        <f>COUNTIF('KK3. Kids'!AF:AF,'TK 15661.Bản quyền phim '!F474)</f>
        <v>0</v>
      </c>
      <c r="AG474" s="110"/>
      <c r="AH474" s="110" t="str">
        <f t="shared" si="62"/>
        <v>OK</v>
      </c>
    </row>
    <row r="475" spans="1:34" ht="15.6" hidden="1" x14ac:dyDescent="0.3">
      <c r="B475" s="108" t="s">
        <v>2466</v>
      </c>
      <c r="C475" s="94" t="s">
        <v>2412</v>
      </c>
      <c r="D475" s="94" t="s">
        <v>2461</v>
      </c>
      <c r="E475" s="94" t="s">
        <v>2460</v>
      </c>
      <c r="F475" s="94" t="s">
        <v>2020</v>
      </c>
      <c r="G475" s="94" t="s">
        <v>2417</v>
      </c>
      <c r="H475" s="119">
        <v>1</v>
      </c>
      <c r="I475" s="119">
        <v>2</v>
      </c>
      <c r="J475" s="119">
        <f t="shared" si="56"/>
        <v>2</v>
      </c>
      <c r="K475" s="119">
        <v>116905500</v>
      </c>
      <c r="L475" s="119">
        <v>58452750</v>
      </c>
      <c r="M475" s="119">
        <f t="shared" si="57"/>
        <v>2</v>
      </c>
      <c r="N475" s="119">
        <f t="shared" si="58"/>
        <v>116905500</v>
      </c>
      <c r="O475" s="120">
        <v>45777</v>
      </c>
      <c r="P475" s="120">
        <v>46324</v>
      </c>
      <c r="Q475" s="119">
        <v>0</v>
      </c>
      <c r="R475" s="121">
        <v>0</v>
      </c>
      <c r="S475" s="119">
        <v>2</v>
      </c>
      <c r="T475" s="121">
        <v>116905500</v>
      </c>
      <c r="U475" s="119">
        <v>1</v>
      </c>
      <c r="V475" s="121">
        <f t="shared" si="59"/>
        <v>58452750</v>
      </c>
      <c r="W475" s="119">
        <f t="shared" si="60"/>
        <v>1</v>
      </c>
      <c r="X475" s="121">
        <f t="shared" si="61"/>
        <v>58452750</v>
      </c>
      <c r="Y475" s="122" t="s">
        <v>2416</v>
      </c>
      <c r="Z475" s="123" t="s">
        <v>2407</v>
      </c>
      <c r="AA475" s="123" t="s">
        <v>2406</v>
      </c>
      <c r="AB475" s="123" t="s">
        <v>2372</v>
      </c>
      <c r="AC475" s="124" t="s">
        <v>12</v>
      </c>
      <c r="AD475" s="110">
        <f>COUNTIF('KK1. Movies'!AI:AI,'TK 15661.Bản quyền phim '!F475)</f>
        <v>1</v>
      </c>
      <c r="AE475" s="110">
        <f>COUNTIF('KK2. Series'!AM:AM,'TK 15661.Bản quyền phim '!F475)</f>
        <v>0</v>
      </c>
      <c r="AF475" s="110">
        <f>COUNTIF('KK3. Kids'!AF:AF,'TK 15661.Bản quyền phim '!F475)</f>
        <v>0</v>
      </c>
      <c r="AG475" s="110"/>
      <c r="AH475" s="110" t="str">
        <f t="shared" si="62"/>
        <v>OK</v>
      </c>
    </row>
    <row r="476" spans="1:34" ht="15.6" hidden="1" x14ac:dyDescent="0.3">
      <c r="B476" s="108" t="s">
        <v>2465</v>
      </c>
      <c r="C476" s="94" t="s">
        <v>2412</v>
      </c>
      <c r="D476" s="94" t="s">
        <v>2461</v>
      </c>
      <c r="E476" s="94" t="s">
        <v>2460</v>
      </c>
      <c r="F476" s="94" t="s">
        <v>1177</v>
      </c>
      <c r="G476" s="94" t="s">
        <v>2417</v>
      </c>
      <c r="H476" s="119">
        <v>1</v>
      </c>
      <c r="I476" s="119">
        <v>1</v>
      </c>
      <c r="J476" s="119">
        <f t="shared" si="56"/>
        <v>1</v>
      </c>
      <c r="K476" s="119">
        <v>45463250</v>
      </c>
      <c r="L476" s="119">
        <v>45463250</v>
      </c>
      <c r="M476" s="119">
        <f t="shared" si="57"/>
        <v>1</v>
      </c>
      <c r="N476" s="119">
        <f t="shared" si="58"/>
        <v>45463250</v>
      </c>
      <c r="O476" s="120">
        <v>46008</v>
      </c>
      <c r="P476" s="120">
        <v>46295</v>
      </c>
      <c r="Q476" s="119">
        <v>0</v>
      </c>
      <c r="R476" s="121">
        <v>0</v>
      </c>
      <c r="S476" s="119">
        <v>1</v>
      </c>
      <c r="T476" s="121">
        <v>45463250</v>
      </c>
      <c r="U476" s="119">
        <v>1</v>
      </c>
      <c r="V476" s="121">
        <f t="shared" si="59"/>
        <v>45463250</v>
      </c>
      <c r="W476" s="119">
        <f t="shared" si="60"/>
        <v>0</v>
      </c>
      <c r="X476" s="121">
        <f t="shared" si="61"/>
        <v>0</v>
      </c>
      <c r="Y476" s="122" t="s">
        <v>2416</v>
      </c>
      <c r="Z476" s="123" t="s">
        <v>2407</v>
      </c>
      <c r="AA476" s="123" t="s">
        <v>2406</v>
      </c>
      <c r="AB476" s="123" t="s">
        <v>2372</v>
      </c>
      <c r="AC476" s="124" t="s">
        <v>12</v>
      </c>
      <c r="AD476" s="110">
        <f>COUNTIF('KK1. Movies'!AI:AI,'TK 15661.Bản quyền phim '!F476)</f>
        <v>1</v>
      </c>
      <c r="AE476" s="110">
        <f>COUNTIF('KK2. Series'!AM:AM,'TK 15661.Bản quyền phim '!F476)</f>
        <v>0</v>
      </c>
      <c r="AF476" s="110">
        <f>COUNTIF('KK3. Kids'!AF:AF,'TK 15661.Bản quyền phim '!F476)</f>
        <v>0</v>
      </c>
      <c r="AG476" s="110"/>
      <c r="AH476" s="110" t="str">
        <f t="shared" si="62"/>
        <v>OK</v>
      </c>
    </row>
    <row r="477" spans="1:34" ht="15.6" hidden="1" x14ac:dyDescent="0.3">
      <c r="B477" s="108" t="s">
        <v>2464</v>
      </c>
      <c r="C477" s="94" t="s">
        <v>2412</v>
      </c>
      <c r="D477" s="94" t="s">
        <v>2461</v>
      </c>
      <c r="E477" s="94" t="s">
        <v>2460</v>
      </c>
      <c r="F477" s="94" t="s">
        <v>1184</v>
      </c>
      <c r="G477" s="94" t="s">
        <v>2417</v>
      </c>
      <c r="H477" s="119">
        <v>1</v>
      </c>
      <c r="I477" s="119">
        <v>1</v>
      </c>
      <c r="J477" s="119">
        <f t="shared" si="56"/>
        <v>1</v>
      </c>
      <c r="K477" s="119">
        <v>63648550</v>
      </c>
      <c r="L477" s="119">
        <v>63648550</v>
      </c>
      <c r="M477" s="119">
        <f t="shared" si="57"/>
        <v>1</v>
      </c>
      <c r="N477" s="119">
        <f t="shared" si="58"/>
        <v>63648550</v>
      </c>
      <c r="O477" s="120">
        <v>45883</v>
      </c>
      <c r="P477" s="120">
        <v>46295</v>
      </c>
      <c r="Q477" s="119">
        <v>0</v>
      </c>
      <c r="R477" s="121">
        <v>0</v>
      </c>
      <c r="S477" s="119">
        <v>1</v>
      </c>
      <c r="T477" s="121">
        <v>63648550</v>
      </c>
      <c r="U477" s="119">
        <v>1</v>
      </c>
      <c r="V477" s="121">
        <f t="shared" si="59"/>
        <v>63648550</v>
      </c>
      <c r="W477" s="119">
        <f t="shared" si="60"/>
        <v>0</v>
      </c>
      <c r="X477" s="121">
        <f t="shared" si="61"/>
        <v>0</v>
      </c>
      <c r="Y477" s="122" t="s">
        <v>2416</v>
      </c>
      <c r="Z477" s="123" t="s">
        <v>2407</v>
      </c>
      <c r="AA477" s="123" t="s">
        <v>2406</v>
      </c>
      <c r="AB477" s="123" t="s">
        <v>2372</v>
      </c>
      <c r="AC477" s="124" t="s">
        <v>12</v>
      </c>
      <c r="AD477" s="110">
        <f>COUNTIF('KK1. Movies'!AI:AI,'TK 15661.Bản quyền phim '!F477)</f>
        <v>1</v>
      </c>
      <c r="AE477" s="110">
        <f>COUNTIF('KK2. Series'!AM:AM,'TK 15661.Bản quyền phim '!F477)</f>
        <v>0</v>
      </c>
      <c r="AF477" s="110">
        <f>COUNTIF('KK3. Kids'!AF:AF,'TK 15661.Bản quyền phim '!F477)</f>
        <v>0</v>
      </c>
      <c r="AG477" s="110"/>
      <c r="AH477" s="110" t="str">
        <f t="shared" si="62"/>
        <v>OK</v>
      </c>
    </row>
    <row r="478" spans="1:34" ht="15.6" hidden="1" x14ac:dyDescent="0.3">
      <c r="B478" s="108" t="s">
        <v>2463</v>
      </c>
      <c r="C478" s="94" t="s">
        <v>2412</v>
      </c>
      <c r="D478" s="94" t="s">
        <v>2461</v>
      </c>
      <c r="E478" s="94" t="s">
        <v>2460</v>
      </c>
      <c r="F478" s="94" t="s">
        <v>1180</v>
      </c>
      <c r="G478" s="94" t="s">
        <v>2417</v>
      </c>
      <c r="H478" s="119">
        <v>1</v>
      </c>
      <c r="I478" s="119">
        <v>1</v>
      </c>
      <c r="J478" s="119">
        <f t="shared" si="56"/>
        <v>1</v>
      </c>
      <c r="K478" s="119">
        <v>54555900</v>
      </c>
      <c r="L478" s="119">
        <v>54555900</v>
      </c>
      <c r="M478" s="119">
        <f t="shared" si="57"/>
        <v>1</v>
      </c>
      <c r="N478" s="119">
        <f t="shared" si="58"/>
        <v>54555900</v>
      </c>
      <c r="O478" s="120">
        <v>45883</v>
      </c>
      <c r="P478" s="120">
        <v>46295</v>
      </c>
      <c r="Q478" s="119">
        <v>0</v>
      </c>
      <c r="R478" s="121">
        <v>0</v>
      </c>
      <c r="S478" s="119">
        <v>1</v>
      </c>
      <c r="T478" s="121">
        <v>54555900</v>
      </c>
      <c r="U478" s="119">
        <v>1</v>
      </c>
      <c r="V478" s="121">
        <f t="shared" si="59"/>
        <v>54555900</v>
      </c>
      <c r="W478" s="119">
        <f t="shared" si="60"/>
        <v>0</v>
      </c>
      <c r="X478" s="121">
        <f t="shared" si="61"/>
        <v>0</v>
      </c>
      <c r="Y478" s="122" t="s">
        <v>2416</v>
      </c>
      <c r="Z478" s="123" t="s">
        <v>2407</v>
      </c>
      <c r="AA478" s="123" t="s">
        <v>2406</v>
      </c>
      <c r="AB478" s="123" t="s">
        <v>2372</v>
      </c>
      <c r="AC478" s="124" t="s">
        <v>12</v>
      </c>
      <c r="AD478" s="110">
        <f>COUNTIF('KK1. Movies'!AI:AI,'TK 15661.Bản quyền phim '!F478)</f>
        <v>1</v>
      </c>
      <c r="AE478" s="110">
        <f>COUNTIF('KK2. Series'!AM:AM,'TK 15661.Bản quyền phim '!F478)</f>
        <v>0</v>
      </c>
      <c r="AF478" s="110">
        <f>COUNTIF('KK3. Kids'!AF:AF,'TK 15661.Bản quyền phim '!F478)</f>
        <v>0</v>
      </c>
      <c r="AG478" s="110"/>
      <c r="AH478" s="110" t="str">
        <f t="shared" si="62"/>
        <v>OK</v>
      </c>
    </row>
    <row r="479" spans="1:34" ht="15.6" hidden="1" x14ac:dyDescent="0.3">
      <c r="B479" s="108" t="s">
        <v>2462</v>
      </c>
      <c r="C479" s="94" t="s">
        <v>2412</v>
      </c>
      <c r="D479" s="94" t="s">
        <v>2461</v>
      </c>
      <c r="E479" s="94" t="s">
        <v>2460</v>
      </c>
      <c r="F479" s="94" t="s">
        <v>1169</v>
      </c>
      <c r="G479" s="94" t="s">
        <v>2417</v>
      </c>
      <c r="H479" s="119">
        <v>1</v>
      </c>
      <c r="I479" s="119">
        <v>2</v>
      </c>
      <c r="J479" s="119">
        <f t="shared" si="56"/>
        <v>2</v>
      </c>
      <c r="K479" s="119">
        <v>90926500</v>
      </c>
      <c r="L479" s="119">
        <v>45463250</v>
      </c>
      <c r="M479" s="119">
        <f t="shared" si="57"/>
        <v>2</v>
      </c>
      <c r="N479" s="119">
        <f t="shared" si="58"/>
        <v>90926500</v>
      </c>
      <c r="O479" s="120">
        <v>45974</v>
      </c>
      <c r="P479" s="120">
        <v>46519</v>
      </c>
      <c r="Q479" s="119">
        <v>0</v>
      </c>
      <c r="R479" s="121">
        <v>0</v>
      </c>
      <c r="S479" s="119">
        <v>2</v>
      </c>
      <c r="T479" s="121">
        <v>90926500</v>
      </c>
      <c r="U479" s="119">
        <v>1</v>
      </c>
      <c r="V479" s="121">
        <f t="shared" si="59"/>
        <v>45463250</v>
      </c>
      <c r="W479" s="119">
        <f t="shared" si="60"/>
        <v>1</v>
      </c>
      <c r="X479" s="121">
        <f t="shared" si="61"/>
        <v>45463250</v>
      </c>
      <c r="Y479" s="122" t="s">
        <v>2416</v>
      </c>
      <c r="Z479" s="123" t="s">
        <v>2407</v>
      </c>
      <c r="AA479" s="123" t="s">
        <v>2406</v>
      </c>
      <c r="AB479" s="123" t="s">
        <v>2372</v>
      </c>
      <c r="AC479" s="124" t="s">
        <v>12</v>
      </c>
      <c r="AD479" s="110">
        <f>COUNTIF('KK1. Movies'!AI:AI,'TK 15661.Bản quyền phim '!F479)</f>
        <v>1</v>
      </c>
      <c r="AE479" s="110">
        <f>COUNTIF('KK2. Series'!AM:AM,'TK 15661.Bản quyền phim '!F479)</f>
        <v>0</v>
      </c>
      <c r="AF479" s="110">
        <f>COUNTIF('KK3. Kids'!AF:AF,'TK 15661.Bản quyền phim '!F479)</f>
        <v>0</v>
      </c>
      <c r="AG479" s="110"/>
      <c r="AH479" s="110" t="str">
        <f t="shared" si="62"/>
        <v>OK</v>
      </c>
    </row>
    <row r="480" spans="1:34" ht="15.6" hidden="1" x14ac:dyDescent="0.3">
      <c r="A480" s="47">
        <f t="shared" ref="A480:A489" si="63">(U480-H480)*L480</f>
        <v>0</v>
      </c>
      <c r="B480" s="108" t="s">
        <v>2459</v>
      </c>
      <c r="C480" s="94" t="s">
        <v>2412</v>
      </c>
      <c r="D480" s="94" t="s">
        <v>2458</v>
      </c>
      <c r="E480" s="94" t="s">
        <v>2457</v>
      </c>
      <c r="F480" s="94" t="s">
        <v>446</v>
      </c>
      <c r="G480" s="94" t="s">
        <v>2428</v>
      </c>
      <c r="H480" s="119">
        <v>32</v>
      </c>
      <c r="I480" s="119">
        <v>5</v>
      </c>
      <c r="J480" s="119">
        <f t="shared" si="56"/>
        <v>160</v>
      </c>
      <c r="K480" s="119">
        <v>2493984000</v>
      </c>
      <c r="L480" s="119">
        <v>15587400</v>
      </c>
      <c r="M480" s="119">
        <f t="shared" si="57"/>
        <v>160</v>
      </c>
      <c r="N480" s="119">
        <f t="shared" si="58"/>
        <v>2493984000</v>
      </c>
      <c r="O480" s="120">
        <v>45809</v>
      </c>
      <c r="P480" s="120">
        <v>47635</v>
      </c>
      <c r="Q480" s="119">
        <v>0</v>
      </c>
      <c r="R480" s="121">
        <v>0</v>
      </c>
      <c r="S480" s="119">
        <v>160</v>
      </c>
      <c r="T480" s="121">
        <v>2493984000</v>
      </c>
      <c r="U480" s="119">
        <v>32</v>
      </c>
      <c r="V480" s="121">
        <f t="shared" si="59"/>
        <v>498796800</v>
      </c>
      <c r="W480" s="119">
        <f t="shared" si="60"/>
        <v>128</v>
      </c>
      <c r="X480" s="121">
        <f t="shared" si="61"/>
        <v>1995187200</v>
      </c>
      <c r="Y480" s="122" t="s">
        <v>2427</v>
      </c>
      <c r="Z480" s="123" t="s">
        <v>2407</v>
      </c>
      <c r="AA480" s="123" t="s">
        <v>2406</v>
      </c>
      <c r="AB480" s="123" t="s">
        <v>2372</v>
      </c>
      <c r="AC480" s="124" t="s">
        <v>10</v>
      </c>
      <c r="AD480" s="110">
        <f>COUNTIF('KK1. Movies'!AI:AI,'TK 15661.Bản quyền phim '!F480)</f>
        <v>0</v>
      </c>
      <c r="AE480" s="110">
        <f>COUNTIF('KK2. Series'!AM:AM,'TK 15661.Bản quyền phim '!F480)</f>
        <v>1</v>
      </c>
      <c r="AF480" s="110">
        <f>COUNTIF('KK3. Kids'!AF:AF,'TK 15661.Bản quyền phim '!F480)</f>
        <v>0</v>
      </c>
      <c r="AG480" s="110"/>
      <c r="AH480" s="110" t="str">
        <f t="shared" si="62"/>
        <v>OK</v>
      </c>
    </row>
    <row r="481" spans="1:34" ht="15.6" hidden="1" x14ac:dyDescent="0.3">
      <c r="A481" s="47">
        <f t="shared" si="63"/>
        <v>0</v>
      </c>
      <c r="B481" s="108" t="s">
        <v>2456</v>
      </c>
      <c r="C481" s="94" t="s">
        <v>2412</v>
      </c>
      <c r="D481" s="94" t="s">
        <v>2455</v>
      </c>
      <c r="E481" s="94" t="s">
        <v>2454</v>
      </c>
      <c r="F481" s="94" t="s">
        <v>469</v>
      </c>
      <c r="G481" s="94" t="s">
        <v>2428</v>
      </c>
      <c r="H481" s="119">
        <v>16</v>
      </c>
      <c r="I481" s="119">
        <v>3</v>
      </c>
      <c r="J481" s="119">
        <f t="shared" si="56"/>
        <v>48</v>
      </c>
      <c r="K481" s="119">
        <v>415664000</v>
      </c>
      <c r="L481" s="119">
        <v>8659666.666666666</v>
      </c>
      <c r="M481" s="119">
        <f t="shared" si="57"/>
        <v>48</v>
      </c>
      <c r="N481" s="119">
        <f t="shared" si="58"/>
        <v>415664000</v>
      </c>
      <c r="O481" s="120">
        <v>45870</v>
      </c>
      <c r="P481" s="120">
        <v>46965</v>
      </c>
      <c r="Q481" s="119">
        <v>0</v>
      </c>
      <c r="R481" s="121">
        <v>0</v>
      </c>
      <c r="S481" s="119">
        <v>48</v>
      </c>
      <c r="T481" s="121">
        <v>415664000</v>
      </c>
      <c r="U481" s="119">
        <v>16</v>
      </c>
      <c r="V481" s="121">
        <f t="shared" si="59"/>
        <v>138554666.66666666</v>
      </c>
      <c r="W481" s="119">
        <f t="shared" si="60"/>
        <v>32</v>
      </c>
      <c r="X481" s="121">
        <f t="shared" si="61"/>
        <v>277109333.33333337</v>
      </c>
      <c r="Y481" s="122" t="s">
        <v>2427</v>
      </c>
      <c r="Z481" s="123" t="s">
        <v>2407</v>
      </c>
      <c r="AA481" s="123" t="s">
        <v>2406</v>
      </c>
      <c r="AB481" s="123" t="s">
        <v>2372</v>
      </c>
      <c r="AC481" s="124" t="s">
        <v>10</v>
      </c>
      <c r="AD481" s="110">
        <f>COUNTIF('KK1. Movies'!AI:AI,'TK 15661.Bản quyền phim '!F481)</f>
        <v>0</v>
      </c>
      <c r="AE481" s="110">
        <f>COUNTIF('KK2. Series'!AM:AM,'TK 15661.Bản quyền phim '!F481)</f>
        <v>1</v>
      </c>
      <c r="AF481" s="110">
        <f>COUNTIF('KK3. Kids'!AF:AF,'TK 15661.Bản quyền phim '!F481)</f>
        <v>0</v>
      </c>
      <c r="AG481" s="110"/>
      <c r="AH481" s="110" t="str">
        <f t="shared" si="62"/>
        <v>OK</v>
      </c>
    </row>
    <row r="482" spans="1:34" ht="15.6" hidden="1" x14ac:dyDescent="0.3">
      <c r="A482" s="47">
        <f t="shared" si="63"/>
        <v>0</v>
      </c>
      <c r="B482" s="108" t="s">
        <v>2453</v>
      </c>
      <c r="C482" s="94" t="s">
        <v>2412</v>
      </c>
      <c r="D482" s="94" t="s">
        <v>2452</v>
      </c>
      <c r="E482" s="94" t="s">
        <v>2451</v>
      </c>
      <c r="F482" s="94" t="s">
        <v>435</v>
      </c>
      <c r="G482" s="94" t="s">
        <v>2428</v>
      </c>
      <c r="H482" s="119">
        <v>24</v>
      </c>
      <c r="I482" s="119">
        <v>5</v>
      </c>
      <c r="J482" s="119">
        <f t="shared" si="56"/>
        <v>120</v>
      </c>
      <c r="K482" s="119">
        <v>2090800000</v>
      </c>
      <c r="L482" s="119">
        <v>17423333.333333332</v>
      </c>
      <c r="M482" s="119">
        <f t="shared" si="57"/>
        <v>120</v>
      </c>
      <c r="N482" s="119">
        <f t="shared" si="58"/>
        <v>2090800000</v>
      </c>
      <c r="O482" s="120">
        <v>45839</v>
      </c>
      <c r="P482" s="120">
        <v>47664</v>
      </c>
      <c r="Q482" s="119">
        <v>0</v>
      </c>
      <c r="R482" s="121">
        <v>0</v>
      </c>
      <c r="S482" s="119">
        <v>120</v>
      </c>
      <c r="T482" s="121">
        <v>2090800000</v>
      </c>
      <c r="U482" s="119">
        <v>24</v>
      </c>
      <c r="V482" s="121">
        <f t="shared" si="59"/>
        <v>418160000</v>
      </c>
      <c r="W482" s="119">
        <f t="shared" si="60"/>
        <v>96</v>
      </c>
      <c r="X482" s="121">
        <f t="shared" si="61"/>
        <v>1672640000</v>
      </c>
      <c r="Y482" s="122" t="s">
        <v>2427</v>
      </c>
      <c r="Z482" s="123" t="s">
        <v>2407</v>
      </c>
      <c r="AA482" s="123" t="s">
        <v>2406</v>
      </c>
      <c r="AB482" s="123" t="s">
        <v>2372</v>
      </c>
      <c r="AC482" s="124" t="s">
        <v>10</v>
      </c>
      <c r="AD482" s="110">
        <f>COUNTIF('KK1. Movies'!AI:AI,'TK 15661.Bản quyền phim '!F482)</f>
        <v>0</v>
      </c>
      <c r="AE482" s="110">
        <f>COUNTIF('KK2. Series'!AM:AM,'TK 15661.Bản quyền phim '!F482)</f>
        <v>1</v>
      </c>
      <c r="AF482" s="110">
        <f>COUNTIF('KK3. Kids'!AF:AF,'TK 15661.Bản quyền phim '!F482)</f>
        <v>0</v>
      </c>
      <c r="AG482" s="110"/>
      <c r="AH482" s="110" t="str">
        <f t="shared" si="62"/>
        <v>OK</v>
      </c>
    </row>
    <row r="483" spans="1:34" ht="15.6" hidden="1" x14ac:dyDescent="0.3">
      <c r="A483" s="47">
        <f t="shared" si="63"/>
        <v>0</v>
      </c>
      <c r="B483" s="108" t="s">
        <v>2450</v>
      </c>
      <c r="C483" s="94" t="s">
        <v>2412</v>
      </c>
      <c r="D483" s="94" t="s">
        <v>2449</v>
      </c>
      <c r="E483" s="94" t="s">
        <v>2448</v>
      </c>
      <c r="F483" s="94" t="s">
        <v>408</v>
      </c>
      <c r="G483" s="94" t="s">
        <v>2428</v>
      </c>
      <c r="H483" s="119">
        <v>24</v>
      </c>
      <c r="I483" s="119">
        <v>5</v>
      </c>
      <c r="J483" s="119">
        <f t="shared" si="56"/>
        <v>120</v>
      </c>
      <c r="K483" s="119">
        <v>696942045</v>
      </c>
      <c r="L483" s="119">
        <v>5807850.375</v>
      </c>
      <c r="M483" s="119">
        <f t="shared" si="57"/>
        <v>120</v>
      </c>
      <c r="N483" s="119">
        <f t="shared" si="58"/>
        <v>696942045</v>
      </c>
      <c r="O483" s="120">
        <v>45852</v>
      </c>
      <c r="P483" s="120">
        <v>47677</v>
      </c>
      <c r="Q483" s="119">
        <v>0</v>
      </c>
      <c r="R483" s="121">
        <v>0</v>
      </c>
      <c r="S483" s="119">
        <v>120</v>
      </c>
      <c r="T483" s="121">
        <v>696942045</v>
      </c>
      <c r="U483" s="119">
        <v>24</v>
      </c>
      <c r="V483" s="121">
        <f t="shared" si="59"/>
        <v>139388409</v>
      </c>
      <c r="W483" s="119">
        <f t="shared" si="60"/>
        <v>96</v>
      </c>
      <c r="X483" s="121">
        <f t="shared" si="61"/>
        <v>557553636</v>
      </c>
      <c r="Y483" s="122" t="s">
        <v>2427</v>
      </c>
      <c r="Z483" s="123" t="s">
        <v>2407</v>
      </c>
      <c r="AA483" s="123" t="s">
        <v>2406</v>
      </c>
      <c r="AB483" s="123" t="s">
        <v>2372</v>
      </c>
      <c r="AC483" s="124" t="s">
        <v>10</v>
      </c>
      <c r="AD483" s="110">
        <f>COUNTIF('KK1. Movies'!AI:AI,'TK 15661.Bản quyền phim '!F483)</f>
        <v>0</v>
      </c>
      <c r="AE483" s="110">
        <f>COUNTIF('KK2. Series'!AM:AM,'TK 15661.Bản quyền phim '!F483)</f>
        <v>1</v>
      </c>
      <c r="AF483" s="110">
        <f>COUNTIF('KK3. Kids'!AF:AF,'TK 15661.Bản quyền phim '!F483)</f>
        <v>0</v>
      </c>
      <c r="AG483" s="110"/>
      <c r="AH483" s="110" t="str">
        <f t="shared" si="62"/>
        <v>OK</v>
      </c>
    </row>
    <row r="484" spans="1:34" ht="15.6" hidden="1" x14ac:dyDescent="0.3">
      <c r="A484" s="47">
        <f t="shared" si="63"/>
        <v>0</v>
      </c>
      <c r="B484" s="108" t="s">
        <v>2447</v>
      </c>
      <c r="C484" s="94" t="s">
        <v>2412</v>
      </c>
      <c r="D484" s="94" t="s">
        <v>2442</v>
      </c>
      <c r="E484" s="94" t="s">
        <v>2441</v>
      </c>
      <c r="F484" s="94" t="s">
        <v>2446</v>
      </c>
      <c r="G484" s="94" t="s">
        <v>2439</v>
      </c>
      <c r="H484" s="119">
        <v>52</v>
      </c>
      <c r="I484" s="119">
        <v>1</v>
      </c>
      <c r="J484" s="119">
        <f t="shared" si="56"/>
        <v>52</v>
      </c>
      <c r="K484" s="119">
        <v>181193955</v>
      </c>
      <c r="L484" s="119">
        <v>3484499.1346153845</v>
      </c>
      <c r="M484" s="119">
        <f t="shared" si="57"/>
        <v>52</v>
      </c>
      <c r="N484" s="119">
        <f t="shared" si="58"/>
        <v>181193955</v>
      </c>
      <c r="O484" s="120">
        <v>45806</v>
      </c>
      <c r="P484" s="120">
        <v>46170</v>
      </c>
      <c r="Q484" s="119">
        <v>0</v>
      </c>
      <c r="R484" s="121">
        <v>0</v>
      </c>
      <c r="S484" s="119">
        <v>52</v>
      </c>
      <c r="T484" s="121">
        <v>181193955</v>
      </c>
      <c r="U484" s="119">
        <v>52</v>
      </c>
      <c r="V484" s="121">
        <f t="shared" si="59"/>
        <v>181193955</v>
      </c>
      <c r="W484" s="119">
        <f t="shared" si="60"/>
        <v>0</v>
      </c>
      <c r="X484" s="121">
        <f t="shared" si="61"/>
        <v>0</v>
      </c>
      <c r="Y484" s="122" t="s">
        <v>2438</v>
      </c>
      <c r="Z484" s="123" t="s">
        <v>2437</v>
      </c>
      <c r="AA484" s="123" t="s">
        <v>2436</v>
      </c>
      <c r="AB484" s="123" t="s">
        <v>2435</v>
      </c>
      <c r="AC484" s="124" t="s">
        <v>6</v>
      </c>
      <c r="AD484" s="110">
        <f>COUNTIF('KK1. Movies'!AI:AI,'TK 15661.Bản quyền phim '!F484)</f>
        <v>0</v>
      </c>
      <c r="AE484" s="110">
        <f>COUNTIF('KK2. Series'!AM:AM,'TK 15661.Bản quyền phim '!F484)</f>
        <v>0</v>
      </c>
      <c r="AF484" s="110">
        <f>COUNTIF('KK3. Kids'!AF:AF,'TK 15661.Bản quyền phim '!F484)</f>
        <v>0</v>
      </c>
      <c r="AG484" s="110">
        <v>1</v>
      </c>
      <c r="AH484" s="110" t="str">
        <f t="shared" si="62"/>
        <v>OK</v>
      </c>
    </row>
    <row r="485" spans="1:34" ht="15.6" hidden="1" x14ac:dyDescent="0.3">
      <c r="A485" s="47">
        <f t="shared" si="63"/>
        <v>0</v>
      </c>
      <c r="B485" s="108" t="s">
        <v>2445</v>
      </c>
      <c r="C485" s="94" t="s">
        <v>2412</v>
      </c>
      <c r="D485" s="94" t="s">
        <v>2442</v>
      </c>
      <c r="E485" s="94" t="s">
        <v>2441</v>
      </c>
      <c r="F485" s="94" t="s">
        <v>2444</v>
      </c>
      <c r="G485" s="94" t="s">
        <v>2439</v>
      </c>
      <c r="H485" s="119">
        <v>52</v>
      </c>
      <c r="I485" s="119">
        <v>1</v>
      </c>
      <c r="J485" s="119">
        <f t="shared" si="56"/>
        <v>52</v>
      </c>
      <c r="K485" s="119">
        <v>226512045</v>
      </c>
      <c r="L485" s="119">
        <v>4356000.865384616</v>
      </c>
      <c r="M485" s="119">
        <f t="shared" si="57"/>
        <v>52</v>
      </c>
      <c r="N485" s="119">
        <f t="shared" si="58"/>
        <v>226512045</v>
      </c>
      <c r="O485" s="120">
        <v>45806</v>
      </c>
      <c r="P485" s="120">
        <v>46170</v>
      </c>
      <c r="Q485" s="119">
        <v>0</v>
      </c>
      <c r="R485" s="121">
        <v>0</v>
      </c>
      <c r="S485" s="119">
        <v>52</v>
      </c>
      <c r="T485" s="121">
        <v>226512045</v>
      </c>
      <c r="U485" s="119">
        <v>52</v>
      </c>
      <c r="V485" s="121">
        <f t="shared" si="59"/>
        <v>226512045.00000003</v>
      </c>
      <c r="W485" s="119">
        <f t="shared" si="60"/>
        <v>0</v>
      </c>
      <c r="X485" s="121">
        <f t="shared" si="61"/>
        <v>0</v>
      </c>
      <c r="Y485" s="122" t="s">
        <v>2438</v>
      </c>
      <c r="Z485" s="123" t="s">
        <v>2437</v>
      </c>
      <c r="AA485" s="123" t="s">
        <v>2436</v>
      </c>
      <c r="AB485" s="123" t="s">
        <v>2435</v>
      </c>
      <c r="AC485" s="124" t="s">
        <v>6</v>
      </c>
      <c r="AD485" s="110">
        <f>COUNTIF('KK1. Movies'!AI:AI,'TK 15661.Bản quyền phim '!F485)</f>
        <v>0</v>
      </c>
      <c r="AE485" s="110">
        <f>COUNTIF('KK2. Series'!AM:AM,'TK 15661.Bản quyền phim '!F485)</f>
        <v>0</v>
      </c>
      <c r="AF485" s="110">
        <f>COUNTIF('KK3. Kids'!AF:AF,'TK 15661.Bản quyền phim '!F485)</f>
        <v>0</v>
      </c>
      <c r="AG485" s="110">
        <v>1</v>
      </c>
      <c r="AH485" s="110" t="str">
        <f t="shared" si="62"/>
        <v>OK</v>
      </c>
    </row>
    <row r="486" spans="1:34" hidden="1" x14ac:dyDescent="0.2">
      <c r="A486" s="47">
        <f t="shared" si="63"/>
        <v>0</v>
      </c>
      <c r="B486" s="108" t="s">
        <v>2443</v>
      </c>
      <c r="C486" s="94" t="s">
        <v>2412</v>
      </c>
      <c r="D486" s="94" t="s">
        <v>2442</v>
      </c>
      <c r="E486" s="94" t="s">
        <v>2441</v>
      </c>
      <c r="F486" s="94" t="s">
        <v>2440</v>
      </c>
      <c r="G486" s="94" t="s">
        <v>2439</v>
      </c>
      <c r="H486" s="119">
        <v>1</v>
      </c>
      <c r="I486" s="119">
        <v>1</v>
      </c>
      <c r="J486" s="119">
        <f t="shared" si="56"/>
        <v>1</v>
      </c>
      <c r="K486" s="119">
        <v>8702955</v>
      </c>
      <c r="L486" s="119">
        <v>8702955</v>
      </c>
      <c r="M486" s="119">
        <f t="shared" si="57"/>
        <v>1</v>
      </c>
      <c r="N486" s="119">
        <f t="shared" si="58"/>
        <v>8702955</v>
      </c>
      <c r="O486" s="120">
        <v>45806</v>
      </c>
      <c r="P486" s="120">
        <v>46170</v>
      </c>
      <c r="Q486" s="119">
        <v>0</v>
      </c>
      <c r="R486" s="121">
        <v>0</v>
      </c>
      <c r="S486" s="119">
        <v>1</v>
      </c>
      <c r="T486" s="121">
        <v>8702955</v>
      </c>
      <c r="U486" s="119">
        <v>1</v>
      </c>
      <c r="V486" s="121">
        <f t="shared" si="59"/>
        <v>8702955</v>
      </c>
      <c r="W486" s="119">
        <f t="shared" si="60"/>
        <v>0</v>
      </c>
      <c r="X486" s="121">
        <f t="shared" si="61"/>
        <v>0</v>
      </c>
      <c r="Y486" s="122" t="s">
        <v>2438</v>
      </c>
      <c r="Z486" s="123" t="s">
        <v>2437</v>
      </c>
      <c r="AA486" s="123" t="s">
        <v>2436</v>
      </c>
      <c r="AB486" s="123" t="s">
        <v>2435</v>
      </c>
      <c r="AC486" s="123"/>
      <c r="AD486" s="110">
        <f>COUNTIF('KK1. Movies'!AI:AI,'TK 15661.Bản quyền phim '!F486)</f>
        <v>0</v>
      </c>
      <c r="AE486" s="110">
        <f>COUNTIF('KK2. Series'!AM:AM,'TK 15661.Bản quyền phim '!F486)</f>
        <v>0</v>
      </c>
      <c r="AF486" s="110">
        <f>COUNTIF('KK3. Kids'!AF:AF,'TK 15661.Bản quyền phim '!F486)</f>
        <v>0</v>
      </c>
      <c r="AG486" s="110"/>
      <c r="AH486" s="110">
        <f t="shared" si="62"/>
        <v>0</v>
      </c>
    </row>
    <row r="487" spans="1:34" ht="15.6" hidden="1" x14ac:dyDescent="0.3">
      <c r="A487" s="47">
        <f t="shared" si="63"/>
        <v>0</v>
      </c>
      <c r="B487" s="108" t="s">
        <v>2434</v>
      </c>
      <c r="C487" s="94" t="s">
        <v>2412</v>
      </c>
      <c r="D487" s="94" t="s">
        <v>2431</v>
      </c>
      <c r="E487" s="94" t="s">
        <v>2430</v>
      </c>
      <c r="F487" s="94" t="s">
        <v>401</v>
      </c>
      <c r="G487" s="94" t="s">
        <v>2428</v>
      </c>
      <c r="H487" s="119">
        <v>12</v>
      </c>
      <c r="I487" s="119">
        <v>4</v>
      </c>
      <c r="J487" s="119">
        <f t="shared" si="56"/>
        <v>48</v>
      </c>
      <c r="K487" s="119">
        <v>1045400000</v>
      </c>
      <c r="L487" s="119">
        <v>21779166.666666668</v>
      </c>
      <c r="M487" s="119">
        <f t="shared" si="57"/>
        <v>48</v>
      </c>
      <c r="N487" s="119">
        <f t="shared" si="58"/>
        <v>1045400000</v>
      </c>
      <c r="O487" s="120">
        <v>45861</v>
      </c>
      <c r="P487" s="120">
        <v>47321</v>
      </c>
      <c r="Q487" s="119">
        <v>0</v>
      </c>
      <c r="R487" s="121">
        <v>0</v>
      </c>
      <c r="S487" s="119">
        <v>48</v>
      </c>
      <c r="T487" s="121">
        <v>1045400000</v>
      </c>
      <c r="U487" s="119">
        <v>12</v>
      </c>
      <c r="V487" s="121">
        <f t="shared" si="59"/>
        <v>261350000</v>
      </c>
      <c r="W487" s="119">
        <f t="shared" si="60"/>
        <v>36</v>
      </c>
      <c r="X487" s="121">
        <f t="shared" si="61"/>
        <v>784050000</v>
      </c>
      <c r="Y487" s="122" t="s">
        <v>2427</v>
      </c>
      <c r="Z487" s="123" t="s">
        <v>2407</v>
      </c>
      <c r="AA487" s="123" t="s">
        <v>2406</v>
      </c>
      <c r="AB487" s="123" t="s">
        <v>2372</v>
      </c>
      <c r="AC487" s="124" t="s">
        <v>10</v>
      </c>
      <c r="AD487" s="110">
        <f>COUNTIF('KK1. Movies'!AI:AI,'TK 15661.Bản quyền phim '!F487)</f>
        <v>0</v>
      </c>
      <c r="AE487" s="110">
        <f>COUNTIF('KK2. Series'!AM:AM,'TK 15661.Bản quyền phim '!F487)</f>
        <v>1</v>
      </c>
      <c r="AF487" s="110">
        <f>COUNTIF('KK3. Kids'!AF:AF,'TK 15661.Bản quyền phim '!F487)</f>
        <v>0</v>
      </c>
      <c r="AG487" s="110"/>
      <c r="AH487" s="110" t="str">
        <f t="shared" si="62"/>
        <v>OK</v>
      </c>
    </row>
    <row r="488" spans="1:34" ht="15.6" hidden="1" x14ac:dyDescent="0.3">
      <c r="A488" s="47">
        <f t="shared" si="63"/>
        <v>0</v>
      </c>
      <c r="B488" s="108" t="s">
        <v>2433</v>
      </c>
      <c r="C488" s="94" t="s">
        <v>2412</v>
      </c>
      <c r="D488" s="94" t="s">
        <v>2431</v>
      </c>
      <c r="E488" s="94" t="s">
        <v>2430</v>
      </c>
      <c r="F488" s="94" t="s">
        <v>453</v>
      </c>
      <c r="G488" s="94" t="s">
        <v>2428</v>
      </c>
      <c r="H488" s="119">
        <v>12</v>
      </c>
      <c r="I488" s="119">
        <v>4</v>
      </c>
      <c r="J488" s="119">
        <f t="shared" si="56"/>
        <v>48</v>
      </c>
      <c r="K488" s="119">
        <v>2787742045</v>
      </c>
      <c r="L488" s="119">
        <v>58077959.270833328</v>
      </c>
      <c r="M488" s="119">
        <f t="shared" si="57"/>
        <v>48</v>
      </c>
      <c r="N488" s="119">
        <f t="shared" si="58"/>
        <v>2787742045</v>
      </c>
      <c r="O488" s="120">
        <v>45905</v>
      </c>
      <c r="P488" s="120">
        <v>47365</v>
      </c>
      <c r="Q488" s="119">
        <v>0</v>
      </c>
      <c r="R488" s="121">
        <v>0</v>
      </c>
      <c r="S488" s="119">
        <v>48</v>
      </c>
      <c r="T488" s="121">
        <v>2787742045</v>
      </c>
      <c r="U488" s="119">
        <v>12</v>
      </c>
      <c r="V488" s="121">
        <f t="shared" si="59"/>
        <v>696935511.25</v>
      </c>
      <c r="W488" s="119">
        <f t="shared" si="60"/>
        <v>36</v>
      </c>
      <c r="X488" s="121">
        <f t="shared" si="61"/>
        <v>2090806533.75</v>
      </c>
      <c r="Y488" s="122" t="s">
        <v>2427</v>
      </c>
      <c r="Z488" s="123" t="s">
        <v>2407</v>
      </c>
      <c r="AA488" s="123" t="s">
        <v>2406</v>
      </c>
      <c r="AB488" s="123" t="s">
        <v>2372</v>
      </c>
      <c r="AC488" s="124" t="s">
        <v>10</v>
      </c>
      <c r="AD488" s="110">
        <f>COUNTIF('KK1. Movies'!AI:AI,'TK 15661.Bản quyền phim '!F488)</f>
        <v>0</v>
      </c>
      <c r="AE488" s="110">
        <f>COUNTIF('KK2. Series'!AM:AM,'TK 15661.Bản quyền phim '!F488)</f>
        <v>1</v>
      </c>
      <c r="AF488" s="110">
        <f>COUNTIF('KK3. Kids'!AF:AF,'TK 15661.Bản quyền phim '!F488)</f>
        <v>0</v>
      </c>
      <c r="AG488" s="110"/>
      <c r="AH488" s="110" t="str">
        <f t="shared" si="62"/>
        <v>OK</v>
      </c>
    </row>
    <row r="489" spans="1:34" hidden="1" x14ac:dyDescent="0.2">
      <c r="A489" s="47">
        <f t="shared" si="63"/>
        <v>0</v>
      </c>
      <c r="B489" s="108" t="s">
        <v>2432</v>
      </c>
      <c r="C489" s="94" t="s">
        <v>2412</v>
      </c>
      <c r="D489" s="94" t="s">
        <v>2431</v>
      </c>
      <c r="E489" s="94" t="s">
        <v>2430</v>
      </c>
      <c r="F489" s="94" t="s">
        <v>2429</v>
      </c>
      <c r="G489" s="94" t="s">
        <v>2428</v>
      </c>
      <c r="H489" s="119">
        <v>32</v>
      </c>
      <c r="I489" s="119">
        <v>5</v>
      </c>
      <c r="J489" s="119">
        <f t="shared" si="56"/>
        <v>160</v>
      </c>
      <c r="K489" s="119">
        <v>0</v>
      </c>
      <c r="L489" s="119">
        <v>0</v>
      </c>
      <c r="M489" s="119">
        <f t="shared" si="57"/>
        <v>160</v>
      </c>
      <c r="N489" s="119">
        <f t="shared" si="58"/>
        <v>0</v>
      </c>
      <c r="O489" s="120">
        <v>45926</v>
      </c>
      <c r="P489" s="120">
        <v>47751</v>
      </c>
      <c r="Q489" s="119">
        <v>0</v>
      </c>
      <c r="R489" s="121">
        <v>0</v>
      </c>
      <c r="S489" s="119">
        <v>160</v>
      </c>
      <c r="T489" s="121">
        <v>0</v>
      </c>
      <c r="U489" s="119">
        <v>0</v>
      </c>
      <c r="V489" s="121">
        <f t="shared" si="59"/>
        <v>0</v>
      </c>
      <c r="W489" s="119">
        <f t="shared" si="60"/>
        <v>160</v>
      </c>
      <c r="X489" s="121">
        <f t="shared" si="61"/>
        <v>0</v>
      </c>
      <c r="Y489" s="122" t="s">
        <v>2427</v>
      </c>
      <c r="Z489" s="123" t="s">
        <v>2407</v>
      </c>
      <c r="AA489" s="123" t="s">
        <v>2406</v>
      </c>
      <c r="AB489" s="123" t="s">
        <v>2372</v>
      </c>
      <c r="AC489" s="123"/>
      <c r="AD489" s="110">
        <f>COUNTIF('KK1. Movies'!AI:AI,'TK 15661.Bản quyền phim '!F489)</f>
        <v>0</v>
      </c>
      <c r="AE489" s="110">
        <f>COUNTIF('KK2. Series'!AM:AM,'TK 15661.Bản quyền phim '!F489)</f>
        <v>0</v>
      </c>
      <c r="AF489" s="110">
        <f>COUNTIF('KK3. Kids'!AF:AF,'TK 15661.Bản quyền phim '!F489)</f>
        <v>0</v>
      </c>
      <c r="AG489" s="110"/>
      <c r="AH489" s="110">
        <f t="shared" si="62"/>
        <v>0</v>
      </c>
    </row>
    <row r="490" spans="1:34" ht="15.6" hidden="1" x14ac:dyDescent="0.3">
      <c r="B490" s="109" t="s">
        <v>2426</v>
      </c>
      <c r="C490" s="94" t="s">
        <v>2412</v>
      </c>
      <c r="D490" s="94" t="s">
        <v>2422</v>
      </c>
      <c r="E490" s="94" t="s">
        <v>2421</v>
      </c>
      <c r="F490" s="94" t="s">
        <v>2218</v>
      </c>
      <c r="G490" s="94" t="s">
        <v>2417</v>
      </c>
      <c r="H490" s="119">
        <v>1</v>
      </c>
      <c r="I490" s="119">
        <v>2</v>
      </c>
      <c r="J490" s="119">
        <v>2</v>
      </c>
      <c r="K490" s="119">
        <v>79716000</v>
      </c>
      <c r="L490" s="119">
        <v>39858000</v>
      </c>
      <c r="M490" s="119">
        <v>1</v>
      </c>
      <c r="N490" s="119">
        <v>39858000</v>
      </c>
      <c r="O490" s="120">
        <v>45382</v>
      </c>
      <c r="P490" s="120">
        <v>45929</v>
      </c>
      <c r="Q490" s="119">
        <v>1</v>
      </c>
      <c r="R490" s="121">
        <v>39858000</v>
      </c>
      <c r="S490" s="119">
        <v>0</v>
      </c>
      <c r="T490" s="121">
        <v>0</v>
      </c>
      <c r="U490" s="119">
        <v>1</v>
      </c>
      <c r="V490" s="121">
        <v>39858000</v>
      </c>
      <c r="W490" s="119">
        <v>0</v>
      </c>
      <c r="X490" s="121">
        <v>0</v>
      </c>
      <c r="Y490" s="122" t="s">
        <v>2416</v>
      </c>
      <c r="Z490" s="123" t="s">
        <v>2407</v>
      </c>
      <c r="AA490" s="123" t="s">
        <v>2406</v>
      </c>
      <c r="AB490" s="123" t="s">
        <v>2372</v>
      </c>
      <c r="AC490" s="124" t="s">
        <v>12</v>
      </c>
      <c r="AD490" s="110">
        <f>COUNTIF('KK1. Movies'!AI:AI,'TK 15661.Bản quyền phim '!F490)</f>
        <v>1</v>
      </c>
      <c r="AE490" s="110">
        <f>COUNTIF('KK2. Series'!AM:AM,'TK 15661.Bản quyền phim '!F490)</f>
        <v>0</v>
      </c>
      <c r="AF490" s="110">
        <f>COUNTIF('KK3. Kids'!AF:AF,'TK 15661.Bản quyền phim '!F490)</f>
        <v>0</v>
      </c>
      <c r="AG490" s="110"/>
      <c r="AH490" s="110" t="str">
        <f t="shared" si="62"/>
        <v>OK</v>
      </c>
    </row>
    <row r="491" spans="1:34" ht="15.6" hidden="1" x14ac:dyDescent="0.3">
      <c r="B491" s="110" t="s">
        <v>2425</v>
      </c>
      <c r="C491" s="110" t="s">
        <v>2412</v>
      </c>
      <c r="D491" s="110" t="s">
        <v>2422</v>
      </c>
      <c r="E491" s="94" t="s">
        <v>2421</v>
      </c>
      <c r="F491" s="96" t="s">
        <v>2108</v>
      </c>
      <c r="G491" s="94" t="s">
        <v>2417</v>
      </c>
      <c r="H491" s="119">
        <v>1</v>
      </c>
      <c r="I491" s="119">
        <v>2</v>
      </c>
      <c r="J491" s="119">
        <v>2</v>
      </c>
      <c r="K491" s="119">
        <v>79716000</v>
      </c>
      <c r="L491" s="119">
        <v>39858000</v>
      </c>
      <c r="M491" s="119">
        <v>1</v>
      </c>
      <c r="N491" s="119">
        <v>39858000</v>
      </c>
      <c r="O491" s="120">
        <v>45382</v>
      </c>
      <c r="P491" s="120">
        <v>45929</v>
      </c>
      <c r="Q491" s="119">
        <v>1</v>
      </c>
      <c r="R491" s="121">
        <v>39858000</v>
      </c>
      <c r="S491" s="119">
        <v>0</v>
      </c>
      <c r="T491" s="121">
        <v>0</v>
      </c>
      <c r="U491" s="119">
        <v>1</v>
      </c>
      <c r="V491" s="121">
        <v>39858000</v>
      </c>
      <c r="W491" s="119">
        <v>0</v>
      </c>
      <c r="X491" s="121">
        <v>0</v>
      </c>
      <c r="Y491" s="122" t="s">
        <v>2416</v>
      </c>
      <c r="Z491" s="123" t="s">
        <v>2407</v>
      </c>
      <c r="AA491" s="123" t="s">
        <v>2406</v>
      </c>
      <c r="AB491" s="123" t="s">
        <v>2372</v>
      </c>
      <c r="AC491" s="124" t="s">
        <v>12</v>
      </c>
      <c r="AD491" s="110">
        <f>COUNTIF('KK1. Movies'!AI:AI,'TK 15661.Bản quyền phim '!F491)</f>
        <v>1</v>
      </c>
      <c r="AE491" s="110">
        <f>COUNTIF('KK2. Series'!AM:AM,'TK 15661.Bản quyền phim '!F491)</f>
        <v>0</v>
      </c>
      <c r="AF491" s="110">
        <f>COUNTIF('KK3. Kids'!AF:AF,'TK 15661.Bản quyền phim '!F491)</f>
        <v>0</v>
      </c>
      <c r="AG491" s="110"/>
      <c r="AH491" s="110" t="str">
        <f t="shared" si="62"/>
        <v>OK</v>
      </c>
    </row>
    <row r="492" spans="1:34" ht="15.6" hidden="1" x14ac:dyDescent="0.3">
      <c r="B492" s="110" t="s">
        <v>2424</v>
      </c>
      <c r="C492" s="110" t="s">
        <v>2412</v>
      </c>
      <c r="D492" s="110" t="s">
        <v>2422</v>
      </c>
      <c r="E492" s="94" t="s">
        <v>2421</v>
      </c>
      <c r="F492" s="110" t="s">
        <v>1752</v>
      </c>
      <c r="G492" s="94" t="s">
        <v>2417</v>
      </c>
      <c r="H492" s="119">
        <v>1</v>
      </c>
      <c r="I492" s="119">
        <v>2</v>
      </c>
      <c r="J492" s="119">
        <v>2</v>
      </c>
      <c r="K492" s="119">
        <v>79716000</v>
      </c>
      <c r="L492" s="119">
        <v>39858000</v>
      </c>
      <c r="M492" s="119">
        <v>1</v>
      </c>
      <c r="N492" s="119">
        <v>39858000</v>
      </c>
      <c r="O492" s="120">
        <v>45382</v>
      </c>
      <c r="P492" s="120">
        <v>45929</v>
      </c>
      <c r="Q492" s="119">
        <v>1</v>
      </c>
      <c r="R492" s="121">
        <v>39858000</v>
      </c>
      <c r="S492" s="119">
        <v>0</v>
      </c>
      <c r="T492" s="121">
        <v>0</v>
      </c>
      <c r="U492" s="119">
        <v>1</v>
      </c>
      <c r="V492" s="121">
        <v>39858000</v>
      </c>
      <c r="W492" s="119">
        <v>0</v>
      </c>
      <c r="X492" s="121">
        <v>0</v>
      </c>
      <c r="Y492" s="122" t="s">
        <v>2416</v>
      </c>
      <c r="Z492" s="123" t="s">
        <v>2407</v>
      </c>
      <c r="AA492" s="123" t="s">
        <v>2406</v>
      </c>
      <c r="AB492" s="123" t="s">
        <v>2372</v>
      </c>
      <c r="AC492" s="124" t="s">
        <v>12</v>
      </c>
      <c r="AD492" s="110">
        <f>COUNTIF('KK1. Movies'!AI:AI,'TK 15661.Bản quyền phim '!F492)</f>
        <v>1</v>
      </c>
      <c r="AE492" s="110">
        <f>COUNTIF('KK2. Series'!AM:AM,'TK 15661.Bản quyền phim '!F492)</f>
        <v>0</v>
      </c>
      <c r="AF492" s="110">
        <f>COUNTIF('KK3. Kids'!AF:AF,'TK 15661.Bản quyền phim '!F492)</f>
        <v>0</v>
      </c>
      <c r="AG492" s="110"/>
      <c r="AH492" s="110" t="str">
        <f t="shared" si="62"/>
        <v>OK</v>
      </c>
    </row>
    <row r="493" spans="1:34" ht="15.6" hidden="1" x14ac:dyDescent="0.3">
      <c r="B493" s="110" t="s">
        <v>2423</v>
      </c>
      <c r="C493" s="110" t="s">
        <v>2412</v>
      </c>
      <c r="D493" s="110" t="s">
        <v>2422</v>
      </c>
      <c r="E493" s="94" t="s">
        <v>2421</v>
      </c>
      <c r="F493" s="110" t="s">
        <v>1981</v>
      </c>
      <c r="G493" s="94" t="s">
        <v>2417</v>
      </c>
      <c r="H493" s="119">
        <v>1</v>
      </c>
      <c r="I493" s="119">
        <v>2</v>
      </c>
      <c r="J493" s="119">
        <v>2</v>
      </c>
      <c r="K493" s="119">
        <v>79716000</v>
      </c>
      <c r="L493" s="119">
        <v>39858000</v>
      </c>
      <c r="M493" s="119">
        <v>1</v>
      </c>
      <c r="N493" s="119">
        <v>39858000</v>
      </c>
      <c r="O493" s="120">
        <v>45382</v>
      </c>
      <c r="P493" s="120">
        <v>45929</v>
      </c>
      <c r="Q493" s="119">
        <v>1</v>
      </c>
      <c r="R493" s="121">
        <v>39858000</v>
      </c>
      <c r="S493" s="119">
        <v>0</v>
      </c>
      <c r="T493" s="121">
        <v>0</v>
      </c>
      <c r="U493" s="119">
        <v>1</v>
      </c>
      <c r="V493" s="121">
        <v>39858000</v>
      </c>
      <c r="W493" s="119">
        <v>0</v>
      </c>
      <c r="X493" s="121">
        <v>0</v>
      </c>
      <c r="Y493" s="122" t="s">
        <v>2416</v>
      </c>
      <c r="Z493" s="123" t="s">
        <v>2407</v>
      </c>
      <c r="AA493" s="123" t="s">
        <v>2406</v>
      </c>
      <c r="AB493" s="123" t="s">
        <v>2372</v>
      </c>
      <c r="AC493" s="124" t="s">
        <v>12</v>
      </c>
      <c r="AD493" s="110">
        <f>COUNTIF('KK1. Movies'!AI:AI,'TK 15661.Bản quyền phim '!F493)</f>
        <v>1</v>
      </c>
      <c r="AE493" s="110">
        <f>COUNTIF('KK2. Series'!AM:AM,'TK 15661.Bản quyền phim '!F493)</f>
        <v>0</v>
      </c>
      <c r="AF493" s="110">
        <f>COUNTIF('KK3. Kids'!AF:AF,'TK 15661.Bản quyền phim '!F493)</f>
        <v>0</v>
      </c>
      <c r="AG493" s="110"/>
      <c r="AH493" s="110" t="str">
        <f t="shared" si="62"/>
        <v>OK</v>
      </c>
    </row>
    <row r="494" spans="1:34" ht="15.6" hidden="1" x14ac:dyDescent="0.3">
      <c r="B494" s="110" t="s">
        <v>2420</v>
      </c>
      <c r="C494" s="110" t="s">
        <v>2412</v>
      </c>
      <c r="D494" s="110" t="s">
        <v>2419</v>
      </c>
      <c r="E494" s="110" t="s">
        <v>2418</v>
      </c>
      <c r="F494" s="110" t="s">
        <v>2074</v>
      </c>
      <c r="G494" s="94" t="s">
        <v>2417</v>
      </c>
      <c r="H494" s="119">
        <v>1</v>
      </c>
      <c r="I494" s="119">
        <v>1</v>
      </c>
      <c r="J494" s="119">
        <v>1</v>
      </c>
      <c r="K494" s="125">
        <v>37860900</v>
      </c>
      <c r="L494" s="125">
        <v>37860900</v>
      </c>
      <c r="M494" s="119">
        <v>1</v>
      </c>
      <c r="N494" s="125">
        <v>37860900</v>
      </c>
      <c r="O494" s="126">
        <v>45686</v>
      </c>
      <c r="P494" s="126">
        <v>45958</v>
      </c>
      <c r="Q494" s="119">
        <v>0</v>
      </c>
      <c r="R494" s="127">
        <v>0</v>
      </c>
      <c r="S494" s="125">
        <v>1</v>
      </c>
      <c r="T494" s="127">
        <v>37860900</v>
      </c>
      <c r="U494" s="125">
        <v>1</v>
      </c>
      <c r="V494" s="127">
        <v>37860900</v>
      </c>
      <c r="W494" s="125">
        <v>0</v>
      </c>
      <c r="X494" s="127">
        <v>0</v>
      </c>
      <c r="Y494" s="110" t="s">
        <v>2416</v>
      </c>
      <c r="Z494" s="110" t="s">
        <v>2407</v>
      </c>
      <c r="AA494" s="110" t="s">
        <v>2406</v>
      </c>
      <c r="AB494" s="110" t="s">
        <v>2372</v>
      </c>
      <c r="AC494" s="124" t="s">
        <v>12</v>
      </c>
      <c r="AD494" s="110">
        <f>COUNTIF('KK1. Movies'!AI:AI,'TK 15661.Bản quyền phim '!F494)</f>
        <v>1</v>
      </c>
      <c r="AE494" s="110">
        <f>COUNTIF('KK2. Series'!AM:AM,'TK 15661.Bản quyền phim '!F494)</f>
        <v>0</v>
      </c>
      <c r="AF494" s="110">
        <f>COUNTIF('KK3. Kids'!AF:AF,'TK 15661.Bản quyền phim '!F494)</f>
        <v>0</v>
      </c>
      <c r="AG494" s="110"/>
      <c r="AH494" s="110" t="str">
        <f t="shared" si="62"/>
        <v>OK</v>
      </c>
    </row>
    <row r="495" spans="1:34" hidden="1" x14ac:dyDescent="0.2">
      <c r="B495" s="110" t="s">
        <v>2415</v>
      </c>
      <c r="C495" s="110" t="s">
        <v>2412</v>
      </c>
      <c r="D495" s="110" t="s">
        <v>2411</v>
      </c>
      <c r="E495" s="110" t="s">
        <v>2410</v>
      </c>
      <c r="F495" s="110" t="s">
        <v>327</v>
      </c>
      <c r="G495" s="110" t="s">
        <v>2409</v>
      </c>
      <c r="H495" s="125">
        <v>26</v>
      </c>
      <c r="I495" s="125">
        <v>2</v>
      </c>
      <c r="J495" s="125">
        <v>52</v>
      </c>
      <c r="K495" s="125">
        <v>38140960</v>
      </c>
      <c r="L495" s="125">
        <v>733480</v>
      </c>
      <c r="M495" s="125">
        <v>52</v>
      </c>
      <c r="N495" s="125">
        <v>38140960</v>
      </c>
      <c r="O495" s="126">
        <v>44501</v>
      </c>
      <c r="P495" s="126">
        <v>45230</v>
      </c>
      <c r="Q495" s="125">
        <v>0</v>
      </c>
      <c r="R495" s="127">
        <v>0</v>
      </c>
      <c r="S495" s="125">
        <v>0</v>
      </c>
      <c r="T495" s="127">
        <v>0</v>
      </c>
      <c r="U495" s="125">
        <v>0</v>
      </c>
      <c r="V495" s="127">
        <v>0</v>
      </c>
      <c r="W495" s="125">
        <v>0</v>
      </c>
      <c r="X495" s="127">
        <v>0</v>
      </c>
      <c r="Y495" s="110" t="s">
        <v>2408</v>
      </c>
      <c r="Z495" s="110" t="s">
        <v>2407</v>
      </c>
      <c r="AA495" s="110" t="s">
        <v>2406</v>
      </c>
      <c r="AB495" s="110" t="s">
        <v>2372</v>
      </c>
      <c r="AC495" s="123" t="s">
        <v>8</v>
      </c>
      <c r="AD495" s="110">
        <f>COUNTIF('KK1. Movies'!AI:AI,'TK 15661.Bản quyền phim '!F495)</f>
        <v>0</v>
      </c>
      <c r="AE495" s="110">
        <f>COUNTIF('KK2. Series'!AM:AM,'TK 15661.Bản quyền phim '!F495)</f>
        <v>0</v>
      </c>
      <c r="AF495" s="110">
        <f>COUNTIF('KK3. Kids'!AF:AF,'TK 15661.Bản quyền phim '!F495)</f>
        <v>1</v>
      </c>
      <c r="AG495" s="110"/>
      <c r="AH495" s="110" t="str">
        <f t="shared" si="62"/>
        <v>OK</v>
      </c>
    </row>
    <row r="496" spans="1:34" hidden="1" x14ac:dyDescent="0.2">
      <c r="B496" s="110" t="s">
        <v>2414</v>
      </c>
      <c r="C496" s="110" t="s">
        <v>2412</v>
      </c>
      <c r="D496" s="110" t="s">
        <v>2411</v>
      </c>
      <c r="E496" s="110" t="s">
        <v>2410</v>
      </c>
      <c r="F496" s="110" t="s">
        <v>325</v>
      </c>
      <c r="G496" s="110" t="s">
        <v>2409</v>
      </c>
      <c r="H496" s="125">
        <v>26</v>
      </c>
      <c r="I496" s="125">
        <v>2</v>
      </c>
      <c r="J496" s="125">
        <v>52</v>
      </c>
      <c r="K496" s="125">
        <v>38140960</v>
      </c>
      <c r="L496" s="125">
        <v>733480</v>
      </c>
      <c r="M496" s="125">
        <v>52</v>
      </c>
      <c r="N496" s="125">
        <v>38140960</v>
      </c>
      <c r="O496" s="126">
        <v>44501</v>
      </c>
      <c r="P496" s="126">
        <v>45230</v>
      </c>
      <c r="Q496" s="125">
        <v>0</v>
      </c>
      <c r="R496" s="127">
        <v>0</v>
      </c>
      <c r="S496" s="125">
        <v>0</v>
      </c>
      <c r="T496" s="127">
        <v>0</v>
      </c>
      <c r="U496" s="125">
        <v>0</v>
      </c>
      <c r="V496" s="127">
        <v>0</v>
      </c>
      <c r="W496" s="125">
        <v>0</v>
      </c>
      <c r="X496" s="127">
        <v>0</v>
      </c>
      <c r="Y496" s="110" t="s">
        <v>2408</v>
      </c>
      <c r="Z496" s="110" t="s">
        <v>2407</v>
      </c>
      <c r="AA496" s="110" t="s">
        <v>2406</v>
      </c>
      <c r="AB496" s="110" t="s">
        <v>2372</v>
      </c>
      <c r="AC496" s="123" t="s">
        <v>8</v>
      </c>
      <c r="AD496" s="110">
        <f>COUNTIF('KK1. Movies'!AI:AI,'TK 15661.Bản quyền phim '!F496)</f>
        <v>0</v>
      </c>
      <c r="AE496" s="110">
        <f>COUNTIF('KK2. Series'!AM:AM,'TK 15661.Bản quyền phim '!F496)</f>
        <v>0</v>
      </c>
      <c r="AF496" s="110">
        <f>COUNTIF('KK3. Kids'!AF:AF,'TK 15661.Bản quyền phim '!F496)</f>
        <v>1</v>
      </c>
      <c r="AG496" s="110"/>
      <c r="AH496" s="110" t="str">
        <f t="shared" si="62"/>
        <v>OK</v>
      </c>
    </row>
    <row r="497" spans="2:34" hidden="1" x14ac:dyDescent="0.2">
      <c r="B497" s="110" t="s">
        <v>2413</v>
      </c>
      <c r="C497" s="110" t="s">
        <v>2412</v>
      </c>
      <c r="D497" s="110" t="s">
        <v>2411</v>
      </c>
      <c r="E497" s="110" t="s">
        <v>2410</v>
      </c>
      <c r="F497" s="110" t="s">
        <v>318</v>
      </c>
      <c r="G497" s="110" t="s">
        <v>2409</v>
      </c>
      <c r="H497" s="125">
        <v>26</v>
      </c>
      <c r="I497" s="125">
        <v>2</v>
      </c>
      <c r="J497" s="125">
        <v>52</v>
      </c>
      <c r="K497" s="125">
        <v>38140960</v>
      </c>
      <c r="L497" s="125">
        <v>733480</v>
      </c>
      <c r="M497" s="125">
        <v>52</v>
      </c>
      <c r="N497" s="125">
        <v>38140960</v>
      </c>
      <c r="O497" s="126">
        <v>44501</v>
      </c>
      <c r="P497" s="126">
        <v>45230</v>
      </c>
      <c r="Q497" s="125">
        <v>0</v>
      </c>
      <c r="R497" s="127">
        <v>0</v>
      </c>
      <c r="S497" s="125">
        <v>0</v>
      </c>
      <c r="T497" s="127">
        <v>0</v>
      </c>
      <c r="U497" s="125">
        <v>0</v>
      </c>
      <c r="V497" s="127">
        <v>0</v>
      </c>
      <c r="W497" s="125">
        <v>0</v>
      </c>
      <c r="X497" s="127">
        <v>0</v>
      </c>
      <c r="Y497" s="110" t="s">
        <v>2408</v>
      </c>
      <c r="Z497" s="110" t="s">
        <v>2407</v>
      </c>
      <c r="AA497" s="110" t="s">
        <v>2406</v>
      </c>
      <c r="AB497" s="110" t="s">
        <v>2372</v>
      </c>
      <c r="AC497" s="123" t="s">
        <v>8</v>
      </c>
      <c r="AD497" s="110">
        <f>COUNTIF('KK1. Movies'!AI:AI,'TK 15661.Bản quyền phim '!F497)</f>
        <v>0</v>
      </c>
      <c r="AE497" s="110">
        <f>COUNTIF('KK2. Series'!AM:AM,'TK 15661.Bản quyền phim '!F497)</f>
        <v>0</v>
      </c>
      <c r="AF497" s="110">
        <f>COUNTIF('KK3. Kids'!AF:AF,'TK 15661.Bản quyền phim '!F497)</f>
        <v>1</v>
      </c>
      <c r="AG497" s="110"/>
      <c r="AH497" s="110" t="str">
        <f t="shared" si="62"/>
        <v>OK</v>
      </c>
    </row>
    <row r="19871" spans="1:44" s="10" customFormat="1" x14ac:dyDescent="0.2">
      <c r="A19871" s="47"/>
      <c r="C19871" s="43">
        <v>29</v>
      </c>
      <c r="H19871" s="45"/>
      <c r="I19871" s="45"/>
      <c r="J19871" s="45"/>
      <c r="K19871" s="45"/>
      <c r="L19871" s="45"/>
      <c r="M19871" s="45"/>
      <c r="N19871" s="45"/>
      <c r="O19871" s="46"/>
      <c r="P19871" s="46"/>
      <c r="Q19871" s="45"/>
      <c r="R19871" s="44"/>
      <c r="S19871" s="45"/>
      <c r="T19871" s="44"/>
      <c r="U19871" s="45"/>
      <c r="V19871" s="44"/>
      <c r="W19871" s="45"/>
      <c r="X19871" s="44"/>
      <c r="Y19871" s="43"/>
      <c r="Z19871" s="43"/>
      <c r="AA19871" s="43"/>
      <c r="AB19871" s="43"/>
      <c r="AC19871" s="43"/>
      <c r="AD19871" s="43"/>
      <c r="AE19871" s="43"/>
      <c r="AF19871" s="43"/>
      <c r="AG19871" s="43"/>
      <c r="AH19871" s="43"/>
      <c r="AI19871" s="43"/>
      <c r="AJ19871" s="43"/>
      <c r="AK19871" s="43"/>
      <c r="AL19871" s="43"/>
      <c r="AM19871" s="43"/>
      <c r="AN19871" s="43"/>
      <c r="AO19871" s="43"/>
      <c r="AP19871" s="43"/>
      <c r="AQ19871" s="43"/>
      <c r="AR19871" s="43"/>
    </row>
    <row r="19872" spans="1:44" s="10" customFormat="1" x14ac:dyDescent="0.2">
      <c r="A19872" s="47"/>
      <c r="C19872" s="43">
        <v>30</v>
      </c>
      <c r="H19872" s="45"/>
      <c r="I19872" s="45"/>
      <c r="J19872" s="45"/>
      <c r="K19872" s="45"/>
      <c r="L19872" s="45"/>
      <c r="M19872" s="45"/>
      <c r="N19872" s="45"/>
      <c r="O19872" s="46"/>
      <c r="P19872" s="46"/>
      <c r="Q19872" s="45"/>
      <c r="R19872" s="44"/>
      <c r="S19872" s="45"/>
      <c r="T19872" s="44"/>
      <c r="U19872" s="45"/>
      <c r="V19872" s="44"/>
      <c r="W19872" s="45"/>
      <c r="X19872" s="44"/>
      <c r="Y19872" s="43"/>
      <c r="Z19872" s="43"/>
      <c r="AA19872" s="43"/>
      <c r="AB19872" s="43"/>
      <c r="AC19872" s="43"/>
      <c r="AD19872" s="43"/>
      <c r="AE19872" s="43"/>
      <c r="AF19872" s="43"/>
      <c r="AG19872" s="43"/>
      <c r="AH19872" s="43"/>
      <c r="AI19872" s="43"/>
      <c r="AJ19872" s="43"/>
      <c r="AK19872" s="43"/>
      <c r="AL19872" s="43"/>
      <c r="AM19872" s="43"/>
      <c r="AN19872" s="43"/>
      <c r="AO19872" s="43"/>
      <c r="AP19872" s="43"/>
      <c r="AQ19872" s="43"/>
      <c r="AR19872" s="43"/>
    </row>
    <row r="19873" spans="1:44" s="10" customFormat="1" x14ac:dyDescent="0.2">
      <c r="A19873" s="47"/>
      <c r="C19873" s="43">
        <v>31</v>
      </c>
      <c r="H19873" s="45"/>
      <c r="I19873" s="45"/>
      <c r="J19873" s="45"/>
      <c r="K19873" s="45"/>
      <c r="L19873" s="45"/>
      <c r="M19873" s="45"/>
      <c r="N19873" s="45"/>
      <c r="O19873" s="46"/>
      <c r="P19873" s="46"/>
      <c r="Q19873" s="45"/>
      <c r="R19873" s="44"/>
      <c r="S19873" s="45"/>
      <c r="T19873" s="44"/>
      <c r="U19873" s="45"/>
      <c r="V19873" s="44"/>
      <c r="W19873" s="45"/>
      <c r="X19873" s="44"/>
      <c r="Y19873" s="43"/>
      <c r="Z19873" s="43"/>
      <c r="AA19873" s="43"/>
      <c r="AB19873" s="43"/>
      <c r="AC19873" s="43"/>
      <c r="AD19873" s="43"/>
      <c r="AE19873" s="43"/>
      <c r="AF19873" s="43"/>
      <c r="AG19873" s="43"/>
      <c r="AH19873" s="43"/>
      <c r="AI19873" s="43"/>
      <c r="AJ19873" s="43"/>
      <c r="AK19873" s="43"/>
      <c r="AL19873" s="43"/>
      <c r="AM19873" s="43"/>
      <c r="AN19873" s="43"/>
      <c r="AO19873" s="43"/>
      <c r="AP19873" s="43"/>
      <c r="AQ19873" s="43"/>
      <c r="AR19873" s="43"/>
    </row>
    <row r="19874" spans="1:44" s="10" customFormat="1" x14ac:dyDescent="0.2">
      <c r="A19874" s="47"/>
      <c r="C19874" s="43">
        <v>32</v>
      </c>
      <c r="H19874" s="45"/>
      <c r="I19874" s="45"/>
      <c r="J19874" s="45"/>
      <c r="K19874" s="45"/>
      <c r="L19874" s="45"/>
      <c r="M19874" s="45"/>
      <c r="N19874" s="45"/>
      <c r="O19874" s="46"/>
      <c r="P19874" s="46"/>
      <c r="Q19874" s="45"/>
      <c r="R19874" s="44"/>
      <c r="S19874" s="45"/>
      <c r="T19874" s="44"/>
      <c r="U19874" s="45"/>
      <c r="V19874" s="44"/>
      <c r="W19874" s="45"/>
      <c r="X19874" s="44"/>
      <c r="Y19874" s="43"/>
      <c r="Z19874" s="43"/>
      <c r="AA19874" s="43"/>
      <c r="AB19874" s="43"/>
      <c r="AC19874" s="43"/>
      <c r="AD19874" s="43"/>
      <c r="AE19874" s="43"/>
      <c r="AF19874" s="43"/>
      <c r="AG19874" s="43"/>
      <c r="AH19874" s="43"/>
      <c r="AI19874" s="43"/>
      <c r="AJ19874" s="43"/>
      <c r="AK19874" s="43"/>
      <c r="AL19874" s="43"/>
      <c r="AM19874" s="43"/>
      <c r="AN19874" s="43"/>
      <c r="AO19874" s="43"/>
      <c r="AP19874" s="43"/>
      <c r="AQ19874" s="43"/>
      <c r="AR19874" s="43"/>
    </row>
  </sheetData>
  <autoFilter ref="A5:AR497" xr:uid="{3BCAAD8D-35F2-465F-81C9-CE3DF3A721C8}">
    <filterColumn colId="31">
      <filters>
        <filter val="2"/>
      </filters>
    </filterColumn>
  </autoFilter>
  <mergeCells count="1">
    <mergeCell ref="AC4:AH4"/>
  </mergeCells>
  <conditionalFormatting sqref="B6:B8">
    <cfRule type="duplicateValues" dxfId="31" priority="32"/>
  </conditionalFormatting>
  <conditionalFormatting sqref="B9">
    <cfRule type="duplicateValues" dxfId="30" priority="24"/>
  </conditionalFormatting>
  <conditionalFormatting sqref="B10:B16">
    <cfRule type="duplicateValues" dxfId="29" priority="25"/>
    <cfRule type="duplicateValues" dxfId="28" priority="26"/>
  </conditionalFormatting>
  <conditionalFormatting sqref="B17">
    <cfRule type="duplicateValues" dxfId="27" priority="22"/>
    <cfRule type="duplicateValues" dxfId="26" priority="23"/>
  </conditionalFormatting>
  <conditionalFormatting sqref="B18:B19">
    <cfRule type="duplicateValues" dxfId="25" priority="20"/>
    <cfRule type="duplicateValues" dxfId="24" priority="21"/>
  </conditionalFormatting>
  <conditionalFormatting sqref="B20">
    <cfRule type="duplicateValues" dxfId="23" priority="18"/>
    <cfRule type="duplicateValues" dxfId="22" priority="19"/>
  </conditionalFormatting>
  <conditionalFormatting sqref="B87">
    <cfRule type="duplicateValues" dxfId="21" priority="14"/>
    <cfRule type="duplicateValues" dxfId="20" priority="15"/>
    <cfRule type="duplicateValues" dxfId="19" priority="16"/>
  </conditionalFormatting>
  <conditionalFormatting sqref="B88:B126 B21:B86">
    <cfRule type="duplicateValues" dxfId="18" priority="31"/>
  </conditionalFormatting>
  <conditionalFormatting sqref="B127:B489">
    <cfRule type="duplicateValues" dxfId="17" priority="28"/>
    <cfRule type="duplicateValues" dxfId="16" priority="29"/>
    <cfRule type="duplicateValues" dxfId="15" priority="30"/>
  </conditionalFormatting>
  <conditionalFormatting sqref="B490">
    <cfRule type="duplicateValues" dxfId="14" priority="8"/>
    <cfRule type="duplicateValues" dxfId="13" priority="9"/>
    <cfRule type="duplicateValues" dxfId="12" priority="10"/>
  </conditionalFormatting>
  <conditionalFormatting sqref="F5">
    <cfRule type="duplicateValues" dxfId="11" priority="12"/>
  </conditionalFormatting>
  <conditionalFormatting sqref="F149:F489 F6:F41 F43:F147">
    <cfRule type="duplicateValues" dxfId="10" priority="27"/>
  </conditionalFormatting>
  <conditionalFormatting sqref="F490">
    <cfRule type="duplicateValues" dxfId="9" priority="11"/>
  </conditionalFormatting>
  <conditionalFormatting sqref="F49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F493:F1048576 F1:F4">
    <cfRule type="duplicateValues" dxfId="1" priority="17"/>
  </conditionalFormatting>
  <conditionalFormatting sqref="G2">
    <cfRule type="duplicateValues" dxfId="0" priority="13"/>
  </conditionalFormatting>
  <pageMargins left="0.7" right="0.7" top="0.75" bottom="0.75" header="0.3" footer="0.3"/>
  <pageSetup orientation="portrait" horizontalDpi="300" verticalDpi="300" r:id="rId1"/>
  <headerFooter>
    <oddFooter>&amp;L_x000D_&amp;1#&amp;"Aptos"&amp;10&amp;K000000 C0 - This document or email is owned by Canal+ Group.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B883-FD53-412E-A564-D9A0E2FEA38B}">
  <sheetPr codeName="Sheet13">
    <tabColor theme="5" tint="-0.249977111117893"/>
  </sheetPr>
  <dimension ref="A2:S9"/>
  <sheetViews>
    <sheetView workbookViewId="0">
      <pane xSplit="3" ySplit="4" topLeftCell="L5" activePane="bottomRight" state="frozen"/>
      <selection activeCell="B946" sqref="B946"/>
      <selection pane="topRight" activeCell="B946" sqref="B946"/>
      <selection pane="bottomLeft" activeCell="B946" sqref="B946"/>
      <selection pane="bottomRight" activeCell="S4" sqref="S4"/>
    </sheetView>
  </sheetViews>
  <sheetFormatPr defaultRowHeight="14.4" x14ac:dyDescent="0.3"/>
  <cols>
    <col min="1" max="1" width="5.5546875" bestFit="1" customWidth="1"/>
    <col min="2" max="2" width="9.77734375" bestFit="1" customWidth="1"/>
    <col min="3" max="3" width="52.44140625" bestFit="1" customWidth="1"/>
    <col min="4" max="4" width="10.44140625" bestFit="1" customWidth="1"/>
    <col min="5" max="5" width="12" bestFit="1" customWidth="1"/>
    <col min="6" max="6" width="7.5546875" bestFit="1" customWidth="1"/>
    <col min="7" max="7" width="9.44140625" bestFit="1" customWidth="1"/>
    <col min="8" max="9" width="13.77734375" bestFit="1" customWidth="1"/>
    <col min="10" max="10" width="12.77734375" bestFit="1" customWidth="1"/>
    <col min="11" max="11" width="13.5546875" bestFit="1" customWidth="1"/>
    <col min="12" max="12" width="6.21875" bestFit="1" customWidth="1"/>
    <col min="13" max="13" width="8" bestFit="1" customWidth="1"/>
    <col min="14" max="14" width="12.44140625" bestFit="1" customWidth="1"/>
    <col min="15" max="15" width="10.21875" bestFit="1" customWidth="1"/>
    <col min="16" max="16" width="18" customWidth="1"/>
  </cols>
  <sheetData>
    <row r="2" spans="1:19" x14ac:dyDescent="0.3">
      <c r="A2" s="566" t="s">
        <v>2405</v>
      </c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</row>
    <row r="3" spans="1:19" x14ac:dyDescent="0.3">
      <c r="A3" s="42" t="s">
        <v>126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9" ht="52.8" x14ac:dyDescent="0.3">
      <c r="A4" s="9" t="s">
        <v>85</v>
      </c>
      <c r="B4" s="9" t="s">
        <v>2404</v>
      </c>
      <c r="C4" s="9" t="s">
        <v>2403</v>
      </c>
      <c r="D4" s="9" t="s">
        <v>125</v>
      </c>
      <c r="E4" s="9" t="s">
        <v>2402</v>
      </c>
      <c r="F4" s="9" t="s">
        <v>2401</v>
      </c>
      <c r="G4" s="9" t="s">
        <v>2400</v>
      </c>
      <c r="H4" s="9" t="s">
        <v>2399</v>
      </c>
      <c r="I4" s="9" t="s">
        <v>2398</v>
      </c>
      <c r="J4" s="9" t="s">
        <v>2397</v>
      </c>
      <c r="K4" s="9" t="s">
        <v>2396</v>
      </c>
      <c r="L4" s="9" t="s">
        <v>2395</v>
      </c>
      <c r="M4" s="9" t="s">
        <v>2394</v>
      </c>
      <c r="N4" s="9" t="s">
        <v>127</v>
      </c>
      <c r="O4" s="9" t="s">
        <v>2393</v>
      </c>
      <c r="P4" s="9" t="s">
        <v>2392</v>
      </c>
      <c r="Q4" s="9" t="s">
        <v>3197</v>
      </c>
      <c r="R4" s="9" t="s">
        <v>3216</v>
      </c>
      <c r="S4" s="192" t="s">
        <v>3210</v>
      </c>
    </row>
    <row r="5" spans="1:19" ht="28.8" x14ac:dyDescent="0.3">
      <c r="A5" s="6">
        <v>2044</v>
      </c>
      <c r="B5" s="8" t="s">
        <v>3196</v>
      </c>
      <c r="C5" s="8" t="s">
        <v>3195</v>
      </c>
      <c r="D5" s="7">
        <v>45526</v>
      </c>
      <c r="E5" s="7">
        <v>45505</v>
      </c>
      <c r="F5" s="6">
        <v>48</v>
      </c>
      <c r="G5" s="6">
        <v>1</v>
      </c>
      <c r="H5" s="6">
        <v>392544557</v>
      </c>
      <c r="I5" s="6">
        <v>139026204</v>
      </c>
      <c r="J5" s="6">
        <v>253518353</v>
      </c>
      <c r="K5" s="6">
        <v>98136144</v>
      </c>
      <c r="L5" s="8" t="s">
        <v>3139</v>
      </c>
      <c r="M5" s="8" t="s">
        <v>2372</v>
      </c>
      <c r="N5" s="8" t="s">
        <v>3190</v>
      </c>
      <c r="O5" s="8" t="s">
        <v>3142</v>
      </c>
      <c r="P5" s="37">
        <f>+J5</f>
        <v>253518353</v>
      </c>
      <c r="Q5" s="38">
        <v>1</v>
      </c>
      <c r="R5" s="38" t="s">
        <v>10</v>
      </c>
      <c r="S5" s="38" t="s">
        <v>3227</v>
      </c>
    </row>
    <row r="6" spans="1:19" x14ac:dyDescent="0.3">
      <c r="A6" s="6">
        <v>2118</v>
      </c>
      <c r="B6" s="8" t="s">
        <v>3194</v>
      </c>
      <c r="C6" s="8" t="s">
        <v>3193</v>
      </c>
      <c r="D6" s="7">
        <v>45713</v>
      </c>
      <c r="E6" s="7">
        <v>45689</v>
      </c>
      <c r="F6" s="6">
        <v>41</v>
      </c>
      <c r="G6" s="6">
        <v>41</v>
      </c>
      <c r="H6" s="6">
        <v>1399721284</v>
      </c>
      <c r="I6" s="231">
        <v>375534981.80000001</v>
      </c>
      <c r="J6" s="231">
        <v>1024186302.2</v>
      </c>
      <c r="K6" s="231">
        <v>375534981.80000001</v>
      </c>
      <c r="L6" s="8" t="s">
        <v>3139</v>
      </c>
      <c r="M6" s="8" t="s">
        <v>2372</v>
      </c>
      <c r="N6" s="8" t="s">
        <v>3190</v>
      </c>
      <c r="O6" s="8" t="s">
        <v>3142</v>
      </c>
      <c r="P6" s="37">
        <f>+J6</f>
        <v>1024186302.2</v>
      </c>
      <c r="Q6" s="38">
        <v>33</v>
      </c>
      <c r="R6" s="38" t="s">
        <v>10</v>
      </c>
      <c r="S6" s="38" t="s">
        <v>3227</v>
      </c>
    </row>
    <row r="7" spans="1:19" ht="28.8" x14ac:dyDescent="0.3">
      <c r="A7" s="6">
        <v>2131</v>
      </c>
      <c r="B7" s="8" t="s">
        <v>3192</v>
      </c>
      <c r="C7" s="8" t="s">
        <v>3191</v>
      </c>
      <c r="D7" s="7">
        <v>45742</v>
      </c>
      <c r="E7" s="7">
        <v>45731</v>
      </c>
      <c r="F7" s="6">
        <v>27</v>
      </c>
      <c r="G7" s="6">
        <v>27</v>
      </c>
      <c r="H7" s="6">
        <v>274285715</v>
      </c>
      <c r="I7" s="231">
        <v>101587300.2</v>
      </c>
      <c r="J7" s="231">
        <v>172698414.80000001</v>
      </c>
      <c r="K7" s="231">
        <v>101587300.2</v>
      </c>
      <c r="L7" s="8" t="s">
        <v>3139</v>
      </c>
      <c r="M7" s="8" t="s">
        <v>2372</v>
      </c>
      <c r="N7" s="8" t="s">
        <v>3190</v>
      </c>
      <c r="O7" s="8" t="s">
        <v>2370</v>
      </c>
      <c r="P7" s="37">
        <f>+J7</f>
        <v>172698414.80000001</v>
      </c>
      <c r="Q7" s="38">
        <v>1</v>
      </c>
      <c r="R7" s="38" t="s">
        <v>10</v>
      </c>
      <c r="S7" s="38" t="s">
        <v>3227</v>
      </c>
    </row>
    <row r="8" spans="1:19" ht="28.8" x14ac:dyDescent="0.3">
      <c r="A8" s="6">
        <v>2208</v>
      </c>
      <c r="B8" s="8" t="s">
        <v>3141</v>
      </c>
      <c r="C8" s="8" t="s">
        <v>3140</v>
      </c>
      <c r="D8" s="7">
        <v>45316</v>
      </c>
      <c r="E8" s="7">
        <v>45261</v>
      </c>
      <c r="F8" s="6">
        <v>36</v>
      </c>
      <c r="G8" s="6">
        <v>1</v>
      </c>
      <c r="H8" s="6">
        <v>528000000</v>
      </c>
      <c r="I8" s="6">
        <v>366666675</v>
      </c>
      <c r="J8" s="6">
        <v>161333325</v>
      </c>
      <c r="K8" s="6">
        <v>176000004</v>
      </c>
      <c r="L8" s="8" t="s">
        <v>3139</v>
      </c>
      <c r="M8" s="8" t="s">
        <v>2372</v>
      </c>
      <c r="N8" s="8" t="s">
        <v>2427</v>
      </c>
      <c r="O8" s="8" t="s">
        <v>2370</v>
      </c>
      <c r="P8" s="37">
        <f>+J8</f>
        <v>161333325</v>
      </c>
      <c r="Q8" s="38">
        <v>1</v>
      </c>
      <c r="R8" s="38" t="s">
        <v>10</v>
      </c>
      <c r="S8" s="38" t="s">
        <v>3227</v>
      </c>
    </row>
    <row r="9" spans="1:19" s="2" customFormat="1" ht="15" thickBot="1" x14ac:dyDescent="0.35">
      <c r="A9" s="85"/>
      <c r="B9" s="85"/>
      <c r="C9" s="86" t="s">
        <v>2390</v>
      </c>
      <c r="D9" s="85"/>
      <c r="E9" s="85"/>
      <c r="F9" s="85"/>
      <c r="G9" s="85"/>
      <c r="H9" s="87">
        <f>+SUM(H1:H8)</f>
        <v>2594551556</v>
      </c>
      <c r="I9" s="87">
        <f>+SUM(I1:I8)</f>
        <v>982815161</v>
      </c>
      <c r="J9" s="88">
        <f>+SUM(J1:J8)</f>
        <v>1611736395</v>
      </c>
      <c r="K9" s="85"/>
      <c r="L9" s="85"/>
      <c r="M9" s="85"/>
      <c r="N9" s="85"/>
      <c r="O9" s="85"/>
      <c r="P9" s="87">
        <f>+SUM(P1:P8)</f>
        <v>1611736395</v>
      </c>
      <c r="Q9" s="85"/>
    </row>
  </sheetData>
  <autoFilter ref="A4:P8" xr:uid="{F5E6B4F8-95FA-4267-8CF0-4CA9BCD992E2}"/>
  <mergeCells count="1">
    <mergeCell ref="A2:O2"/>
  </mergeCells>
  <pageMargins left="0.7" right="0.7" top="0.75" bottom="0.75" header="0.3" footer="0.3"/>
  <headerFooter>
    <oddFooter>&amp;L_x000D_&amp;1#&amp;"Aptos"&amp;10&amp;K000000 C0 - This document or email is owned by Canal+ Group.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101-698C-4D56-BDE4-B60598A59974}">
  <sheetPr codeName="Sheet8">
    <tabColor theme="5" tint="-0.249977111117893"/>
  </sheetPr>
  <dimension ref="A2:T13"/>
  <sheetViews>
    <sheetView zoomScale="70" zoomScaleNormal="70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J20" sqref="J20"/>
    </sheetView>
  </sheetViews>
  <sheetFormatPr defaultRowHeight="14.4" x14ac:dyDescent="0.3"/>
  <cols>
    <col min="1" max="1" width="5.5546875" bestFit="1" customWidth="1"/>
    <col min="2" max="2" width="9.77734375" bestFit="1" customWidth="1"/>
    <col min="3" max="3" width="52.44140625" bestFit="1" customWidth="1"/>
    <col min="4" max="4" width="10.44140625" bestFit="1" customWidth="1"/>
    <col min="5" max="5" width="12" bestFit="1" customWidth="1"/>
    <col min="6" max="6" width="7.5546875" bestFit="1" customWidth="1"/>
    <col min="7" max="7" width="9.44140625" bestFit="1" customWidth="1"/>
    <col min="8" max="10" width="13.77734375" bestFit="1" customWidth="1"/>
    <col min="11" max="11" width="13.5546875" bestFit="1" customWidth="1"/>
    <col min="12" max="12" width="6.21875" bestFit="1" customWidth="1"/>
    <col min="13" max="13" width="8" bestFit="1" customWidth="1"/>
    <col min="14" max="14" width="11.5546875" bestFit="1" customWidth="1"/>
    <col min="15" max="15" width="9.77734375" bestFit="1" customWidth="1"/>
    <col min="16" max="16" width="17.77734375" bestFit="1" customWidth="1"/>
    <col min="17" max="17" width="16.5546875" customWidth="1"/>
    <col min="18" max="18" width="18.21875" customWidth="1"/>
    <col min="19" max="19" width="0" hidden="1" customWidth="1"/>
    <col min="20" max="20" width="14.5546875" customWidth="1"/>
  </cols>
  <sheetData>
    <row r="2" spans="1:20" x14ac:dyDescent="0.3">
      <c r="A2" s="566" t="s">
        <v>2405</v>
      </c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</row>
    <row r="3" spans="1:20" x14ac:dyDescent="0.3">
      <c r="A3" s="42" t="s">
        <v>126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Q3" s="2"/>
      <c r="R3" s="2"/>
      <c r="S3" s="2"/>
    </row>
    <row r="4" spans="1:20" ht="52.8" x14ac:dyDescent="0.3">
      <c r="A4" s="9" t="s">
        <v>85</v>
      </c>
      <c r="B4" s="9" t="s">
        <v>2404</v>
      </c>
      <c r="C4" s="9" t="s">
        <v>2403</v>
      </c>
      <c r="D4" s="9" t="s">
        <v>125</v>
      </c>
      <c r="E4" s="9" t="s">
        <v>2402</v>
      </c>
      <c r="F4" s="9" t="s">
        <v>2401</v>
      </c>
      <c r="G4" s="9" t="s">
        <v>2400</v>
      </c>
      <c r="H4" s="9" t="s">
        <v>2399</v>
      </c>
      <c r="I4" s="9" t="s">
        <v>2398</v>
      </c>
      <c r="J4" s="9" t="s">
        <v>2397</v>
      </c>
      <c r="K4" s="9" t="s">
        <v>2396</v>
      </c>
      <c r="L4" s="9" t="s">
        <v>2395</v>
      </c>
      <c r="M4" s="9" t="s">
        <v>2394</v>
      </c>
      <c r="N4" s="9" t="s">
        <v>127</v>
      </c>
      <c r="O4" s="9" t="s">
        <v>2393</v>
      </c>
      <c r="P4" s="9" t="s">
        <v>2392</v>
      </c>
      <c r="Q4" s="192" t="s">
        <v>3108</v>
      </c>
      <c r="R4" s="192" t="s">
        <v>3221</v>
      </c>
      <c r="S4" s="213" t="s">
        <v>2391</v>
      </c>
      <c r="T4" s="192" t="s">
        <v>3210</v>
      </c>
    </row>
    <row r="5" spans="1:20" s="2" customFormat="1" x14ac:dyDescent="0.3">
      <c r="A5" s="3"/>
      <c r="B5" s="3"/>
      <c r="C5" s="41" t="s">
        <v>2390</v>
      </c>
      <c r="D5" s="3"/>
      <c r="E5" s="3"/>
      <c r="F5" s="3"/>
      <c r="G5" s="3"/>
      <c r="H5" s="40">
        <f>SUM(H6:H13)</f>
        <v>89441092915</v>
      </c>
      <c r="I5" s="40">
        <f>SUM(I6:I13)</f>
        <v>52464069065</v>
      </c>
      <c r="J5" s="40">
        <f>SUM(J6:J13)</f>
        <v>36977023850</v>
      </c>
      <c r="K5" s="3"/>
      <c r="L5" s="3"/>
      <c r="M5" s="3"/>
      <c r="N5" s="3"/>
      <c r="O5" s="3"/>
      <c r="P5" s="40">
        <f>+SUM(P6:P13)</f>
        <v>36977023850</v>
      </c>
      <c r="Q5" s="3"/>
      <c r="R5" s="3"/>
    </row>
    <row r="6" spans="1:20" ht="28.8" x14ac:dyDescent="0.3">
      <c r="A6" s="6">
        <v>1308</v>
      </c>
      <c r="B6" s="8" t="s">
        <v>2389</v>
      </c>
      <c r="C6" s="39" t="s">
        <v>2388</v>
      </c>
      <c r="D6" s="7">
        <v>44587</v>
      </c>
      <c r="E6" s="7">
        <v>44562</v>
      </c>
      <c r="F6" s="6">
        <v>60</v>
      </c>
      <c r="G6" s="6">
        <v>1</v>
      </c>
      <c r="H6" s="6">
        <v>15378000000</v>
      </c>
      <c r="I6" s="6">
        <v>12558700000</v>
      </c>
      <c r="J6" s="6">
        <v>2819300000</v>
      </c>
      <c r="K6" s="6">
        <v>3075600000</v>
      </c>
      <c r="L6" s="8" t="s">
        <v>2373</v>
      </c>
      <c r="M6" s="8" t="s">
        <v>2372</v>
      </c>
      <c r="N6" s="8" t="s">
        <v>2371</v>
      </c>
      <c r="O6" s="8" t="s">
        <v>2370</v>
      </c>
      <c r="P6" s="37">
        <f t="shared" ref="P6:P13" si="0">+J6</f>
        <v>2819300000</v>
      </c>
      <c r="Q6" s="38">
        <f>COUNTIF('KK2. Series'!$AM$5:$AM$1048576,'TK 15666. Phim SX'!C6)</f>
        <v>1</v>
      </c>
      <c r="R6" s="38"/>
      <c r="T6" t="str">
        <f>IF(SUM(Q6:R6)=1,"OK",0)</f>
        <v>OK</v>
      </c>
    </row>
    <row r="7" spans="1:20" ht="28.8" x14ac:dyDescent="0.3">
      <c r="A7" s="6">
        <v>1309</v>
      </c>
      <c r="B7" s="8" t="s">
        <v>2387</v>
      </c>
      <c r="C7" s="39" t="s">
        <v>2386</v>
      </c>
      <c r="D7" s="7">
        <v>44774</v>
      </c>
      <c r="E7" s="7">
        <v>44774</v>
      </c>
      <c r="F7" s="6">
        <v>60</v>
      </c>
      <c r="G7" s="6">
        <v>1</v>
      </c>
      <c r="H7" s="6">
        <v>22843475325</v>
      </c>
      <c r="I7" s="6">
        <v>15990432738</v>
      </c>
      <c r="J7" s="6">
        <v>6853042587</v>
      </c>
      <c r="K7" s="6">
        <v>4568695068</v>
      </c>
      <c r="L7" s="8" t="s">
        <v>2373</v>
      </c>
      <c r="M7" s="8" t="s">
        <v>2372</v>
      </c>
      <c r="N7" s="8" t="s">
        <v>2371</v>
      </c>
      <c r="O7" s="8" t="s">
        <v>2370</v>
      </c>
      <c r="P7" s="37">
        <f t="shared" si="0"/>
        <v>6853042587</v>
      </c>
      <c r="Q7" s="38">
        <f>COUNTIF('KK2. Series'!$AM$5:$AM$1048576,'TK 15666. Phim SX'!C7)</f>
        <v>1</v>
      </c>
      <c r="R7" s="38"/>
      <c r="T7" t="str">
        <f t="shared" ref="T7:T13" si="1">IF(SUM(Q7:R7)=1,"OK",0)</f>
        <v>OK</v>
      </c>
    </row>
    <row r="8" spans="1:20" ht="28.8" x14ac:dyDescent="0.3">
      <c r="A8" s="6">
        <v>1310</v>
      </c>
      <c r="B8" s="8" t="s">
        <v>2385</v>
      </c>
      <c r="C8" s="39" t="s">
        <v>2384</v>
      </c>
      <c r="D8" s="7">
        <v>44890</v>
      </c>
      <c r="E8" s="7">
        <v>44835</v>
      </c>
      <c r="F8" s="6">
        <v>60</v>
      </c>
      <c r="G8" s="6">
        <v>1</v>
      </c>
      <c r="H8" s="6">
        <v>6000000000</v>
      </c>
      <c r="I8" s="6">
        <v>3900000000</v>
      </c>
      <c r="J8" s="6">
        <v>2100000000</v>
      </c>
      <c r="K8" s="6">
        <v>1200000000</v>
      </c>
      <c r="L8" s="8" t="s">
        <v>2373</v>
      </c>
      <c r="M8" s="8" t="s">
        <v>2372</v>
      </c>
      <c r="N8" s="8" t="s">
        <v>2371</v>
      </c>
      <c r="O8" s="8" t="s">
        <v>2370</v>
      </c>
      <c r="P8" s="37">
        <f t="shared" si="0"/>
        <v>2100000000</v>
      </c>
      <c r="Q8" s="38">
        <f>COUNTIF('KK2. Series'!$AM$5:$AM$1048576,'TK 15666. Phim SX'!C8)</f>
        <v>1</v>
      </c>
      <c r="R8" s="38"/>
      <c r="T8" t="str">
        <f t="shared" si="1"/>
        <v>OK</v>
      </c>
    </row>
    <row r="9" spans="1:20" x14ac:dyDescent="0.3">
      <c r="A9" s="6">
        <v>1311</v>
      </c>
      <c r="B9" s="8" t="s">
        <v>2383</v>
      </c>
      <c r="C9" s="39" t="s">
        <v>2382</v>
      </c>
      <c r="D9" s="7">
        <v>44915</v>
      </c>
      <c r="E9" s="7">
        <v>44805</v>
      </c>
      <c r="F9" s="6">
        <v>60</v>
      </c>
      <c r="G9" s="6">
        <v>1</v>
      </c>
      <c r="H9" s="6">
        <v>1763274978</v>
      </c>
      <c r="I9" s="6">
        <v>1175516640</v>
      </c>
      <c r="J9" s="6">
        <v>587758338</v>
      </c>
      <c r="K9" s="6">
        <v>352654992</v>
      </c>
      <c r="L9" s="8" t="s">
        <v>2373</v>
      </c>
      <c r="M9" s="8" t="s">
        <v>2372</v>
      </c>
      <c r="N9" s="8" t="s">
        <v>2371</v>
      </c>
      <c r="O9" s="8" t="s">
        <v>2370</v>
      </c>
      <c r="P9" s="37">
        <f t="shared" si="0"/>
        <v>587758338</v>
      </c>
      <c r="Q9" s="38">
        <f>COUNTIF('KK2. Series'!$AM$5:$AM$1048576,'TK 15666. Phim SX'!C9)</f>
        <v>1</v>
      </c>
      <c r="R9" s="38"/>
      <c r="T9" t="str">
        <f t="shared" si="1"/>
        <v>OK</v>
      </c>
    </row>
    <row r="10" spans="1:20" x14ac:dyDescent="0.3">
      <c r="A10" s="6">
        <v>1312</v>
      </c>
      <c r="B10" s="8" t="s">
        <v>2381</v>
      </c>
      <c r="C10" s="39" t="s">
        <v>2380</v>
      </c>
      <c r="D10" s="7">
        <v>45138</v>
      </c>
      <c r="E10" s="7">
        <v>45108</v>
      </c>
      <c r="F10" s="6">
        <v>60</v>
      </c>
      <c r="G10" s="6">
        <v>1</v>
      </c>
      <c r="H10" s="6">
        <v>10711606667</v>
      </c>
      <c r="I10" s="6">
        <v>5355803340</v>
      </c>
      <c r="J10" s="6">
        <v>5355803327</v>
      </c>
      <c r="K10" s="6">
        <v>2142321336</v>
      </c>
      <c r="L10" s="8" t="s">
        <v>2373</v>
      </c>
      <c r="M10" s="8" t="s">
        <v>2372</v>
      </c>
      <c r="N10" s="8" t="s">
        <v>2371</v>
      </c>
      <c r="O10" s="8" t="s">
        <v>2370</v>
      </c>
      <c r="P10" s="37">
        <f t="shared" si="0"/>
        <v>5355803327</v>
      </c>
      <c r="Q10" s="38">
        <f>COUNTIF('KK2. Series'!$AM$5:$AM$1048576,'TK 15666. Phim SX'!C10)</f>
        <v>1</v>
      </c>
      <c r="R10" s="38"/>
      <c r="T10" t="str">
        <f t="shared" si="1"/>
        <v>OK</v>
      </c>
    </row>
    <row r="11" spans="1:20" ht="28.8" x14ac:dyDescent="0.3">
      <c r="A11" s="6">
        <v>1313</v>
      </c>
      <c r="B11" s="8" t="s">
        <v>2379</v>
      </c>
      <c r="C11" s="39" t="s">
        <v>2378</v>
      </c>
      <c r="D11" s="7">
        <v>45224</v>
      </c>
      <c r="E11" s="7">
        <v>45200</v>
      </c>
      <c r="F11" s="6">
        <v>60</v>
      </c>
      <c r="G11" s="6">
        <v>1</v>
      </c>
      <c r="H11" s="6">
        <v>17023857829</v>
      </c>
      <c r="I11" s="6">
        <v>7660736028</v>
      </c>
      <c r="J11" s="6">
        <v>9363121801</v>
      </c>
      <c r="K11" s="6">
        <v>3404771568</v>
      </c>
      <c r="L11" s="8" t="s">
        <v>2373</v>
      </c>
      <c r="M11" s="8" t="s">
        <v>2372</v>
      </c>
      <c r="N11" s="8" t="s">
        <v>2371</v>
      </c>
      <c r="O11" s="8" t="s">
        <v>2370</v>
      </c>
      <c r="P11" s="37">
        <f t="shared" si="0"/>
        <v>9363121801</v>
      </c>
      <c r="Q11" s="38">
        <f>COUNTIF('KK2. Series'!$AM$5:$AM$1048576,'TK 15666. Phim SX'!C11)</f>
        <v>1</v>
      </c>
      <c r="R11" s="38"/>
      <c r="T11" t="str">
        <f t="shared" si="1"/>
        <v>OK</v>
      </c>
    </row>
    <row r="12" spans="1:20" x14ac:dyDescent="0.3">
      <c r="A12" s="6">
        <v>1314</v>
      </c>
      <c r="B12" s="8" t="s">
        <v>2377</v>
      </c>
      <c r="C12" s="39" t="s">
        <v>2376</v>
      </c>
      <c r="D12" s="7">
        <v>45349</v>
      </c>
      <c r="E12" s="7">
        <v>45323</v>
      </c>
      <c r="F12" s="6">
        <v>60</v>
      </c>
      <c r="G12" s="6">
        <v>1</v>
      </c>
      <c r="H12" s="6">
        <v>15042690475</v>
      </c>
      <c r="I12" s="6">
        <v>5766364684</v>
      </c>
      <c r="J12" s="6">
        <v>9276325791</v>
      </c>
      <c r="K12" s="6">
        <v>3008538096</v>
      </c>
      <c r="L12" s="8" t="s">
        <v>2373</v>
      </c>
      <c r="M12" s="8" t="s">
        <v>2372</v>
      </c>
      <c r="N12" s="8" t="s">
        <v>2371</v>
      </c>
      <c r="O12" s="8" t="s">
        <v>2370</v>
      </c>
      <c r="P12" s="37">
        <f t="shared" si="0"/>
        <v>9276325791</v>
      </c>
      <c r="Q12" s="38">
        <f>COUNTIF('KK2. Series'!$AM$5:$AM$1048576,'TK 15666. Phim SX'!C12)</f>
        <v>1</v>
      </c>
      <c r="R12" s="38"/>
      <c r="T12" t="str">
        <f t="shared" si="1"/>
        <v>OK</v>
      </c>
    </row>
    <row r="13" spans="1:20" ht="15.6" x14ac:dyDescent="0.3">
      <c r="A13" s="6">
        <v>1315</v>
      </c>
      <c r="B13" s="8" t="s">
        <v>2375</v>
      </c>
      <c r="C13" s="8" t="s">
        <v>2374</v>
      </c>
      <c r="D13" s="7">
        <v>45870</v>
      </c>
      <c r="E13" s="7">
        <v>45992</v>
      </c>
      <c r="F13" s="6">
        <v>60</v>
      </c>
      <c r="G13" s="6">
        <v>1</v>
      </c>
      <c r="H13" s="6">
        <v>678187641</v>
      </c>
      <c r="I13" s="6">
        <v>56515635</v>
      </c>
      <c r="J13" s="6">
        <v>621672006</v>
      </c>
      <c r="K13" s="6">
        <v>56515635</v>
      </c>
      <c r="L13" s="8" t="s">
        <v>2373</v>
      </c>
      <c r="M13" s="8" t="s">
        <v>2372</v>
      </c>
      <c r="N13" s="8" t="s">
        <v>2371</v>
      </c>
      <c r="O13" s="8" t="s">
        <v>2370</v>
      </c>
      <c r="P13" s="37">
        <f t="shared" si="0"/>
        <v>621672006</v>
      </c>
      <c r="Q13" s="38"/>
      <c r="R13" s="4">
        <f>COUNTIF('KK5. Doc'!$W$16:$W$23,'TK 15666. Phim SX'!C13)</f>
        <v>1</v>
      </c>
      <c r="T13" t="str">
        <f t="shared" si="1"/>
        <v>OK</v>
      </c>
    </row>
  </sheetData>
  <mergeCells count="1">
    <mergeCell ref="A2:O2"/>
  </mergeCells>
  <pageMargins left="0.7" right="0.7" top="0.75" bottom="0.75" header="0.3" footer="0.3"/>
  <headerFooter>
    <oddFooter>&amp;L_x000D_&amp;1#&amp;"Aptos"&amp;10&amp;K000000 C0 - This document or email is owned by Canal+ Group.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BD6E-DDE8-41ED-A7D3-505F874549DD}">
  <sheetPr codeName="Sheet11" filterMode="1">
    <tabColor theme="5" tint="-0.249977111117893"/>
  </sheetPr>
  <dimension ref="A1:T22"/>
  <sheetViews>
    <sheetView workbookViewId="0">
      <pane xSplit="3" ySplit="1" topLeftCell="N3" activePane="bottomRight" state="frozen"/>
      <selection pane="topRight" activeCell="D1" sqref="D1"/>
      <selection pane="bottomLeft" activeCell="A2" sqref="A2"/>
      <selection pane="bottomRight" activeCell="T11" sqref="T11"/>
    </sheetView>
  </sheetViews>
  <sheetFormatPr defaultRowHeight="14.4" x14ac:dyDescent="0.3"/>
  <cols>
    <col min="1" max="1" width="5.33203125" bestFit="1" customWidth="1"/>
    <col min="2" max="2" width="9.5546875" bestFit="1" customWidth="1"/>
    <col min="3" max="3" width="34.77734375" customWidth="1"/>
    <col min="4" max="4" width="12.77734375" bestFit="1" customWidth="1"/>
    <col min="5" max="5" width="11.88671875" bestFit="1" customWidth="1"/>
    <col min="6" max="6" width="7.33203125" bestFit="1" customWidth="1"/>
    <col min="7" max="7" width="10.44140625" bestFit="1" customWidth="1"/>
    <col min="8" max="8" width="9" bestFit="1" customWidth="1"/>
    <col min="9" max="16" width="13.77734375" customWidth="1"/>
    <col min="18" max="18" width="14" customWidth="1"/>
    <col min="19" max="19" width="17.88671875" customWidth="1"/>
  </cols>
  <sheetData>
    <row r="1" spans="1:20" ht="26.4" x14ac:dyDescent="0.3">
      <c r="A1" s="72" t="s">
        <v>85</v>
      </c>
      <c r="B1" s="72" t="s">
        <v>2404</v>
      </c>
      <c r="C1" s="72" t="s">
        <v>2403</v>
      </c>
      <c r="D1" s="72" t="s">
        <v>125</v>
      </c>
      <c r="E1" s="72" t="s">
        <v>2402</v>
      </c>
      <c r="F1" s="72" t="s">
        <v>2401</v>
      </c>
      <c r="G1" s="72"/>
      <c r="H1" s="72" t="s">
        <v>2400</v>
      </c>
      <c r="I1" s="72" t="s">
        <v>2399</v>
      </c>
      <c r="J1" s="72" t="s">
        <v>2398</v>
      </c>
      <c r="K1" s="72" t="s">
        <v>2397</v>
      </c>
      <c r="L1" s="72" t="s">
        <v>2396</v>
      </c>
      <c r="M1" s="72" t="s">
        <v>2395</v>
      </c>
      <c r="N1" s="72" t="s">
        <v>2394</v>
      </c>
      <c r="O1" s="72" t="s">
        <v>127</v>
      </c>
      <c r="P1" s="72" t="s">
        <v>2393</v>
      </c>
      <c r="R1" s="128" t="s">
        <v>3109</v>
      </c>
      <c r="S1" s="128" t="s">
        <v>3229</v>
      </c>
    </row>
    <row r="2" spans="1:20" hidden="1" x14ac:dyDescent="0.3">
      <c r="A2" s="67">
        <v>3683</v>
      </c>
      <c r="B2" s="66" t="s">
        <v>3189</v>
      </c>
      <c r="C2" s="89" t="s">
        <v>3188</v>
      </c>
      <c r="D2" s="68">
        <v>42155</v>
      </c>
      <c r="E2" s="68">
        <v>42125</v>
      </c>
      <c r="F2" s="67">
        <v>60</v>
      </c>
      <c r="G2" s="233">
        <f>E2+F2*30</f>
        <v>43925</v>
      </c>
      <c r="H2" s="67">
        <v>1</v>
      </c>
      <c r="I2" s="67">
        <v>3494400000</v>
      </c>
      <c r="J2" s="67">
        <v>3494400000</v>
      </c>
      <c r="K2" s="67">
        <v>0</v>
      </c>
      <c r="L2" s="67">
        <v>3494400000</v>
      </c>
      <c r="M2" s="66" t="s">
        <v>3139</v>
      </c>
      <c r="N2" s="66" t="s">
        <v>3149</v>
      </c>
      <c r="O2" s="66" t="s">
        <v>3161</v>
      </c>
      <c r="P2" s="66" t="s">
        <v>2370</v>
      </c>
      <c r="S2" s="232" t="s">
        <v>12</v>
      </c>
    </row>
    <row r="3" spans="1:20" x14ac:dyDescent="0.3">
      <c r="A3" s="67">
        <v>3684</v>
      </c>
      <c r="B3" s="66" t="s">
        <v>3187</v>
      </c>
      <c r="C3" s="89" t="s">
        <v>3186</v>
      </c>
      <c r="D3" s="68">
        <v>42185</v>
      </c>
      <c r="E3" s="68">
        <v>42156</v>
      </c>
      <c r="F3" s="67">
        <v>60</v>
      </c>
      <c r="G3" s="233">
        <f t="shared" ref="G3:G22" si="0">E3+F3*30</f>
        <v>43956</v>
      </c>
      <c r="H3" s="67">
        <v>1</v>
      </c>
      <c r="I3" s="67">
        <v>1777629204</v>
      </c>
      <c r="J3" s="67">
        <v>1777629204</v>
      </c>
      <c r="K3" s="67">
        <v>0</v>
      </c>
      <c r="L3" s="67">
        <v>1777629204</v>
      </c>
      <c r="M3" s="66" t="s">
        <v>3139</v>
      </c>
      <c r="N3" s="66" t="s">
        <v>3149</v>
      </c>
      <c r="O3" s="66" t="s">
        <v>3161</v>
      </c>
      <c r="P3" s="66" t="s">
        <v>2370</v>
      </c>
      <c r="Q3" s="69" t="s">
        <v>3156</v>
      </c>
      <c r="R3" s="69" t="s">
        <v>3222</v>
      </c>
      <c r="T3" s="262" t="s">
        <v>23</v>
      </c>
    </row>
    <row r="4" spans="1:20" hidden="1" x14ac:dyDescent="0.3">
      <c r="A4" s="67">
        <v>3685</v>
      </c>
      <c r="B4" s="66" t="s">
        <v>3185</v>
      </c>
      <c r="C4" s="89" t="s">
        <v>3184</v>
      </c>
      <c r="D4" s="68">
        <v>42185</v>
      </c>
      <c r="E4" s="68">
        <v>42217</v>
      </c>
      <c r="F4" s="67">
        <v>60</v>
      </c>
      <c r="G4" s="233">
        <f t="shared" si="0"/>
        <v>44017</v>
      </c>
      <c r="H4" s="67">
        <v>1</v>
      </c>
      <c r="I4" s="67">
        <v>2620800000</v>
      </c>
      <c r="J4" s="67">
        <v>2620800000</v>
      </c>
      <c r="K4" s="67">
        <v>0</v>
      </c>
      <c r="L4" s="67">
        <v>2620800000</v>
      </c>
      <c r="M4" s="66" t="s">
        <v>3139</v>
      </c>
      <c r="N4" s="66" t="s">
        <v>3149</v>
      </c>
      <c r="O4" s="66" t="s">
        <v>3161</v>
      </c>
      <c r="P4" s="66" t="s">
        <v>2370</v>
      </c>
      <c r="S4" s="232" t="s">
        <v>12</v>
      </c>
    </row>
    <row r="5" spans="1:20" x14ac:dyDescent="0.3">
      <c r="A5" s="67">
        <v>3686</v>
      </c>
      <c r="B5" s="66" t="s">
        <v>3183</v>
      </c>
      <c r="C5" s="89" t="s">
        <v>3182</v>
      </c>
      <c r="D5" s="68">
        <v>42186</v>
      </c>
      <c r="E5" s="68">
        <v>42309</v>
      </c>
      <c r="F5" s="67">
        <v>60</v>
      </c>
      <c r="G5" s="233">
        <f t="shared" si="0"/>
        <v>44109</v>
      </c>
      <c r="H5" s="67">
        <v>1</v>
      </c>
      <c r="I5" s="67">
        <v>2914285714</v>
      </c>
      <c r="J5" s="67">
        <v>2914285714</v>
      </c>
      <c r="K5" s="67">
        <v>0</v>
      </c>
      <c r="L5" s="67">
        <v>2914285714</v>
      </c>
      <c r="M5" s="66" t="s">
        <v>3139</v>
      </c>
      <c r="N5" s="66" t="s">
        <v>3149</v>
      </c>
      <c r="O5" s="66" t="s">
        <v>3161</v>
      </c>
      <c r="P5" s="66" t="s">
        <v>2370</v>
      </c>
      <c r="Q5" s="69" t="s">
        <v>3156</v>
      </c>
      <c r="R5" s="69" t="s">
        <v>3222</v>
      </c>
    </row>
    <row r="6" spans="1:20" ht="28.8" hidden="1" x14ac:dyDescent="0.3">
      <c r="A6" s="67">
        <v>3687</v>
      </c>
      <c r="B6" s="66" t="s">
        <v>3181</v>
      </c>
      <c r="C6" s="89" t="s">
        <v>3180</v>
      </c>
      <c r="D6" s="68">
        <v>42369</v>
      </c>
      <c r="E6" s="68">
        <v>42339</v>
      </c>
      <c r="F6" s="67">
        <v>60</v>
      </c>
      <c r="G6" s="233">
        <f t="shared" si="0"/>
        <v>44139</v>
      </c>
      <c r="H6" s="71">
        <v>0</v>
      </c>
      <c r="I6" s="67">
        <v>1808000000</v>
      </c>
      <c r="J6" s="67">
        <v>1808000000</v>
      </c>
      <c r="K6" s="70">
        <v>0</v>
      </c>
      <c r="L6" s="67">
        <v>1351733329</v>
      </c>
      <c r="M6" s="66" t="s">
        <v>3139</v>
      </c>
      <c r="N6" s="66" t="s">
        <v>3149</v>
      </c>
      <c r="O6" s="66" t="s">
        <v>3161</v>
      </c>
      <c r="P6" s="66" t="s">
        <v>2370</v>
      </c>
      <c r="S6" s="232" t="s">
        <v>12</v>
      </c>
    </row>
    <row r="7" spans="1:20" ht="28.8" hidden="1" x14ac:dyDescent="0.3">
      <c r="A7" s="67">
        <v>3688</v>
      </c>
      <c r="B7" s="66" t="s">
        <v>3179</v>
      </c>
      <c r="C7" s="89" t="s">
        <v>3178</v>
      </c>
      <c r="D7" s="68">
        <v>42460</v>
      </c>
      <c r="E7" s="68">
        <v>42430</v>
      </c>
      <c r="F7" s="67">
        <v>60</v>
      </c>
      <c r="G7" s="233">
        <f t="shared" si="0"/>
        <v>44230</v>
      </c>
      <c r="H7" s="67">
        <v>1</v>
      </c>
      <c r="I7" s="67">
        <v>2679000000</v>
      </c>
      <c r="J7" s="67">
        <v>2679000000</v>
      </c>
      <c r="K7" s="67">
        <v>0</v>
      </c>
      <c r="L7" s="67">
        <v>2679000000</v>
      </c>
      <c r="M7" s="66" t="s">
        <v>3139</v>
      </c>
      <c r="N7" s="66" t="s">
        <v>3149</v>
      </c>
      <c r="O7" s="66" t="s">
        <v>3161</v>
      </c>
      <c r="P7" s="66" t="s">
        <v>2370</v>
      </c>
      <c r="S7" s="232" t="s">
        <v>12</v>
      </c>
    </row>
    <row r="8" spans="1:20" x14ac:dyDescent="0.3">
      <c r="A8" s="67">
        <v>3689</v>
      </c>
      <c r="B8" s="66" t="s">
        <v>3177</v>
      </c>
      <c r="C8" s="89" t="s">
        <v>3176</v>
      </c>
      <c r="D8" s="68">
        <v>42521</v>
      </c>
      <c r="E8" s="68">
        <v>42491</v>
      </c>
      <c r="F8" s="67">
        <v>60</v>
      </c>
      <c r="G8" s="233">
        <f t="shared" si="0"/>
        <v>44291</v>
      </c>
      <c r="H8" s="71">
        <v>0</v>
      </c>
      <c r="I8" s="67">
        <v>2178979420</v>
      </c>
      <c r="J8" s="67">
        <v>2178979420</v>
      </c>
      <c r="K8" s="70">
        <v>0</v>
      </c>
      <c r="L8" s="67">
        <v>1423803534</v>
      </c>
      <c r="M8" s="66" t="s">
        <v>3139</v>
      </c>
      <c r="N8" s="66" t="s">
        <v>3149</v>
      </c>
      <c r="O8" s="66" t="s">
        <v>3161</v>
      </c>
      <c r="P8" s="66" t="s">
        <v>2370</v>
      </c>
      <c r="Q8" s="69" t="s">
        <v>3156</v>
      </c>
      <c r="R8" s="69" t="s">
        <v>3222</v>
      </c>
    </row>
    <row r="9" spans="1:20" hidden="1" x14ac:dyDescent="0.3">
      <c r="A9" s="67">
        <v>3690</v>
      </c>
      <c r="B9" s="66" t="s">
        <v>3175</v>
      </c>
      <c r="C9" s="89" t="s">
        <v>3174</v>
      </c>
      <c r="D9" s="68">
        <v>42643</v>
      </c>
      <c r="E9" s="68">
        <v>42736</v>
      </c>
      <c r="F9" s="67">
        <v>60</v>
      </c>
      <c r="G9" s="233">
        <f t="shared" si="0"/>
        <v>44536</v>
      </c>
      <c r="H9" s="67">
        <v>1</v>
      </c>
      <c r="I9" s="67">
        <v>1451775000</v>
      </c>
      <c r="J9" s="67">
        <v>1451775000</v>
      </c>
      <c r="K9" s="67">
        <v>0</v>
      </c>
      <c r="L9" s="67">
        <v>1451775000</v>
      </c>
      <c r="M9" s="66" t="s">
        <v>3139</v>
      </c>
      <c r="N9" s="66" t="s">
        <v>3149</v>
      </c>
      <c r="O9" s="66" t="s">
        <v>3161</v>
      </c>
      <c r="P9" s="66" t="s">
        <v>2370</v>
      </c>
      <c r="S9" s="232" t="s">
        <v>12</v>
      </c>
    </row>
    <row r="10" spans="1:20" hidden="1" x14ac:dyDescent="0.3">
      <c r="A10" s="67">
        <v>3691</v>
      </c>
      <c r="B10" s="66" t="s">
        <v>3173</v>
      </c>
      <c r="C10" s="89" t="s">
        <v>3172</v>
      </c>
      <c r="D10" s="68">
        <v>42643</v>
      </c>
      <c r="E10" s="68">
        <v>42795</v>
      </c>
      <c r="F10" s="67">
        <v>60</v>
      </c>
      <c r="G10" s="233">
        <f t="shared" si="0"/>
        <v>44595</v>
      </c>
      <c r="H10" s="67">
        <v>1</v>
      </c>
      <c r="I10" s="67">
        <v>2680200000</v>
      </c>
      <c r="J10" s="67">
        <v>2680200000</v>
      </c>
      <c r="K10" s="67">
        <v>0</v>
      </c>
      <c r="L10" s="67">
        <v>2680200000</v>
      </c>
      <c r="M10" s="66" t="s">
        <v>3139</v>
      </c>
      <c r="N10" s="66" t="s">
        <v>3149</v>
      </c>
      <c r="O10" s="66" t="s">
        <v>3161</v>
      </c>
      <c r="P10" s="66" t="s">
        <v>2370</v>
      </c>
      <c r="S10" s="232" t="s">
        <v>12</v>
      </c>
    </row>
    <row r="11" spans="1:20" x14ac:dyDescent="0.3">
      <c r="A11" s="67">
        <v>3692</v>
      </c>
      <c r="B11" s="66" t="s">
        <v>3171</v>
      </c>
      <c r="C11" s="89" t="s">
        <v>3170</v>
      </c>
      <c r="D11" s="68">
        <v>42727</v>
      </c>
      <c r="E11" s="68">
        <v>42705</v>
      </c>
      <c r="F11" s="67">
        <v>60</v>
      </c>
      <c r="G11" s="233">
        <f t="shared" si="0"/>
        <v>44505</v>
      </c>
      <c r="H11" s="67">
        <v>1</v>
      </c>
      <c r="I11" s="67">
        <v>2238978439</v>
      </c>
      <c r="J11" s="67">
        <v>2238978439</v>
      </c>
      <c r="K11" s="67">
        <v>0</v>
      </c>
      <c r="L11" s="67">
        <v>2238978439</v>
      </c>
      <c r="M11" s="66" t="s">
        <v>3139</v>
      </c>
      <c r="N11" s="66" t="s">
        <v>3149</v>
      </c>
      <c r="O11" s="66" t="s">
        <v>3161</v>
      </c>
      <c r="P11" s="66" t="s">
        <v>2370</v>
      </c>
      <c r="Q11" s="69" t="s">
        <v>3156</v>
      </c>
      <c r="R11" s="69" t="s">
        <v>3222</v>
      </c>
    </row>
    <row r="12" spans="1:20" x14ac:dyDescent="0.3">
      <c r="A12" s="67">
        <v>3693</v>
      </c>
      <c r="B12" s="66" t="s">
        <v>3169</v>
      </c>
      <c r="C12" s="89" t="s">
        <v>3168</v>
      </c>
      <c r="D12" s="68">
        <v>42822</v>
      </c>
      <c r="E12" s="68">
        <v>42795</v>
      </c>
      <c r="F12" s="67">
        <v>60</v>
      </c>
      <c r="G12" s="233">
        <f t="shared" si="0"/>
        <v>44595</v>
      </c>
      <c r="H12" s="67">
        <v>1</v>
      </c>
      <c r="I12" s="67">
        <v>2393627857</v>
      </c>
      <c r="J12" s="67">
        <v>2393627857</v>
      </c>
      <c r="K12" s="67">
        <v>0</v>
      </c>
      <c r="L12" s="67">
        <v>2393627857</v>
      </c>
      <c r="M12" s="66" t="s">
        <v>3139</v>
      </c>
      <c r="N12" s="66" t="s">
        <v>3149</v>
      </c>
      <c r="O12" s="66" t="s">
        <v>3161</v>
      </c>
      <c r="P12" s="66" t="s">
        <v>2370</v>
      </c>
      <c r="Q12" s="69" t="s">
        <v>3156</v>
      </c>
      <c r="R12" s="69" t="s">
        <v>3222</v>
      </c>
      <c r="T12" s="262" t="s">
        <v>23</v>
      </c>
    </row>
    <row r="13" spans="1:20" ht="28.8" hidden="1" x14ac:dyDescent="0.3">
      <c r="A13" s="67">
        <v>3694</v>
      </c>
      <c r="B13" s="66" t="s">
        <v>3167</v>
      </c>
      <c r="C13" s="66" t="s">
        <v>3166</v>
      </c>
      <c r="D13" s="68">
        <v>42736</v>
      </c>
      <c r="E13" s="68">
        <v>42736</v>
      </c>
      <c r="F13" s="67">
        <v>47</v>
      </c>
      <c r="G13" s="233">
        <f t="shared" si="0"/>
        <v>44146</v>
      </c>
      <c r="H13" s="67">
        <v>1</v>
      </c>
      <c r="I13" s="67">
        <v>456266667</v>
      </c>
      <c r="J13" s="67">
        <v>456266667</v>
      </c>
      <c r="K13" s="67">
        <v>0</v>
      </c>
      <c r="L13" s="67">
        <v>456266667</v>
      </c>
      <c r="M13" s="66" t="s">
        <v>3139</v>
      </c>
      <c r="N13" s="66" t="s">
        <v>3149</v>
      </c>
      <c r="O13" s="66" t="s">
        <v>3161</v>
      </c>
      <c r="P13" s="66" t="s">
        <v>2370</v>
      </c>
      <c r="S13" s="232" t="s">
        <v>3228</v>
      </c>
    </row>
    <row r="14" spans="1:20" ht="28.8" hidden="1" x14ac:dyDescent="0.3">
      <c r="A14" s="67">
        <v>3695</v>
      </c>
      <c r="B14" s="66" t="s">
        <v>3165</v>
      </c>
      <c r="C14" s="66" t="s">
        <v>3164</v>
      </c>
      <c r="D14" s="68">
        <v>42736</v>
      </c>
      <c r="E14" s="68">
        <v>42736</v>
      </c>
      <c r="F14" s="67">
        <v>52</v>
      </c>
      <c r="G14" s="233">
        <f t="shared" si="0"/>
        <v>44296</v>
      </c>
      <c r="H14" s="67">
        <v>1</v>
      </c>
      <c r="I14" s="67">
        <v>755175886</v>
      </c>
      <c r="J14" s="67">
        <v>755175886</v>
      </c>
      <c r="K14" s="67">
        <v>0</v>
      </c>
      <c r="L14" s="67">
        <v>755175886</v>
      </c>
      <c r="M14" s="66" t="s">
        <v>3139</v>
      </c>
      <c r="N14" s="66" t="s">
        <v>3149</v>
      </c>
      <c r="O14" s="66" t="s">
        <v>3161</v>
      </c>
      <c r="P14" s="66" t="s">
        <v>2370</v>
      </c>
      <c r="S14" s="232" t="s">
        <v>3228</v>
      </c>
    </row>
    <row r="15" spans="1:20" ht="28.8" hidden="1" x14ac:dyDescent="0.3">
      <c r="A15" s="67">
        <v>3696</v>
      </c>
      <c r="B15" s="66" t="s">
        <v>3163</v>
      </c>
      <c r="C15" s="89" t="s">
        <v>3162</v>
      </c>
      <c r="D15" s="68">
        <v>43066</v>
      </c>
      <c r="E15" s="68">
        <v>43040</v>
      </c>
      <c r="F15" s="67">
        <v>60</v>
      </c>
      <c r="G15" s="233">
        <f t="shared" si="0"/>
        <v>44840</v>
      </c>
      <c r="H15" s="67">
        <v>1</v>
      </c>
      <c r="I15" s="67">
        <v>1939700000</v>
      </c>
      <c r="J15" s="67">
        <v>1939700000</v>
      </c>
      <c r="K15" s="67">
        <v>0</v>
      </c>
      <c r="L15" s="67">
        <v>1939700000</v>
      </c>
      <c r="M15" s="66" t="s">
        <v>3139</v>
      </c>
      <c r="N15" s="66" t="s">
        <v>3149</v>
      </c>
      <c r="O15" s="66" t="s">
        <v>3161</v>
      </c>
      <c r="P15" s="66" t="s">
        <v>2370</v>
      </c>
      <c r="S15" s="232" t="s">
        <v>3228</v>
      </c>
    </row>
    <row r="16" spans="1:20" ht="28.8" hidden="1" x14ac:dyDescent="0.3">
      <c r="A16" s="67">
        <v>3697</v>
      </c>
      <c r="B16" s="66" t="s">
        <v>3160</v>
      </c>
      <c r="C16" s="89" t="s">
        <v>3159</v>
      </c>
      <c r="D16" s="68">
        <v>43129</v>
      </c>
      <c r="E16" s="68">
        <v>43101</v>
      </c>
      <c r="F16" s="67">
        <v>60</v>
      </c>
      <c r="G16" s="233">
        <f t="shared" si="0"/>
        <v>44901</v>
      </c>
      <c r="H16" s="67">
        <v>1</v>
      </c>
      <c r="I16" s="67">
        <v>2390666667</v>
      </c>
      <c r="J16" s="67">
        <v>2390666667</v>
      </c>
      <c r="K16" s="67">
        <v>0</v>
      </c>
      <c r="L16" s="67">
        <v>2390666667</v>
      </c>
      <c r="M16" s="66" t="s">
        <v>3139</v>
      </c>
      <c r="N16" s="66" t="s">
        <v>3149</v>
      </c>
      <c r="O16" s="66" t="s">
        <v>3148</v>
      </c>
      <c r="P16" s="66" t="s">
        <v>2370</v>
      </c>
      <c r="S16" s="232" t="s">
        <v>3228</v>
      </c>
    </row>
    <row r="17" spans="1:20" x14ac:dyDescent="0.3">
      <c r="A17" s="67">
        <v>3698</v>
      </c>
      <c r="B17" s="66" t="s">
        <v>3158</v>
      </c>
      <c r="C17" s="89" t="s">
        <v>3157</v>
      </c>
      <c r="D17" s="68">
        <v>43185</v>
      </c>
      <c r="E17" s="68">
        <v>43160</v>
      </c>
      <c r="F17" s="67">
        <v>60</v>
      </c>
      <c r="G17" s="233">
        <f t="shared" si="0"/>
        <v>44960</v>
      </c>
      <c r="H17" s="67">
        <v>1</v>
      </c>
      <c r="I17" s="67">
        <v>1714285714</v>
      </c>
      <c r="J17" s="67">
        <v>1714285714</v>
      </c>
      <c r="K17" s="67">
        <v>0</v>
      </c>
      <c r="L17" s="67">
        <v>1714285714</v>
      </c>
      <c r="M17" s="66" t="s">
        <v>3139</v>
      </c>
      <c r="N17" s="66" t="s">
        <v>3149</v>
      </c>
      <c r="O17" s="66" t="s">
        <v>3148</v>
      </c>
      <c r="P17" s="66" t="s">
        <v>2370</v>
      </c>
      <c r="Q17" s="69" t="s">
        <v>3156</v>
      </c>
      <c r="R17" s="69" t="s">
        <v>3222</v>
      </c>
      <c r="T17" s="262" t="s">
        <v>23</v>
      </c>
    </row>
    <row r="18" spans="1:20" ht="28.8" hidden="1" x14ac:dyDescent="0.3">
      <c r="A18" s="67">
        <v>3699</v>
      </c>
      <c r="B18" s="66" t="s">
        <v>3155</v>
      </c>
      <c r="C18" s="89" t="s">
        <v>3154</v>
      </c>
      <c r="D18" s="68">
        <v>43216</v>
      </c>
      <c r="E18" s="68">
        <v>43191</v>
      </c>
      <c r="F18" s="67">
        <v>60</v>
      </c>
      <c r="G18" s="233">
        <f t="shared" si="0"/>
        <v>44991</v>
      </c>
      <c r="H18" s="67">
        <v>1</v>
      </c>
      <c r="I18" s="67">
        <v>2587428571</v>
      </c>
      <c r="J18" s="67">
        <v>2587428571</v>
      </c>
      <c r="K18" s="67">
        <v>0</v>
      </c>
      <c r="L18" s="67">
        <v>2587428571</v>
      </c>
      <c r="M18" s="66" t="s">
        <v>3139</v>
      </c>
      <c r="N18" s="66" t="s">
        <v>3149</v>
      </c>
      <c r="O18" s="66" t="s">
        <v>3148</v>
      </c>
      <c r="P18" s="66" t="s">
        <v>2370</v>
      </c>
      <c r="S18" s="232" t="s">
        <v>3228</v>
      </c>
    </row>
    <row r="19" spans="1:20" ht="28.8" hidden="1" x14ac:dyDescent="0.3">
      <c r="A19" s="67">
        <v>3700</v>
      </c>
      <c r="B19" s="66" t="s">
        <v>3153</v>
      </c>
      <c r="C19" s="89" t="s">
        <v>3152</v>
      </c>
      <c r="D19" s="68">
        <v>43466</v>
      </c>
      <c r="E19" s="68">
        <v>43435</v>
      </c>
      <c r="F19" s="67">
        <v>60</v>
      </c>
      <c r="G19" s="233">
        <f t="shared" si="0"/>
        <v>45235</v>
      </c>
      <c r="H19" s="67">
        <v>1</v>
      </c>
      <c r="I19" s="67">
        <v>1984750000</v>
      </c>
      <c r="J19" s="67">
        <v>1984750000</v>
      </c>
      <c r="K19" s="67">
        <v>0</v>
      </c>
      <c r="L19" s="67">
        <v>1984750000</v>
      </c>
      <c r="M19" s="66" t="s">
        <v>3139</v>
      </c>
      <c r="N19" s="66" t="s">
        <v>3149</v>
      </c>
      <c r="O19" s="66" t="s">
        <v>3148</v>
      </c>
      <c r="P19" s="66" t="s">
        <v>2370</v>
      </c>
      <c r="S19" s="232" t="s">
        <v>3228</v>
      </c>
    </row>
    <row r="20" spans="1:20" ht="28.8" hidden="1" x14ac:dyDescent="0.3">
      <c r="A20" s="67">
        <v>3701</v>
      </c>
      <c r="B20" s="66" t="s">
        <v>3151</v>
      </c>
      <c r="C20" s="89" t="s">
        <v>3150</v>
      </c>
      <c r="D20" s="68">
        <v>43891</v>
      </c>
      <c r="E20" s="68">
        <v>43891</v>
      </c>
      <c r="F20" s="67">
        <v>34</v>
      </c>
      <c r="G20" s="233">
        <f t="shared" si="0"/>
        <v>44911</v>
      </c>
      <c r="H20" s="67">
        <v>1</v>
      </c>
      <c r="I20" s="67">
        <v>119533333</v>
      </c>
      <c r="J20" s="67">
        <v>119533333</v>
      </c>
      <c r="K20" s="67">
        <v>0</v>
      </c>
      <c r="L20" s="67">
        <v>119533333</v>
      </c>
      <c r="M20" s="66" t="s">
        <v>3139</v>
      </c>
      <c r="N20" s="66" t="s">
        <v>3149</v>
      </c>
      <c r="O20" s="66" t="s">
        <v>3148</v>
      </c>
      <c r="P20" s="66" t="s">
        <v>2370</v>
      </c>
      <c r="S20" s="232" t="s">
        <v>3228</v>
      </c>
    </row>
    <row r="21" spans="1:20" ht="28.8" hidden="1" x14ac:dyDescent="0.3">
      <c r="A21" s="67">
        <v>3702</v>
      </c>
      <c r="B21" s="66" t="s">
        <v>3147</v>
      </c>
      <c r="C21" s="89" t="s">
        <v>3146</v>
      </c>
      <c r="D21" s="68">
        <v>43714</v>
      </c>
      <c r="E21" s="68">
        <v>43709</v>
      </c>
      <c r="F21" s="67">
        <v>13</v>
      </c>
      <c r="G21" s="233">
        <f t="shared" si="0"/>
        <v>44099</v>
      </c>
      <c r="H21" s="67">
        <v>13</v>
      </c>
      <c r="I21" s="67">
        <v>72428572</v>
      </c>
      <c r="J21" s="67">
        <v>72428572</v>
      </c>
      <c r="K21" s="67">
        <v>0</v>
      </c>
      <c r="L21" s="67">
        <v>72428572</v>
      </c>
      <c r="M21" s="66" t="s">
        <v>3139</v>
      </c>
      <c r="N21" s="66" t="s">
        <v>2372</v>
      </c>
      <c r="O21" s="66" t="s">
        <v>3143</v>
      </c>
      <c r="P21" s="66" t="s">
        <v>3142</v>
      </c>
      <c r="S21" s="232" t="s">
        <v>3228</v>
      </c>
    </row>
    <row r="22" spans="1:20" ht="43.2" hidden="1" x14ac:dyDescent="0.3">
      <c r="A22" s="67">
        <v>3703</v>
      </c>
      <c r="B22" s="66" t="s">
        <v>3145</v>
      </c>
      <c r="C22" s="89" t="s">
        <v>3144</v>
      </c>
      <c r="D22" s="68">
        <v>43714</v>
      </c>
      <c r="E22" s="68">
        <v>43739</v>
      </c>
      <c r="F22" s="67">
        <v>13</v>
      </c>
      <c r="G22" s="233">
        <f t="shared" si="0"/>
        <v>44129</v>
      </c>
      <c r="H22" s="67">
        <v>13</v>
      </c>
      <c r="I22" s="67">
        <v>320929762</v>
      </c>
      <c r="J22" s="67">
        <v>320929762</v>
      </c>
      <c r="K22" s="67">
        <v>0</v>
      </c>
      <c r="L22" s="67">
        <v>320929762</v>
      </c>
      <c r="M22" s="66" t="s">
        <v>3139</v>
      </c>
      <c r="N22" s="66" t="s">
        <v>2372</v>
      </c>
      <c r="O22" s="66" t="s">
        <v>3143</v>
      </c>
      <c r="P22" s="66" t="s">
        <v>3142</v>
      </c>
      <c r="S22" s="232" t="s">
        <v>3228</v>
      </c>
    </row>
  </sheetData>
  <autoFilter ref="A1:S22" xr:uid="{EFF50C98-518A-4884-8894-053D641C3EBC}">
    <filterColumn colId="17">
      <customFilters>
        <customFilter operator="notEqual" val=" "/>
      </customFilters>
    </filterColumn>
  </autoFilter>
  <pageMargins left="0.7" right="0.7" top="0.75" bottom="0.75" header="0.3" footer="0.3"/>
  <headerFooter>
    <oddFooter>&amp;L_x000D_&amp;1#&amp;"Aptos"&amp;10&amp;K000000 C0 - This document or email is owned by Canal+ Group.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Annex A</vt:lpstr>
      <vt:lpstr>KK1. Movies</vt:lpstr>
      <vt:lpstr>KK6. Bổ sung</vt:lpstr>
      <vt:lpstr>KK2. Series</vt:lpstr>
      <vt:lpstr>KK3. Kids</vt:lpstr>
      <vt:lpstr>KK4. Show</vt:lpstr>
      <vt:lpstr>KK5. Doc</vt:lpstr>
      <vt:lpstr>TK 15661.Bản quyền phim </vt:lpstr>
      <vt:lpstr>242.BQ Phim VOD</vt:lpstr>
      <vt:lpstr>TK 15666. Phim SX</vt:lpstr>
      <vt:lpstr>242.BQ Phim hợp tác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Tham, Vu Thi Thu (BTC)</dc:creator>
  <cp:lastModifiedBy>Nguyen Hoai Nam (VPBDH)</cp:lastModifiedBy>
  <dcterms:created xsi:type="dcterms:W3CDTF">2026-03-12T08:05:53Z</dcterms:created>
  <dcterms:modified xsi:type="dcterms:W3CDTF">2026-03-18T02:14:22Z</dcterms:modified>
</cp:coreProperties>
</file>